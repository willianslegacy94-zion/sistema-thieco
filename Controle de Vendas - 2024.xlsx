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ile\Documents\"/>
    </mc:Choice>
  </mc:AlternateContent>
  <bookViews>
    <workbookView xWindow="-120" yWindow="-120" windowWidth="20730" windowHeight="11040" firstSheet="6" activeTab="7"/>
  </bookViews>
  <sheets>
    <sheet name="RELATORIO DE VENDA" sheetId="1" r:id="rId1"/>
    <sheet name="RELATORIO - MARÇO" sheetId="2" r:id="rId2"/>
    <sheet name="RELATORIO - ABRIL" sheetId="3" r:id="rId3"/>
    <sheet name="RELATORIO - MAIO" sheetId="4" r:id="rId4"/>
    <sheet name="RELATORIO - JUNHO" sheetId="5" r:id="rId5"/>
    <sheet name="REALTORIO - SETEMBRO" sheetId="6" r:id="rId6"/>
    <sheet name="MARÇO -24" sheetId="7" r:id="rId7"/>
    <sheet name="ABRIL -24" sheetId="8" r:id="rId8"/>
    <sheet name="MAIO -24" sheetId="9" r:id="rId9"/>
    <sheet name="JUNHO -24" sheetId="10" r:id="rId10"/>
    <sheet name="JULHO -24" sheetId="11" r:id="rId11"/>
    <sheet name="AGOSTO -24" sheetId="12" r:id="rId12"/>
    <sheet name="SETEMBRO -24" sheetId="13" r:id="rId13"/>
    <sheet name="OUTUBRO -24" sheetId="14" r:id="rId14"/>
    <sheet name="NOVEMBRO -24" sheetId="15" r:id="rId15"/>
    <sheet name="DEZEMBRO -24" sheetId="16" r:id="rId16"/>
    <sheet name="FATURAMENTO" sheetId="17" r:id="rId17"/>
  </sheets>
  <calcPr calcId="181029" iterateDelta="1E-4"/>
</workbook>
</file>

<file path=xl/calcChain.xml><?xml version="1.0" encoding="utf-8"?>
<calcChain xmlns="http://schemas.openxmlformats.org/spreadsheetml/2006/main">
  <c r="C86" i="17" l="1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B56" i="17"/>
  <c r="C56" i="17" s="1"/>
  <c r="B55" i="17"/>
  <c r="C55" i="17" s="1"/>
  <c r="B54" i="17"/>
  <c r="C54" i="17" s="1"/>
  <c r="B53" i="17"/>
  <c r="C53" i="17" s="1"/>
  <c r="B52" i="17"/>
  <c r="C52" i="17" s="1"/>
  <c r="C51" i="17"/>
  <c r="B51" i="17"/>
  <c r="B50" i="17"/>
  <c r="C50" i="17" s="1"/>
  <c r="C49" i="17"/>
  <c r="B49" i="17"/>
  <c r="B48" i="17"/>
  <c r="C48" i="17" s="1"/>
  <c r="C47" i="17"/>
  <c r="B47" i="17"/>
  <c r="B46" i="17"/>
  <c r="C46" i="17" s="1"/>
  <c r="C45" i="17"/>
  <c r="B44" i="17"/>
  <c r="C44" i="17" s="1"/>
  <c r="C43" i="17"/>
  <c r="B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H432" i="16"/>
  <c r="S431" i="16"/>
  <c r="T431" i="16" s="1"/>
  <c r="N431" i="16"/>
  <c r="O431" i="16" s="1"/>
  <c r="I431" i="16"/>
  <c r="H431" i="16"/>
  <c r="G431" i="16"/>
  <c r="T430" i="16"/>
  <c r="S430" i="16"/>
  <c r="O430" i="16"/>
  <c r="N430" i="16"/>
  <c r="I430" i="16"/>
  <c r="G430" i="16"/>
  <c r="H430" i="16" s="1"/>
  <c r="S429" i="16"/>
  <c r="T429" i="16" s="1"/>
  <c r="N429" i="16"/>
  <c r="O429" i="16" s="1"/>
  <c r="I429" i="16"/>
  <c r="H429" i="16"/>
  <c r="G429" i="16"/>
  <c r="S428" i="16"/>
  <c r="T428" i="16" s="1"/>
  <c r="O428" i="16"/>
  <c r="N428" i="16"/>
  <c r="I428" i="16"/>
  <c r="G428" i="16"/>
  <c r="H428" i="16" s="1"/>
  <c r="S427" i="16"/>
  <c r="T427" i="16" s="1"/>
  <c r="N427" i="16"/>
  <c r="O427" i="16" s="1"/>
  <c r="I427" i="16"/>
  <c r="G427" i="16"/>
  <c r="H427" i="16" s="1"/>
  <c r="T426" i="16"/>
  <c r="S426" i="16"/>
  <c r="N426" i="16"/>
  <c r="O426" i="16" s="1"/>
  <c r="I426" i="16"/>
  <c r="H426" i="16"/>
  <c r="G426" i="16"/>
  <c r="S425" i="16"/>
  <c r="T425" i="16" s="1"/>
  <c r="O425" i="16"/>
  <c r="N425" i="16"/>
  <c r="I425" i="16"/>
  <c r="H425" i="16"/>
  <c r="G425" i="16"/>
  <c r="S424" i="16"/>
  <c r="T424" i="16" s="1"/>
  <c r="O424" i="16"/>
  <c r="N424" i="16"/>
  <c r="I424" i="16"/>
  <c r="G424" i="16"/>
  <c r="H424" i="16" s="1"/>
  <c r="T423" i="16"/>
  <c r="S423" i="16"/>
  <c r="N423" i="16"/>
  <c r="O423" i="16" s="1"/>
  <c r="I423" i="16"/>
  <c r="G423" i="16"/>
  <c r="H423" i="16" s="1"/>
  <c r="T422" i="16"/>
  <c r="S422" i="16"/>
  <c r="N422" i="16"/>
  <c r="O422" i="16" s="1"/>
  <c r="I422" i="16"/>
  <c r="H422" i="16"/>
  <c r="G422" i="16"/>
  <c r="S421" i="16"/>
  <c r="T421" i="16" s="1"/>
  <c r="O421" i="16"/>
  <c r="N421" i="16"/>
  <c r="I421" i="16"/>
  <c r="H421" i="16"/>
  <c r="G421" i="16"/>
  <c r="S420" i="16"/>
  <c r="T420" i="16" s="1"/>
  <c r="O420" i="16"/>
  <c r="N420" i="16"/>
  <c r="I420" i="16"/>
  <c r="G420" i="16"/>
  <c r="H420" i="16" s="1"/>
  <c r="T419" i="16"/>
  <c r="S419" i="16"/>
  <c r="N419" i="16"/>
  <c r="O419" i="16" s="1"/>
  <c r="I419" i="16"/>
  <c r="G419" i="16"/>
  <c r="H419" i="16" s="1"/>
  <c r="T418" i="16"/>
  <c r="S418" i="16"/>
  <c r="N418" i="16"/>
  <c r="O418" i="16" s="1"/>
  <c r="I418" i="16"/>
  <c r="H418" i="16"/>
  <c r="G418" i="16"/>
  <c r="S417" i="16"/>
  <c r="T417" i="16" s="1"/>
  <c r="O417" i="16"/>
  <c r="N417" i="16"/>
  <c r="H417" i="16"/>
  <c r="I417" i="16" s="1"/>
  <c r="G417" i="16"/>
  <c r="S416" i="16"/>
  <c r="T416" i="16" s="1"/>
  <c r="O416" i="16"/>
  <c r="N416" i="16"/>
  <c r="I416" i="16"/>
  <c r="G416" i="16"/>
  <c r="H416" i="16" s="1"/>
  <c r="T415" i="16"/>
  <c r="S415" i="16"/>
  <c r="N415" i="16"/>
  <c r="O415" i="16" s="1"/>
  <c r="G415" i="16"/>
  <c r="H415" i="16" s="1"/>
  <c r="I415" i="16" s="1"/>
  <c r="T414" i="16"/>
  <c r="S414" i="16"/>
  <c r="N414" i="16"/>
  <c r="O414" i="16" s="1"/>
  <c r="I414" i="16"/>
  <c r="H414" i="16"/>
  <c r="G414" i="16"/>
  <c r="S413" i="16"/>
  <c r="T413" i="16" s="1"/>
  <c r="O413" i="16"/>
  <c r="N413" i="16"/>
  <c r="H413" i="16"/>
  <c r="I413" i="16" s="1"/>
  <c r="G413" i="16"/>
  <c r="S412" i="16"/>
  <c r="T412" i="16" s="1"/>
  <c r="O412" i="16"/>
  <c r="N412" i="16"/>
  <c r="G412" i="16"/>
  <c r="H412" i="16" s="1"/>
  <c r="I412" i="16" s="1"/>
  <c r="T411" i="16"/>
  <c r="S411" i="16"/>
  <c r="N411" i="16"/>
  <c r="O411" i="16" s="1"/>
  <c r="G411" i="16"/>
  <c r="H411" i="16" s="1"/>
  <c r="I411" i="16" s="1"/>
  <c r="T410" i="16"/>
  <c r="S410" i="16"/>
  <c r="G410" i="16"/>
  <c r="H410" i="16" s="1"/>
  <c r="I410" i="16" s="1"/>
  <c r="N409" i="16"/>
  <c r="I409" i="16"/>
  <c r="H409" i="16"/>
  <c r="G409" i="16"/>
  <c r="S408" i="16"/>
  <c r="N408" i="16"/>
  <c r="I408" i="16"/>
  <c r="H408" i="16"/>
  <c r="G408" i="16"/>
  <c r="N407" i="16"/>
  <c r="H407" i="16"/>
  <c r="I407" i="16" s="1"/>
  <c r="G407" i="16"/>
  <c r="S406" i="16"/>
  <c r="I406" i="16"/>
  <c r="H406" i="16"/>
  <c r="G406" i="16"/>
  <c r="S405" i="16"/>
  <c r="N405" i="16"/>
  <c r="I405" i="16"/>
  <c r="G405" i="16"/>
  <c r="S404" i="16"/>
  <c r="N404" i="16"/>
  <c r="G404" i="16"/>
  <c r="H404" i="16" s="1"/>
  <c r="I404" i="16" s="1"/>
  <c r="S403" i="16"/>
  <c r="N403" i="16"/>
  <c r="H403" i="16"/>
  <c r="I403" i="16" s="1"/>
  <c r="G403" i="16"/>
  <c r="S402" i="16"/>
  <c r="N402" i="16"/>
  <c r="I402" i="16"/>
  <c r="H402" i="16"/>
  <c r="G402" i="16"/>
  <c r="S401" i="16"/>
  <c r="N401" i="16"/>
  <c r="I401" i="16"/>
  <c r="H401" i="16"/>
  <c r="G401" i="16"/>
  <c r="S400" i="16"/>
  <c r="G400" i="16"/>
  <c r="H400" i="16" s="1"/>
  <c r="I400" i="16" s="1"/>
  <c r="S399" i="16"/>
  <c r="N399" i="16"/>
  <c r="O399" i="16" s="1"/>
  <c r="I399" i="16"/>
  <c r="H399" i="16"/>
  <c r="S398" i="16"/>
  <c r="G398" i="16"/>
  <c r="H398" i="16" s="1"/>
  <c r="I398" i="16" s="1"/>
  <c r="S397" i="16"/>
  <c r="I397" i="16"/>
  <c r="H397" i="16"/>
  <c r="G397" i="16"/>
  <c r="S396" i="16"/>
  <c r="N396" i="16"/>
  <c r="I396" i="16"/>
  <c r="H396" i="16"/>
  <c r="G396" i="16"/>
  <c r="S395" i="16"/>
  <c r="N395" i="16"/>
  <c r="I395" i="16"/>
  <c r="H395" i="16"/>
  <c r="S394" i="16"/>
  <c r="N394" i="16"/>
  <c r="G394" i="16"/>
  <c r="H394" i="16" s="1"/>
  <c r="I394" i="16" s="1"/>
  <c r="S393" i="16"/>
  <c r="N393" i="16"/>
  <c r="G393" i="16"/>
  <c r="H393" i="16" s="1"/>
  <c r="I393" i="16" s="1"/>
  <c r="S392" i="16"/>
  <c r="N392" i="16"/>
  <c r="H392" i="16"/>
  <c r="I392" i="16" s="1"/>
  <c r="G392" i="16"/>
  <c r="S391" i="16"/>
  <c r="N391" i="16"/>
  <c r="H391" i="16"/>
  <c r="G391" i="16"/>
  <c r="S390" i="16"/>
  <c r="N390" i="16"/>
  <c r="I390" i="16"/>
  <c r="H390" i="16"/>
  <c r="G390" i="16"/>
  <c r="S389" i="16"/>
  <c r="H389" i="16"/>
  <c r="I389" i="16" s="1"/>
  <c r="G389" i="16"/>
  <c r="S388" i="16"/>
  <c r="N388" i="16"/>
  <c r="I388" i="16"/>
  <c r="H388" i="16"/>
  <c r="G388" i="16"/>
  <c r="S387" i="16"/>
  <c r="N387" i="16"/>
  <c r="I387" i="16"/>
  <c r="H387" i="16"/>
  <c r="G387" i="16"/>
  <c r="S386" i="16"/>
  <c r="H386" i="16"/>
  <c r="S385" i="16"/>
  <c r="I385" i="16"/>
  <c r="H385" i="16"/>
  <c r="G385" i="16"/>
  <c r="S384" i="16"/>
  <c r="G384" i="16"/>
  <c r="H384" i="16" s="1"/>
  <c r="I384" i="16" s="1"/>
  <c r="S383" i="16"/>
  <c r="N383" i="16"/>
  <c r="H383" i="16"/>
  <c r="I383" i="16" s="1"/>
  <c r="G383" i="16"/>
  <c r="S382" i="16"/>
  <c r="N382" i="16"/>
  <c r="I382" i="16"/>
  <c r="H382" i="16"/>
  <c r="G382" i="16"/>
  <c r="S381" i="16"/>
  <c r="G381" i="16"/>
  <c r="H381" i="16" s="1"/>
  <c r="I381" i="16" s="1"/>
  <c r="S380" i="16"/>
  <c r="I380" i="16"/>
  <c r="H380" i="16"/>
  <c r="G380" i="16"/>
  <c r="S379" i="16"/>
  <c r="N379" i="16"/>
  <c r="I379" i="16"/>
  <c r="H379" i="16"/>
  <c r="G379" i="16"/>
  <c r="S378" i="16"/>
  <c r="N378" i="16"/>
  <c r="I378" i="16"/>
  <c r="H378" i="16"/>
  <c r="S377" i="16"/>
  <c r="N377" i="16"/>
  <c r="G377" i="16"/>
  <c r="H377" i="16" s="1"/>
  <c r="I377" i="16" s="1"/>
  <c r="S376" i="16"/>
  <c r="N376" i="16"/>
  <c r="G376" i="16"/>
  <c r="H376" i="16" s="1"/>
  <c r="I376" i="16" s="1"/>
  <c r="S375" i="16"/>
  <c r="N375" i="16"/>
  <c r="H375" i="16"/>
  <c r="I375" i="16" s="1"/>
  <c r="G375" i="16"/>
  <c r="S374" i="16"/>
  <c r="G374" i="16"/>
  <c r="H374" i="16" s="1"/>
  <c r="I374" i="16" s="1"/>
  <c r="S373" i="16"/>
  <c r="N373" i="16"/>
  <c r="H373" i="16"/>
  <c r="I373" i="16" s="1"/>
  <c r="S372" i="16"/>
  <c r="N372" i="16"/>
  <c r="G372" i="16"/>
  <c r="H372" i="16" s="1"/>
  <c r="I372" i="16" s="1"/>
  <c r="S371" i="16"/>
  <c r="N371" i="16"/>
  <c r="H371" i="16"/>
  <c r="I371" i="16" s="1"/>
  <c r="G371" i="16"/>
  <c r="S370" i="16"/>
  <c r="G370" i="16"/>
  <c r="H370" i="16" s="1"/>
  <c r="I370" i="16" s="1"/>
  <c r="S369" i="16"/>
  <c r="H369" i="16"/>
  <c r="I369" i="16" s="1"/>
  <c r="G369" i="16"/>
  <c r="S368" i="16"/>
  <c r="G368" i="16"/>
  <c r="H368" i="16" s="1"/>
  <c r="I368" i="16" s="1"/>
  <c r="S367" i="16"/>
  <c r="N367" i="16"/>
  <c r="G367" i="16"/>
  <c r="H367" i="16" s="1"/>
  <c r="I367" i="16" s="1"/>
  <c r="S366" i="16"/>
  <c r="N366" i="16"/>
  <c r="H366" i="16"/>
  <c r="I366" i="16" s="1"/>
  <c r="G366" i="16"/>
  <c r="S365" i="16"/>
  <c r="N365" i="16"/>
  <c r="I365" i="16"/>
  <c r="H365" i="16"/>
  <c r="G365" i="16"/>
  <c r="S364" i="16"/>
  <c r="N364" i="16"/>
  <c r="G364" i="16"/>
  <c r="H364" i="16" s="1"/>
  <c r="I364" i="16" s="1"/>
  <c r="S363" i="16"/>
  <c r="H363" i="16"/>
  <c r="I363" i="16" s="1"/>
  <c r="G363" i="16"/>
  <c r="S362" i="16"/>
  <c r="N362" i="16"/>
  <c r="I362" i="16"/>
  <c r="H362" i="16"/>
  <c r="G362" i="16"/>
  <c r="S361" i="16"/>
  <c r="H361" i="16"/>
  <c r="I361" i="16" s="1"/>
  <c r="G361" i="16"/>
  <c r="S360" i="16"/>
  <c r="N360" i="16"/>
  <c r="I360" i="16"/>
  <c r="H360" i="16"/>
  <c r="G360" i="16"/>
  <c r="S359" i="16"/>
  <c r="G359" i="16"/>
  <c r="H359" i="16" s="1"/>
  <c r="I359" i="16" s="1"/>
  <c r="S358" i="16"/>
  <c r="N358" i="16"/>
  <c r="G358" i="16"/>
  <c r="H358" i="16" s="1"/>
  <c r="I358" i="16" s="1"/>
  <c r="S357" i="16"/>
  <c r="I357" i="16"/>
  <c r="H357" i="16"/>
  <c r="G357" i="16"/>
  <c r="S356" i="16"/>
  <c r="N356" i="16"/>
  <c r="G356" i="16"/>
  <c r="H356" i="16" s="1"/>
  <c r="I356" i="16" s="1"/>
  <c r="S355" i="16"/>
  <c r="N355" i="16"/>
  <c r="G355" i="16"/>
  <c r="H355" i="16" s="1"/>
  <c r="I355" i="16" s="1"/>
  <c r="S354" i="16"/>
  <c r="N354" i="16"/>
  <c r="H354" i="16"/>
  <c r="I354" i="16" s="1"/>
  <c r="G354" i="16"/>
  <c r="S353" i="16"/>
  <c r="N353" i="16"/>
  <c r="I353" i="16"/>
  <c r="H353" i="16"/>
  <c r="G353" i="16"/>
  <c r="S352" i="16"/>
  <c r="N352" i="16"/>
  <c r="G352" i="16"/>
  <c r="H352" i="16" s="1"/>
  <c r="I352" i="16" s="1"/>
  <c r="S351" i="16"/>
  <c r="H351" i="16"/>
  <c r="I351" i="16" s="1"/>
  <c r="G351" i="16"/>
  <c r="S350" i="16"/>
  <c r="G350" i="16"/>
  <c r="H350" i="16" s="1"/>
  <c r="I350" i="16" s="1"/>
  <c r="S349" i="16"/>
  <c r="H349" i="16"/>
  <c r="I349" i="16" s="1"/>
  <c r="G349" i="16"/>
  <c r="S348" i="16"/>
  <c r="N348" i="16"/>
  <c r="I348" i="16"/>
  <c r="H348" i="16"/>
  <c r="G348" i="16"/>
  <c r="S347" i="16"/>
  <c r="N347" i="16"/>
  <c r="G347" i="16"/>
  <c r="H347" i="16" s="1"/>
  <c r="I347" i="16" s="1"/>
  <c r="S346" i="16"/>
  <c r="H346" i="16"/>
  <c r="I346" i="16" s="1"/>
  <c r="G346" i="16"/>
  <c r="S345" i="16"/>
  <c r="N345" i="16"/>
  <c r="I345" i="16"/>
  <c r="H345" i="16"/>
  <c r="G345" i="16"/>
  <c r="S344" i="16"/>
  <c r="N344" i="16"/>
  <c r="G344" i="16"/>
  <c r="H344" i="16" s="1"/>
  <c r="I344" i="16" s="1"/>
  <c r="S343" i="16"/>
  <c r="N343" i="16"/>
  <c r="G343" i="16"/>
  <c r="H343" i="16" s="1"/>
  <c r="I343" i="16" s="1"/>
  <c r="S342" i="16"/>
  <c r="N342" i="16"/>
  <c r="H342" i="16"/>
  <c r="I342" i="16" s="1"/>
  <c r="G342" i="16"/>
  <c r="N341" i="16"/>
  <c r="I341" i="16"/>
  <c r="G341" i="16"/>
  <c r="H341" i="16" s="1"/>
  <c r="N340" i="16"/>
  <c r="G340" i="16"/>
  <c r="H340" i="16" s="1"/>
  <c r="I340" i="16" s="1"/>
  <c r="S339" i="16"/>
  <c r="G339" i="16"/>
  <c r="H339" i="16" s="1"/>
  <c r="I339" i="16" s="1"/>
  <c r="N338" i="16"/>
  <c r="G338" i="16"/>
  <c r="H338" i="16" s="1"/>
  <c r="I338" i="16" s="1"/>
  <c r="S337" i="16"/>
  <c r="N337" i="16"/>
  <c r="H337" i="16"/>
  <c r="I337" i="16" s="1"/>
  <c r="G337" i="16"/>
  <c r="N336" i="16"/>
  <c r="G336" i="16"/>
  <c r="H336" i="16" s="1"/>
  <c r="I336" i="16" s="1"/>
  <c r="S335" i="16"/>
  <c r="N335" i="16"/>
  <c r="H335" i="16"/>
  <c r="I335" i="16" s="1"/>
  <c r="G335" i="16"/>
  <c r="S334" i="16"/>
  <c r="N334" i="16"/>
  <c r="I334" i="16"/>
  <c r="H334" i="16"/>
  <c r="G334" i="16"/>
  <c r="S333" i="16"/>
  <c r="N333" i="16"/>
  <c r="I333" i="16"/>
  <c r="G333" i="16"/>
  <c r="H333" i="16" s="1"/>
  <c r="S332" i="16"/>
  <c r="G332" i="16"/>
  <c r="H332" i="16" s="1"/>
  <c r="I332" i="16" s="1"/>
  <c r="S331" i="16"/>
  <c r="G331" i="16"/>
  <c r="H331" i="16" s="1"/>
  <c r="I331" i="16" s="1"/>
  <c r="S330" i="16"/>
  <c r="H330" i="16"/>
  <c r="I330" i="16" s="1"/>
  <c r="G330" i="16"/>
  <c r="S329" i="16"/>
  <c r="N329" i="16"/>
  <c r="I329" i="16"/>
  <c r="H329" i="16"/>
  <c r="G329" i="16"/>
  <c r="S328" i="16"/>
  <c r="N328" i="16"/>
  <c r="I328" i="16"/>
  <c r="G328" i="16"/>
  <c r="H328" i="16" s="1"/>
  <c r="S327" i="16"/>
  <c r="N327" i="16"/>
  <c r="H327" i="16"/>
  <c r="I327" i="16" s="1"/>
  <c r="G327" i="16"/>
  <c r="S326" i="16"/>
  <c r="N326" i="16"/>
  <c r="O326" i="16" s="1"/>
  <c r="I326" i="16"/>
  <c r="H326" i="16"/>
  <c r="S325" i="16"/>
  <c r="G325" i="16"/>
  <c r="H325" i="16" s="1"/>
  <c r="I325" i="16" s="1"/>
  <c r="S324" i="16"/>
  <c r="G324" i="16"/>
  <c r="H324" i="16" s="1"/>
  <c r="I324" i="16" s="1"/>
  <c r="S323" i="16"/>
  <c r="I323" i="16"/>
  <c r="G323" i="16"/>
  <c r="H323" i="16" s="1"/>
  <c r="S322" i="16"/>
  <c r="N322" i="16"/>
  <c r="H322" i="16"/>
  <c r="I322" i="16" s="1"/>
  <c r="G322" i="16"/>
  <c r="S321" i="16"/>
  <c r="N321" i="16"/>
  <c r="I321" i="16"/>
  <c r="H321" i="16"/>
  <c r="G321" i="16"/>
  <c r="S320" i="16"/>
  <c r="N320" i="16"/>
  <c r="I320" i="16"/>
  <c r="H320" i="16"/>
  <c r="G320" i="16"/>
  <c r="S319" i="16"/>
  <c r="N319" i="16"/>
  <c r="G319" i="16"/>
  <c r="H319" i="16" s="1"/>
  <c r="I319" i="16" s="1"/>
  <c r="S318" i="16"/>
  <c r="N318" i="16"/>
  <c r="G318" i="16"/>
  <c r="H318" i="16" s="1"/>
  <c r="I318" i="16" s="1"/>
  <c r="S317" i="16"/>
  <c r="N317" i="16"/>
  <c r="G317" i="16"/>
  <c r="H317" i="16" s="1"/>
  <c r="I317" i="16" s="1"/>
  <c r="S316" i="16"/>
  <c r="N316" i="16"/>
  <c r="H316" i="16"/>
  <c r="I316" i="16" s="1"/>
  <c r="G316" i="16"/>
  <c r="S315" i="16"/>
  <c r="N315" i="16"/>
  <c r="I315" i="16"/>
  <c r="G315" i="16"/>
  <c r="H315" i="16" s="1"/>
  <c r="S314" i="16"/>
  <c r="N314" i="16"/>
  <c r="H314" i="16"/>
  <c r="I314" i="16" s="1"/>
  <c r="S313" i="16"/>
  <c r="N313" i="16"/>
  <c r="G313" i="16"/>
  <c r="H313" i="16" s="1"/>
  <c r="I313" i="16" s="1"/>
  <c r="S312" i="16"/>
  <c r="N312" i="16"/>
  <c r="H312" i="16"/>
  <c r="I312" i="16" s="1"/>
  <c r="G312" i="16"/>
  <c r="S311" i="16"/>
  <c r="N311" i="16"/>
  <c r="I311" i="16"/>
  <c r="H311" i="16"/>
  <c r="G311" i="16"/>
  <c r="S310" i="16"/>
  <c r="G310" i="16"/>
  <c r="H310" i="16" s="1"/>
  <c r="I310" i="16" s="1"/>
  <c r="S309" i="16"/>
  <c r="H309" i="16"/>
  <c r="I309" i="16" s="1"/>
  <c r="G309" i="16"/>
  <c r="S308" i="16"/>
  <c r="H308" i="16"/>
  <c r="I308" i="16" s="1"/>
  <c r="G308" i="16"/>
  <c r="N307" i="16"/>
  <c r="I307" i="16"/>
  <c r="H307" i="16"/>
  <c r="G307" i="16"/>
  <c r="N306" i="16"/>
  <c r="H306" i="16"/>
  <c r="I306" i="16" s="1"/>
  <c r="N305" i="16"/>
  <c r="H305" i="16"/>
  <c r="I305" i="16" s="1"/>
  <c r="G305" i="16"/>
  <c r="S304" i="16"/>
  <c r="G304" i="16"/>
  <c r="H304" i="16" s="1"/>
  <c r="I304" i="16" s="1"/>
  <c r="S303" i="16"/>
  <c r="N303" i="16"/>
  <c r="G303" i="16"/>
  <c r="H303" i="16" s="1"/>
  <c r="I303" i="16" s="1"/>
  <c r="N302" i="16"/>
  <c r="I302" i="16"/>
  <c r="H302" i="16"/>
  <c r="G302" i="16"/>
  <c r="N301" i="16"/>
  <c r="G301" i="16"/>
  <c r="H301" i="16" s="1"/>
  <c r="I301" i="16" s="1"/>
  <c r="S300" i="16"/>
  <c r="I300" i="16"/>
  <c r="H300" i="16"/>
  <c r="G300" i="16"/>
  <c r="S299" i="16"/>
  <c r="G299" i="16"/>
  <c r="H299" i="16" s="1"/>
  <c r="I299" i="16" s="1"/>
  <c r="N298" i="16"/>
  <c r="I298" i="16"/>
  <c r="H298" i="16"/>
  <c r="G298" i="16"/>
  <c r="S297" i="16"/>
  <c r="G297" i="16"/>
  <c r="H297" i="16" s="1"/>
  <c r="I297" i="16" s="1"/>
  <c r="S296" i="16"/>
  <c r="N296" i="16"/>
  <c r="H296" i="16"/>
  <c r="I296" i="16" s="1"/>
  <c r="G296" i="16"/>
  <c r="S295" i="16"/>
  <c r="G295" i="16"/>
  <c r="H295" i="16" s="1"/>
  <c r="I295" i="16" s="1"/>
  <c r="S294" i="16"/>
  <c r="H294" i="16"/>
  <c r="I294" i="16" s="1"/>
  <c r="G294" i="16"/>
  <c r="S293" i="16"/>
  <c r="G293" i="16"/>
  <c r="H293" i="16" s="1"/>
  <c r="I293" i="16" s="1"/>
  <c r="S292" i="16"/>
  <c r="N292" i="16"/>
  <c r="H292" i="16"/>
  <c r="I292" i="16" s="1"/>
  <c r="G292" i="16"/>
  <c r="S291" i="16"/>
  <c r="N291" i="16"/>
  <c r="I291" i="16"/>
  <c r="H291" i="16"/>
  <c r="G291" i="16"/>
  <c r="S290" i="16"/>
  <c r="G290" i="16"/>
  <c r="H290" i="16" s="1"/>
  <c r="I290" i="16" s="1"/>
  <c r="S289" i="16"/>
  <c r="I289" i="16"/>
  <c r="H289" i="16"/>
  <c r="G289" i="16"/>
  <c r="S288" i="16"/>
  <c r="G288" i="16"/>
  <c r="H288" i="16" s="1"/>
  <c r="I288" i="16" s="1"/>
  <c r="S287" i="16"/>
  <c r="I287" i="16"/>
  <c r="H287" i="16"/>
  <c r="G287" i="16"/>
  <c r="S286" i="16"/>
  <c r="G286" i="16"/>
  <c r="H286" i="16" s="1"/>
  <c r="I286" i="16" s="1"/>
  <c r="N285" i="16"/>
  <c r="I285" i="16"/>
  <c r="H285" i="16"/>
  <c r="G285" i="16"/>
  <c r="S284" i="16"/>
  <c r="N284" i="16"/>
  <c r="I284" i="16"/>
  <c r="H284" i="16"/>
  <c r="G284" i="16"/>
  <c r="S283" i="16"/>
  <c r="G283" i="16"/>
  <c r="H283" i="16" s="1"/>
  <c r="I283" i="16" s="1"/>
  <c r="S282" i="16"/>
  <c r="I282" i="16"/>
  <c r="H282" i="16"/>
  <c r="G282" i="16"/>
  <c r="S281" i="16"/>
  <c r="H281" i="16"/>
  <c r="I281" i="16" s="1"/>
  <c r="G281" i="16"/>
  <c r="S280" i="16"/>
  <c r="I280" i="16"/>
  <c r="H280" i="16"/>
  <c r="G280" i="16"/>
  <c r="S279" i="16"/>
  <c r="N279" i="16"/>
  <c r="G279" i="16"/>
  <c r="H279" i="16" s="1"/>
  <c r="I279" i="16" s="1"/>
  <c r="S278" i="16"/>
  <c r="N278" i="16"/>
  <c r="H278" i="16"/>
  <c r="I278" i="16" s="1"/>
  <c r="S277" i="16"/>
  <c r="N277" i="16"/>
  <c r="G277" i="16"/>
  <c r="H277" i="16" s="1"/>
  <c r="I277" i="16" s="1"/>
  <c r="S276" i="16"/>
  <c r="N276" i="16"/>
  <c r="H276" i="16"/>
  <c r="I276" i="16" s="1"/>
  <c r="G276" i="16"/>
  <c r="S275" i="16"/>
  <c r="G275" i="16"/>
  <c r="H275" i="16" s="1"/>
  <c r="I275" i="16" s="1"/>
  <c r="S274" i="16"/>
  <c r="N274" i="16"/>
  <c r="H274" i="16"/>
  <c r="I274" i="16" s="1"/>
  <c r="G274" i="16"/>
  <c r="S273" i="16"/>
  <c r="N273" i="16"/>
  <c r="I273" i="16"/>
  <c r="H273" i="16"/>
  <c r="G273" i="16"/>
  <c r="S272" i="16"/>
  <c r="N272" i="16"/>
  <c r="I272" i="16"/>
  <c r="H272" i="16"/>
  <c r="G272" i="16"/>
  <c r="S271" i="16"/>
  <c r="N271" i="16"/>
  <c r="I271" i="16"/>
  <c r="H271" i="16"/>
  <c r="S270" i="16"/>
  <c r="H270" i="16"/>
  <c r="I270" i="16" s="1"/>
  <c r="G270" i="16"/>
  <c r="S269" i="16"/>
  <c r="N269" i="16"/>
  <c r="I269" i="16"/>
  <c r="H269" i="16"/>
  <c r="G269" i="16"/>
  <c r="S268" i="16"/>
  <c r="N268" i="16"/>
  <c r="I268" i="16"/>
  <c r="H268" i="16"/>
  <c r="G268" i="16"/>
  <c r="S267" i="16"/>
  <c r="H267" i="16"/>
  <c r="I267" i="16" s="1"/>
  <c r="G267" i="16"/>
  <c r="S266" i="16"/>
  <c r="N266" i="16"/>
  <c r="I266" i="16"/>
  <c r="H266" i="16"/>
  <c r="G266" i="16"/>
  <c r="S265" i="16"/>
  <c r="N265" i="16"/>
  <c r="I265" i="16"/>
  <c r="H265" i="16"/>
  <c r="S264" i="16"/>
  <c r="N264" i="16"/>
  <c r="I264" i="16"/>
  <c r="H264" i="16"/>
  <c r="G264" i="16"/>
  <c r="S263" i="16"/>
  <c r="N263" i="16"/>
  <c r="G263" i="16"/>
  <c r="H263" i="16" s="1"/>
  <c r="I263" i="16" s="1"/>
  <c r="S262" i="16"/>
  <c r="N262" i="16"/>
  <c r="H262" i="16"/>
  <c r="I262" i="16" s="1"/>
  <c r="S261" i="16"/>
  <c r="N261" i="16"/>
  <c r="H261" i="16"/>
  <c r="I261" i="16" s="1"/>
  <c r="G261" i="16"/>
  <c r="S260" i="16"/>
  <c r="N260" i="16"/>
  <c r="I260" i="16"/>
  <c r="H260" i="16"/>
  <c r="G260" i="16"/>
  <c r="S259" i="16"/>
  <c r="N259" i="16"/>
  <c r="I259" i="16"/>
  <c r="H259" i="16"/>
  <c r="S258" i="16"/>
  <c r="G258" i="16"/>
  <c r="H258" i="16" s="1"/>
  <c r="I258" i="16" s="1"/>
  <c r="S257" i="16"/>
  <c r="I257" i="16"/>
  <c r="H257" i="16"/>
  <c r="G257" i="16"/>
  <c r="S256" i="16"/>
  <c r="I256" i="16"/>
  <c r="H256" i="16"/>
  <c r="S255" i="16"/>
  <c r="H255" i="16"/>
  <c r="S254" i="16"/>
  <c r="I254" i="16"/>
  <c r="H254" i="16"/>
  <c r="G254" i="16"/>
  <c r="S253" i="16"/>
  <c r="G253" i="16"/>
  <c r="H253" i="16" s="1"/>
  <c r="I253" i="16" s="1"/>
  <c r="S252" i="16"/>
  <c r="N252" i="16"/>
  <c r="H252" i="16"/>
  <c r="I252" i="16" s="1"/>
  <c r="N251" i="16"/>
  <c r="I251" i="16"/>
  <c r="H251" i="16"/>
  <c r="G251" i="16"/>
  <c r="S250" i="16"/>
  <c r="G250" i="16"/>
  <c r="H250" i="16" s="1"/>
  <c r="I250" i="16" s="1"/>
  <c r="S249" i="16"/>
  <c r="N249" i="16"/>
  <c r="H249" i="16"/>
  <c r="I249" i="16" s="1"/>
  <c r="G249" i="16"/>
  <c r="N248" i="16"/>
  <c r="I248" i="16"/>
  <c r="H248" i="16"/>
  <c r="G248" i="16"/>
  <c r="S247" i="16"/>
  <c r="G247" i="16"/>
  <c r="H247" i="16" s="1"/>
  <c r="I247" i="16" s="1"/>
  <c r="S246" i="16"/>
  <c r="N246" i="16"/>
  <c r="H246" i="16"/>
  <c r="I246" i="16" s="1"/>
  <c r="G246" i="16"/>
  <c r="N245" i="16"/>
  <c r="I245" i="16"/>
  <c r="G245" i="16"/>
  <c r="H245" i="16" s="1"/>
  <c r="S244" i="16"/>
  <c r="N244" i="16"/>
  <c r="H244" i="16"/>
  <c r="I244" i="16" s="1"/>
  <c r="S243" i="16"/>
  <c r="N243" i="16"/>
  <c r="H243" i="16"/>
  <c r="I243" i="16" s="1"/>
  <c r="G243" i="16"/>
  <c r="S242" i="16"/>
  <c r="N242" i="16"/>
  <c r="I242" i="16"/>
  <c r="H242" i="16"/>
  <c r="G242" i="16"/>
  <c r="S241" i="16"/>
  <c r="N241" i="16"/>
  <c r="I241" i="16"/>
  <c r="H241" i="16"/>
  <c r="G241" i="16"/>
  <c r="S240" i="16"/>
  <c r="H240" i="16"/>
  <c r="I240" i="16" s="1"/>
  <c r="G240" i="16"/>
  <c r="S239" i="16"/>
  <c r="I239" i="16"/>
  <c r="H239" i="16"/>
  <c r="G239" i="16"/>
  <c r="S238" i="16"/>
  <c r="H238" i="16"/>
  <c r="I238" i="16" s="1"/>
  <c r="S237" i="16"/>
  <c r="I237" i="16"/>
  <c r="H237" i="16"/>
  <c r="G237" i="16"/>
  <c r="S236" i="16"/>
  <c r="G236" i="16"/>
  <c r="H236" i="16" s="1"/>
  <c r="I236" i="16" s="1"/>
  <c r="S235" i="16"/>
  <c r="I235" i="16"/>
  <c r="H235" i="16"/>
  <c r="S234" i="16"/>
  <c r="N234" i="16"/>
  <c r="I234" i="16"/>
  <c r="H234" i="16"/>
  <c r="S233" i="16"/>
  <c r="N233" i="16"/>
  <c r="I233" i="16"/>
  <c r="H233" i="16"/>
  <c r="G233" i="16"/>
  <c r="S232" i="16"/>
  <c r="N232" i="16"/>
  <c r="I232" i="16"/>
  <c r="H232" i="16"/>
  <c r="S231" i="16"/>
  <c r="N231" i="16"/>
  <c r="I231" i="16"/>
  <c r="H231" i="16"/>
  <c r="G231" i="16"/>
  <c r="S230" i="16"/>
  <c r="N230" i="16"/>
  <c r="I230" i="16"/>
  <c r="H230" i="16"/>
  <c r="S229" i="16"/>
  <c r="N229" i="16"/>
  <c r="G229" i="16"/>
  <c r="H229" i="16" s="1"/>
  <c r="I229" i="16" s="1"/>
  <c r="S228" i="16"/>
  <c r="N228" i="16"/>
  <c r="H228" i="16"/>
  <c r="I228" i="16" s="1"/>
  <c r="G228" i="16"/>
  <c r="S227" i="16"/>
  <c r="N227" i="16"/>
  <c r="I227" i="16"/>
  <c r="H227" i="16"/>
  <c r="G227" i="16"/>
  <c r="S226" i="16"/>
  <c r="N226" i="16"/>
  <c r="I226" i="16"/>
  <c r="H226" i="16"/>
  <c r="G226" i="16"/>
  <c r="S225" i="16"/>
  <c r="H225" i="16"/>
  <c r="I225" i="16" s="1"/>
  <c r="G225" i="16"/>
  <c r="S224" i="16"/>
  <c r="I224" i="16"/>
  <c r="H224" i="16"/>
  <c r="G224" i="16"/>
  <c r="S223" i="16"/>
  <c r="H223" i="16"/>
  <c r="I223" i="16" s="1"/>
  <c r="G223" i="16"/>
  <c r="N222" i="16"/>
  <c r="I222" i="16"/>
  <c r="H222" i="16"/>
  <c r="N221" i="16"/>
  <c r="G221" i="16"/>
  <c r="H221" i="16" s="1"/>
  <c r="I221" i="16" s="1"/>
  <c r="N220" i="16"/>
  <c r="I220" i="16"/>
  <c r="H220" i="16"/>
  <c r="G220" i="16"/>
  <c r="N219" i="16"/>
  <c r="G219" i="16"/>
  <c r="H219" i="16" s="1"/>
  <c r="I219" i="16" s="1"/>
  <c r="S218" i="16"/>
  <c r="N218" i="16"/>
  <c r="H218" i="16"/>
  <c r="I218" i="16" s="1"/>
  <c r="G218" i="16"/>
  <c r="S217" i="16"/>
  <c r="I217" i="16"/>
  <c r="H217" i="16"/>
  <c r="G217" i="16"/>
  <c r="S216" i="16"/>
  <c r="H216" i="16"/>
  <c r="I216" i="16" s="1"/>
  <c r="G216" i="16"/>
  <c r="S215" i="16"/>
  <c r="N215" i="16"/>
  <c r="I215" i="16"/>
  <c r="H215" i="16"/>
  <c r="G215" i="16"/>
  <c r="S214" i="16"/>
  <c r="N214" i="16"/>
  <c r="I214" i="16"/>
  <c r="H214" i="16"/>
  <c r="G214" i="16"/>
  <c r="S213" i="16"/>
  <c r="N213" i="16"/>
  <c r="I213" i="16"/>
  <c r="H213" i="16"/>
  <c r="S212" i="16"/>
  <c r="N212" i="16"/>
  <c r="G212" i="16"/>
  <c r="H212" i="16" s="1"/>
  <c r="I212" i="16" s="1"/>
  <c r="S211" i="16"/>
  <c r="N211" i="16"/>
  <c r="H211" i="16"/>
  <c r="I211" i="16" s="1"/>
  <c r="G211" i="16"/>
  <c r="S210" i="16"/>
  <c r="N210" i="16"/>
  <c r="I210" i="16"/>
  <c r="H210" i="16"/>
  <c r="G210" i="16"/>
  <c r="S209" i="16"/>
  <c r="G209" i="16"/>
  <c r="H209" i="16" s="1"/>
  <c r="I209" i="16" s="1"/>
  <c r="S208" i="16"/>
  <c r="I208" i="16"/>
  <c r="H208" i="16"/>
  <c r="G208" i="16"/>
  <c r="N207" i="16"/>
  <c r="G207" i="16"/>
  <c r="H207" i="16" s="1"/>
  <c r="I207" i="16" s="1"/>
  <c r="S206" i="16"/>
  <c r="I206" i="16"/>
  <c r="H206" i="16"/>
  <c r="G206" i="16"/>
  <c r="S205" i="16"/>
  <c r="N205" i="16"/>
  <c r="I205" i="16"/>
  <c r="H205" i="16"/>
  <c r="S204" i="16"/>
  <c r="N204" i="16"/>
  <c r="I204" i="16"/>
  <c r="H204" i="16"/>
  <c r="G204" i="16"/>
  <c r="S203" i="16"/>
  <c r="N203" i="16"/>
  <c r="G203" i="16"/>
  <c r="H203" i="16" s="1"/>
  <c r="I203" i="16" s="1"/>
  <c r="S202" i="16"/>
  <c r="N202" i="16"/>
  <c r="H202" i="16"/>
  <c r="I202" i="16" s="1"/>
  <c r="G202" i="16"/>
  <c r="S201" i="16"/>
  <c r="I201" i="16"/>
  <c r="H201" i="16"/>
  <c r="G201" i="16"/>
  <c r="S200" i="16"/>
  <c r="G200" i="16"/>
  <c r="H200" i="16" s="1"/>
  <c r="I200" i="16" s="1"/>
  <c r="S199" i="16"/>
  <c r="I199" i="16"/>
  <c r="H199" i="16"/>
  <c r="G199" i="16"/>
  <c r="N198" i="16"/>
  <c r="H198" i="16"/>
  <c r="I198" i="16" s="1"/>
  <c r="G198" i="16"/>
  <c r="S197" i="16"/>
  <c r="N197" i="16"/>
  <c r="I197" i="16"/>
  <c r="H197" i="16"/>
  <c r="S196" i="16"/>
  <c r="N196" i="16"/>
  <c r="I196" i="16"/>
  <c r="H196" i="16"/>
  <c r="G196" i="16"/>
  <c r="S195" i="16"/>
  <c r="N195" i="16"/>
  <c r="I195" i="16"/>
  <c r="H195" i="16"/>
  <c r="S194" i="16"/>
  <c r="N194" i="16"/>
  <c r="I194" i="16"/>
  <c r="H194" i="16"/>
  <c r="G194" i="16"/>
  <c r="S193" i="16"/>
  <c r="N193" i="16"/>
  <c r="G193" i="16"/>
  <c r="H193" i="16" s="1"/>
  <c r="I193" i="16" s="1"/>
  <c r="S192" i="16"/>
  <c r="N192" i="16"/>
  <c r="H192" i="16"/>
  <c r="I192" i="16" s="1"/>
  <c r="G192" i="16"/>
  <c r="N191" i="16"/>
  <c r="I191" i="16"/>
  <c r="H191" i="16"/>
  <c r="G191" i="16"/>
  <c r="S190" i="16"/>
  <c r="H190" i="16"/>
  <c r="I190" i="16" s="1"/>
  <c r="G190" i="16"/>
  <c r="S189" i="16"/>
  <c r="I189" i="16"/>
  <c r="H189" i="16"/>
  <c r="G189" i="16"/>
  <c r="S188" i="16"/>
  <c r="G188" i="16"/>
  <c r="H188" i="16" s="1"/>
  <c r="I188" i="16" s="1"/>
  <c r="S187" i="16"/>
  <c r="I187" i="16"/>
  <c r="H187" i="16"/>
  <c r="G187" i="16"/>
  <c r="S186" i="16"/>
  <c r="N186" i="16"/>
  <c r="G186" i="16"/>
  <c r="H186" i="16" s="1"/>
  <c r="I186" i="16" s="1"/>
  <c r="S185" i="16"/>
  <c r="N185" i="16"/>
  <c r="G185" i="16"/>
  <c r="H185" i="16" s="1"/>
  <c r="I185" i="16" s="1"/>
  <c r="S184" i="16"/>
  <c r="N184" i="16"/>
  <c r="H184" i="16"/>
  <c r="I184" i="16" s="1"/>
  <c r="G184" i="16"/>
  <c r="AE183" i="16"/>
  <c r="N183" i="16"/>
  <c r="H183" i="16"/>
  <c r="I183" i="16" s="1"/>
  <c r="G183" i="16"/>
  <c r="AE182" i="16"/>
  <c r="N182" i="16"/>
  <c r="G182" i="16"/>
  <c r="H182" i="16" s="1"/>
  <c r="I182" i="16" s="1"/>
  <c r="AE181" i="16"/>
  <c r="S181" i="16"/>
  <c r="I181" i="16"/>
  <c r="H181" i="16"/>
  <c r="G181" i="16"/>
  <c r="AE180" i="16"/>
  <c r="S180" i="16"/>
  <c r="H180" i="16"/>
  <c r="I180" i="16" s="1"/>
  <c r="G180" i="16"/>
  <c r="AE179" i="16"/>
  <c r="S179" i="16"/>
  <c r="H179" i="16"/>
  <c r="I179" i="16" s="1"/>
  <c r="G179" i="16"/>
  <c r="AE178" i="16"/>
  <c r="N178" i="16"/>
  <c r="G178" i="16"/>
  <c r="H178" i="16" s="1"/>
  <c r="I178" i="16" s="1"/>
  <c r="AE177" i="16"/>
  <c r="S177" i="16"/>
  <c r="N177" i="16"/>
  <c r="H177" i="16"/>
  <c r="I177" i="16" s="1"/>
  <c r="G177" i="16"/>
  <c r="AE176" i="16"/>
  <c r="S176" i="16"/>
  <c r="N176" i="16"/>
  <c r="I176" i="16"/>
  <c r="H176" i="16"/>
  <c r="AE175" i="16"/>
  <c r="S175" i="16"/>
  <c r="N175" i="16"/>
  <c r="H175" i="16"/>
  <c r="I175" i="16" s="1"/>
  <c r="G175" i="16"/>
  <c r="AE174" i="16"/>
  <c r="S174" i="16"/>
  <c r="N174" i="16"/>
  <c r="I174" i="16"/>
  <c r="H174" i="16"/>
  <c r="AE173" i="16"/>
  <c r="S173" i="16"/>
  <c r="N173" i="16"/>
  <c r="G173" i="16"/>
  <c r="H173" i="16" s="1"/>
  <c r="I173" i="16" s="1"/>
  <c r="AE172" i="16"/>
  <c r="S172" i="16"/>
  <c r="I172" i="16"/>
  <c r="H172" i="16"/>
  <c r="G172" i="16"/>
  <c r="AE171" i="16"/>
  <c r="S171" i="16"/>
  <c r="I171" i="16"/>
  <c r="H171" i="16"/>
  <c r="G171" i="16"/>
  <c r="AE170" i="16"/>
  <c r="S170" i="16"/>
  <c r="G170" i="16"/>
  <c r="H170" i="16" s="1"/>
  <c r="I170" i="16" s="1"/>
  <c r="AE169" i="16"/>
  <c r="S169" i="16"/>
  <c r="N169" i="16"/>
  <c r="I169" i="16"/>
  <c r="H169" i="16"/>
  <c r="G169" i="16"/>
  <c r="AE168" i="16"/>
  <c r="S168" i="16"/>
  <c r="N168" i="16"/>
  <c r="H168" i="16"/>
  <c r="I168" i="16" s="1"/>
  <c r="G168" i="16"/>
  <c r="AE167" i="16"/>
  <c r="S167" i="16"/>
  <c r="G167" i="16"/>
  <c r="H167" i="16" s="1"/>
  <c r="I167" i="16" s="1"/>
  <c r="AE166" i="16"/>
  <c r="S166" i="16"/>
  <c r="N166" i="16"/>
  <c r="H166" i="16"/>
  <c r="I166" i="16" s="1"/>
  <c r="G166" i="16"/>
  <c r="AE165" i="16"/>
  <c r="S165" i="16"/>
  <c r="H165" i="16"/>
  <c r="I165" i="16" s="1"/>
  <c r="G165" i="16"/>
  <c r="AE164" i="16"/>
  <c r="N164" i="16"/>
  <c r="G164" i="16"/>
  <c r="H164" i="16" s="1"/>
  <c r="I164" i="16" s="1"/>
  <c r="AE163" i="16"/>
  <c r="S163" i="16"/>
  <c r="N163" i="16"/>
  <c r="H163" i="16"/>
  <c r="I163" i="16" s="1"/>
  <c r="G163" i="16"/>
  <c r="AE162" i="16"/>
  <c r="S162" i="16"/>
  <c r="N162" i="16"/>
  <c r="I162" i="16"/>
  <c r="G162" i="16"/>
  <c r="H162" i="16" s="1"/>
  <c r="AE161" i="16"/>
  <c r="S161" i="16"/>
  <c r="N161" i="16"/>
  <c r="G161" i="16"/>
  <c r="H161" i="16" s="1"/>
  <c r="I161" i="16" s="1"/>
  <c r="AE160" i="16"/>
  <c r="S160" i="16"/>
  <c r="N160" i="16"/>
  <c r="G160" i="16"/>
  <c r="H160" i="16" s="1"/>
  <c r="I160" i="16" s="1"/>
  <c r="AE159" i="16"/>
  <c r="S159" i="16"/>
  <c r="N159" i="16"/>
  <c r="I159" i="16"/>
  <c r="H159" i="16"/>
  <c r="G159" i="16"/>
  <c r="AE158" i="16"/>
  <c r="S158" i="16"/>
  <c r="G158" i="16"/>
  <c r="H158" i="16" s="1"/>
  <c r="I158" i="16" s="1"/>
  <c r="AE157" i="16"/>
  <c r="S157" i="16"/>
  <c r="I157" i="16"/>
  <c r="H157" i="16"/>
  <c r="AE156" i="16"/>
  <c r="S156" i="16"/>
  <c r="G156" i="16"/>
  <c r="H156" i="16" s="1"/>
  <c r="I156" i="16" s="1"/>
  <c r="AE155" i="16"/>
  <c r="S155" i="16"/>
  <c r="N155" i="16"/>
  <c r="I155" i="16"/>
  <c r="G155" i="16"/>
  <c r="H155" i="16" s="1"/>
  <c r="AE154" i="16"/>
  <c r="S154" i="16"/>
  <c r="N154" i="16"/>
  <c r="G154" i="16"/>
  <c r="H154" i="16" s="1"/>
  <c r="I154" i="16" s="1"/>
  <c r="AE153" i="16"/>
  <c r="S153" i="16"/>
  <c r="I153" i="16"/>
  <c r="H153" i="16"/>
  <c r="G153" i="16"/>
  <c r="AE152" i="16"/>
  <c r="S152" i="16"/>
  <c r="N152" i="16"/>
  <c r="G152" i="16"/>
  <c r="H152" i="16" s="1"/>
  <c r="I152" i="16" s="1"/>
  <c r="AE151" i="16"/>
  <c r="S151" i="16"/>
  <c r="N151" i="16"/>
  <c r="I151" i="16"/>
  <c r="H151" i="16"/>
  <c r="G151" i="16"/>
  <c r="AE150" i="16"/>
  <c r="S150" i="16"/>
  <c r="H150" i="16"/>
  <c r="I150" i="16" s="1"/>
  <c r="G150" i="16"/>
  <c r="AE149" i="16"/>
  <c r="S149" i="16"/>
  <c r="N149" i="16"/>
  <c r="G149" i="16"/>
  <c r="H149" i="16" s="1"/>
  <c r="I149" i="16" s="1"/>
  <c r="AE148" i="16"/>
  <c r="S148" i="16"/>
  <c r="N148" i="16"/>
  <c r="H148" i="16"/>
  <c r="I148" i="16" s="1"/>
  <c r="G148" i="16"/>
  <c r="AE147" i="16"/>
  <c r="S147" i="16"/>
  <c r="N147" i="16"/>
  <c r="G147" i="16"/>
  <c r="H147" i="16" s="1"/>
  <c r="I147" i="16" s="1"/>
  <c r="S146" i="16"/>
  <c r="H146" i="16"/>
  <c r="I146" i="16" s="1"/>
  <c r="G146" i="16"/>
  <c r="S145" i="16"/>
  <c r="N145" i="16"/>
  <c r="I145" i="16"/>
  <c r="H145" i="16"/>
  <c r="S144" i="16"/>
  <c r="N144" i="16"/>
  <c r="I144" i="16"/>
  <c r="H144" i="16"/>
  <c r="G144" i="16"/>
  <c r="S143" i="16"/>
  <c r="N143" i="16"/>
  <c r="G143" i="16"/>
  <c r="H143" i="16" s="1"/>
  <c r="I143" i="16" s="1"/>
  <c r="S142" i="16"/>
  <c r="H142" i="16"/>
  <c r="I142" i="16" s="1"/>
  <c r="G142" i="16"/>
  <c r="S141" i="16"/>
  <c r="G141" i="16"/>
  <c r="H141" i="16" s="1"/>
  <c r="I141" i="16" s="1"/>
  <c r="S140" i="16"/>
  <c r="H140" i="16"/>
  <c r="I140" i="16" s="1"/>
  <c r="G140" i="16"/>
  <c r="S139" i="16"/>
  <c r="G139" i="16"/>
  <c r="H139" i="16" s="1"/>
  <c r="I139" i="16" s="1"/>
  <c r="S138" i="16"/>
  <c r="H138" i="16"/>
  <c r="I138" i="16" s="1"/>
  <c r="G138" i="16"/>
  <c r="S137" i="16"/>
  <c r="N137" i="16"/>
  <c r="I137" i="16"/>
  <c r="H137" i="16"/>
  <c r="G137" i="16"/>
  <c r="S136" i="16"/>
  <c r="N136" i="16"/>
  <c r="G136" i="16"/>
  <c r="H136" i="16" s="1"/>
  <c r="I136" i="16" s="1"/>
  <c r="N135" i="16"/>
  <c r="H135" i="16"/>
  <c r="I135" i="16" s="1"/>
  <c r="G135" i="16"/>
  <c r="S134" i="16"/>
  <c r="N134" i="16"/>
  <c r="I134" i="16"/>
  <c r="H134" i="16"/>
  <c r="G134" i="16"/>
  <c r="S133" i="16"/>
  <c r="N133" i="16"/>
  <c r="G133" i="16"/>
  <c r="H133" i="16" s="1"/>
  <c r="I133" i="16" s="1"/>
  <c r="S132" i="16"/>
  <c r="N132" i="16"/>
  <c r="G132" i="16"/>
  <c r="H132" i="16" s="1"/>
  <c r="I132" i="16" s="1"/>
  <c r="S131" i="16"/>
  <c r="N131" i="16"/>
  <c r="H131" i="16"/>
  <c r="I131" i="16" s="1"/>
  <c r="G131" i="16"/>
  <c r="S130" i="16"/>
  <c r="N130" i="16"/>
  <c r="I130" i="16"/>
  <c r="H130" i="16"/>
  <c r="G130" i="16"/>
  <c r="S129" i="16"/>
  <c r="G129" i="16"/>
  <c r="H129" i="16" s="1"/>
  <c r="I129" i="16" s="1"/>
  <c r="N128" i="16"/>
  <c r="I128" i="16"/>
  <c r="H128" i="16"/>
  <c r="G128" i="16"/>
  <c r="S127" i="16"/>
  <c r="N127" i="16"/>
  <c r="G127" i="16"/>
  <c r="H127" i="16" s="1"/>
  <c r="I127" i="16" s="1"/>
  <c r="S126" i="16"/>
  <c r="N126" i="16"/>
  <c r="H126" i="16"/>
  <c r="I126" i="16" s="1"/>
  <c r="G126" i="16"/>
  <c r="S125" i="16"/>
  <c r="N125" i="16"/>
  <c r="I125" i="16"/>
  <c r="H125" i="16"/>
  <c r="G125" i="16"/>
  <c r="AE124" i="16"/>
  <c r="S124" i="16"/>
  <c r="N124" i="16"/>
  <c r="G124" i="16"/>
  <c r="H124" i="16" s="1"/>
  <c r="I124" i="16" s="1"/>
  <c r="S123" i="16"/>
  <c r="N123" i="16"/>
  <c r="G123" i="16"/>
  <c r="H123" i="16" s="1"/>
  <c r="I123" i="16" s="1"/>
  <c r="S122" i="16"/>
  <c r="I122" i="16"/>
  <c r="H122" i="16"/>
  <c r="G122" i="16"/>
  <c r="S121" i="16"/>
  <c r="N121" i="16"/>
  <c r="G121" i="16"/>
  <c r="H121" i="16" s="1"/>
  <c r="I121" i="16" s="1"/>
  <c r="S120" i="16"/>
  <c r="N120" i="16"/>
  <c r="G120" i="16"/>
  <c r="H120" i="16" s="1"/>
  <c r="I120" i="16" s="1"/>
  <c r="S119" i="16"/>
  <c r="I119" i="16"/>
  <c r="H119" i="16"/>
  <c r="G119" i="16"/>
  <c r="S118" i="16"/>
  <c r="H118" i="16"/>
  <c r="I118" i="16" s="1"/>
  <c r="G118" i="16"/>
  <c r="AE117" i="16"/>
  <c r="S117" i="16"/>
  <c r="G117" i="16"/>
  <c r="H117" i="16" s="1"/>
  <c r="I117" i="16" s="1"/>
  <c r="AE116" i="16"/>
  <c r="S116" i="16"/>
  <c r="I116" i="16"/>
  <c r="H116" i="16"/>
  <c r="G116" i="16"/>
  <c r="AE115" i="16"/>
  <c r="S115" i="16"/>
  <c r="H115" i="16"/>
  <c r="I115" i="16" s="1"/>
  <c r="G115" i="16"/>
  <c r="AE114" i="16"/>
  <c r="S114" i="16"/>
  <c r="G114" i="16"/>
  <c r="H114" i="16" s="1"/>
  <c r="I114" i="16" s="1"/>
  <c r="AE113" i="16"/>
  <c r="S113" i="16"/>
  <c r="G113" i="16"/>
  <c r="H113" i="16" s="1"/>
  <c r="I113" i="16" s="1"/>
  <c r="AE112" i="16"/>
  <c r="S112" i="16"/>
  <c r="I112" i="16"/>
  <c r="H112" i="16"/>
  <c r="G112" i="16"/>
  <c r="AE111" i="16"/>
  <c r="S111" i="16"/>
  <c r="I111" i="16"/>
  <c r="H111" i="16"/>
  <c r="G111" i="16"/>
  <c r="AE110" i="16"/>
  <c r="S110" i="16"/>
  <c r="H110" i="16"/>
  <c r="I110" i="16" s="1"/>
  <c r="G110" i="16"/>
  <c r="AE109" i="16"/>
  <c r="S109" i="16"/>
  <c r="G109" i="16"/>
  <c r="H109" i="16" s="1"/>
  <c r="I109" i="16" s="1"/>
  <c r="AE108" i="16"/>
  <c r="S108" i="16"/>
  <c r="I108" i="16"/>
  <c r="H108" i="16"/>
  <c r="G108" i="16"/>
  <c r="AE107" i="16"/>
  <c r="S107" i="16"/>
  <c r="H107" i="16"/>
  <c r="I107" i="16" s="1"/>
  <c r="G107" i="16"/>
  <c r="AE106" i="16"/>
  <c r="S106" i="16"/>
  <c r="H106" i="16"/>
  <c r="I106" i="16" s="1"/>
  <c r="G106" i="16"/>
  <c r="AE105" i="16"/>
  <c r="S105" i="16"/>
  <c r="G105" i="16"/>
  <c r="H105" i="16" s="1"/>
  <c r="I105" i="16" s="1"/>
  <c r="AE104" i="16"/>
  <c r="S104" i="16"/>
  <c r="N104" i="16"/>
  <c r="H104" i="16"/>
  <c r="I104" i="16" s="1"/>
  <c r="G104" i="16"/>
  <c r="AE103" i="16"/>
  <c r="S103" i="16"/>
  <c r="N103" i="16"/>
  <c r="G103" i="16"/>
  <c r="H103" i="16" s="1"/>
  <c r="I103" i="16" s="1"/>
  <c r="AE102" i="16"/>
  <c r="S102" i="16"/>
  <c r="N102" i="16"/>
  <c r="I102" i="16"/>
  <c r="H102" i="16"/>
  <c r="G102" i="16"/>
  <c r="AE101" i="16"/>
  <c r="S101" i="16"/>
  <c r="N101" i="16"/>
  <c r="G101" i="16"/>
  <c r="H101" i="16" s="1"/>
  <c r="I101" i="16" s="1"/>
  <c r="AE100" i="16"/>
  <c r="S100" i="16"/>
  <c r="N100" i="16"/>
  <c r="H100" i="16"/>
  <c r="I100" i="16" s="1"/>
  <c r="G100" i="16"/>
  <c r="AE99" i="16"/>
  <c r="S99" i="16"/>
  <c r="N99" i="16"/>
  <c r="G99" i="16"/>
  <c r="H99" i="16" s="1"/>
  <c r="I99" i="16" s="1"/>
  <c r="AE98" i="16"/>
  <c r="S98" i="16"/>
  <c r="N98" i="16"/>
  <c r="I98" i="16"/>
  <c r="H98" i="16"/>
  <c r="G98" i="16"/>
  <c r="AE97" i="16"/>
  <c r="S97" i="16"/>
  <c r="N97" i="16"/>
  <c r="G97" i="16"/>
  <c r="H97" i="16" s="1"/>
  <c r="I97" i="16" s="1"/>
  <c r="AE96" i="16"/>
  <c r="S96" i="16"/>
  <c r="N96" i="16"/>
  <c r="H96" i="16"/>
  <c r="I96" i="16" s="1"/>
  <c r="G96" i="16"/>
  <c r="AE95" i="16"/>
  <c r="S95" i="16"/>
  <c r="H95" i="16"/>
  <c r="I95" i="16" s="1"/>
  <c r="G95" i="16"/>
  <c r="AE94" i="16"/>
  <c r="S94" i="16"/>
  <c r="G94" i="16"/>
  <c r="H94" i="16" s="1"/>
  <c r="I94" i="16" s="1"/>
  <c r="AE93" i="16"/>
  <c r="S93" i="16"/>
  <c r="I93" i="16"/>
  <c r="H93" i="16"/>
  <c r="G93" i="16"/>
  <c r="AE92" i="16"/>
  <c r="S92" i="16"/>
  <c r="I92" i="16"/>
  <c r="H92" i="16"/>
  <c r="G92" i="16"/>
  <c r="AE91" i="16"/>
  <c r="S91" i="16"/>
  <c r="N91" i="16"/>
  <c r="G91" i="16"/>
  <c r="H91" i="16" s="1"/>
  <c r="I91" i="16" s="1"/>
  <c r="AE90" i="16"/>
  <c r="S90" i="16"/>
  <c r="N90" i="16"/>
  <c r="H90" i="16"/>
  <c r="I90" i="16" s="1"/>
  <c r="G90" i="16"/>
  <c r="AE89" i="16"/>
  <c r="S89" i="16"/>
  <c r="H89" i="16"/>
  <c r="I89" i="16" s="1"/>
  <c r="G89" i="16"/>
  <c r="AE88" i="16"/>
  <c r="S88" i="16"/>
  <c r="N88" i="16"/>
  <c r="I88" i="16"/>
  <c r="H88" i="16"/>
  <c r="G88" i="16"/>
  <c r="AE87" i="16"/>
  <c r="S87" i="16"/>
  <c r="N87" i="16"/>
  <c r="H87" i="16"/>
  <c r="I87" i="16" s="1"/>
  <c r="G87" i="16"/>
  <c r="AE86" i="16"/>
  <c r="S86" i="16"/>
  <c r="N86" i="16"/>
  <c r="I86" i="16"/>
  <c r="H86" i="16"/>
  <c r="G86" i="16"/>
  <c r="AE85" i="16"/>
  <c r="S85" i="16"/>
  <c r="N85" i="16"/>
  <c r="G85" i="16"/>
  <c r="H85" i="16" s="1"/>
  <c r="I85" i="16" s="1"/>
  <c r="AE84" i="16"/>
  <c r="S84" i="16"/>
  <c r="N84" i="16"/>
  <c r="I84" i="16"/>
  <c r="H84" i="16"/>
  <c r="G84" i="16"/>
  <c r="AE83" i="16"/>
  <c r="S83" i="16"/>
  <c r="N83" i="16"/>
  <c r="H83" i="16"/>
  <c r="I83" i="16" s="1"/>
  <c r="AE82" i="16"/>
  <c r="S82" i="16"/>
  <c r="N82" i="16"/>
  <c r="I82" i="16"/>
  <c r="H82" i="16"/>
  <c r="G82" i="16"/>
  <c r="AE81" i="16"/>
  <c r="S81" i="16"/>
  <c r="H81" i="16"/>
  <c r="I81" i="16" s="1"/>
  <c r="G81" i="16"/>
  <c r="AE80" i="16"/>
  <c r="S80" i="16"/>
  <c r="G80" i="16"/>
  <c r="H80" i="16" s="1"/>
  <c r="I80" i="16" s="1"/>
  <c r="AE79" i="16"/>
  <c r="S79" i="16"/>
  <c r="N79" i="16"/>
  <c r="I79" i="16"/>
  <c r="H79" i="16"/>
  <c r="AE78" i="16"/>
  <c r="S78" i="16"/>
  <c r="N78" i="16"/>
  <c r="I78" i="16"/>
  <c r="H78" i="16"/>
  <c r="G78" i="16"/>
  <c r="AE77" i="16"/>
  <c r="S77" i="16"/>
  <c r="I77" i="16"/>
  <c r="H77" i="16"/>
  <c r="G77" i="16"/>
  <c r="AE76" i="16"/>
  <c r="S76" i="16"/>
  <c r="H76" i="16"/>
  <c r="I76" i="16" s="1"/>
  <c r="G76" i="16"/>
  <c r="AE75" i="16"/>
  <c r="S75" i="16"/>
  <c r="G75" i="16"/>
  <c r="H75" i="16" s="1"/>
  <c r="I75" i="16" s="1"/>
  <c r="AE74" i="16"/>
  <c r="S74" i="16"/>
  <c r="I74" i="16"/>
  <c r="H74" i="16"/>
  <c r="G74" i="16"/>
  <c r="AE73" i="16"/>
  <c r="S73" i="16"/>
  <c r="N73" i="16"/>
  <c r="H73" i="16"/>
  <c r="I73" i="16" s="1"/>
  <c r="G73" i="16"/>
  <c r="AE72" i="16"/>
  <c r="Y72" i="16"/>
  <c r="S72" i="16"/>
  <c r="H72" i="16"/>
  <c r="I72" i="16" s="1"/>
  <c r="G72" i="16"/>
  <c r="AE71" i="16"/>
  <c r="Y71" i="16"/>
  <c r="S71" i="16"/>
  <c r="H71" i="16"/>
  <c r="I71" i="16" s="1"/>
  <c r="G71" i="16"/>
  <c r="AE70" i="16"/>
  <c r="Y70" i="16"/>
  <c r="S70" i="16"/>
  <c r="N70" i="16"/>
  <c r="G70" i="16"/>
  <c r="H70" i="16" s="1"/>
  <c r="I70" i="16" s="1"/>
  <c r="AE69" i="16"/>
  <c r="Y69" i="16"/>
  <c r="S69" i="16"/>
  <c r="G69" i="16"/>
  <c r="H69" i="16" s="1"/>
  <c r="I69" i="16" s="1"/>
  <c r="AE68" i="16"/>
  <c r="Y68" i="16"/>
  <c r="S68" i="16"/>
  <c r="G68" i="16"/>
  <c r="H68" i="16" s="1"/>
  <c r="I68" i="16" s="1"/>
  <c r="AE67" i="16"/>
  <c r="Y67" i="16"/>
  <c r="S67" i="16"/>
  <c r="G67" i="16"/>
  <c r="H67" i="16" s="1"/>
  <c r="I67" i="16" s="1"/>
  <c r="AE66" i="16"/>
  <c r="Y66" i="16"/>
  <c r="S305" i="16" s="1"/>
  <c r="T305" i="16" s="1"/>
  <c r="S66" i="16"/>
  <c r="O66" i="16"/>
  <c r="N66" i="16"/>
  <c r="G66" i="16"/>
  <c r="H66" i="16" s="1"/>
  <c r="I66" i="16" s="1"/>
  <c r="AE65" i="16"/>
  <c r="Y65" i="16"/>
  <c r="S65" i="16"/>
  <c r="G65" i="16"/>
  <c r="H65" i="16" s="1"/>
  <c r="I65" i="16" s="1"/>
  <c r="AE64" i="16"/>
  <c r="Y64" i="16"/>
  <c r="S64" i="16"/>
  <c r="N64" i="16"/>
  <c r="I64" i="16"/>
  <c r="H64" i="16"/>
  <c r="G64" i="16"/>
  <c r="AE63" i="16"/>
  <c r="Y63" i="16"/>
  <c r="S63" i="16"/>
  <c r="N63" i="16"/>
  <c r="O63" i="16" s="1"/>
  <c r="I63" i="16"/>
  <c r="H63" i="16"/>
  <c r="G63" i="16"/>
  <c r="AE62" i="16"/>
  <c r="Y62" i="16"/>
  <c r="S62" i="16"/>
  <c r="N62" i="16"/>
  <c r="O62" i="16" s="1"/>
  <c r="I62" i="16"/>
  <c r="H62" i="16"/>
  <c r="AE61" i="16"/>
  <c r="Y61" i="16"/>
  <c r="N385" i="16" s="1"/>
  <c r="O385" i="16" s="1"/>
  <c r="S61" i="16"/>
  <c r="I61" i="16"/>
  <c r="H61" i="16"/>
  <c r="G61" i="16"/>
  <c r="AE60" i="16"/>
  <c r="Y60" i="16"/>
  <c r="S60" i="16"/>
  <c r="I60" i="16"/>
  <c r="H60" i="16"/>
  <c r="G60" i="16"/>
  <c r="AE59" i="16"/>
  <c r="Y59" i="16"/>
  <c r="N256" i="16" s="1"/>
  <c r="O256" i="16" s="1"/>
  <c r="S59" i="16"/>
  <c r="N59" i="16"/>
  <c r="G59" i="16"/>
  <c r="H59" i="16" s="1"/>
  <c r="I59" i="16" s="1"/>
  <c r="AE58" i="16"/>
  <c r="Y58" i="16"/>
  <c r="S58" i="16"/>
  <c r="N58" i="16"/>
  <c r="G58" i="16"/>
  <c r="H58" i="16" s="1"/>
  <c r="I58" i="16" s="1"/>
  <c r="AE57" i="16"/>
  <c r="Y57" i="16"/>
  <c r="S57" i="16"/>
  <c r="N57" i="16"/>
  <c r="I57" i="16"/>
  <c r="H57" i="16"/>
  <c r="G57" i="16"/>
  <c r="AE56" i="16"/>
  <c r="Y56" i="16"/>
  <c r="S56" i="16"/>
  <c r="N56" i="16"/>
  <c r="I56" i="16"/>
  <c r="H56" i="16"/>
  <c r="AE55" i="16"/>
  <c r="Y55" i="16"/>
  <c r="S55" i="16"/>
  <c r="N55" i="16"/>
  <c r="G55" i="16"/>
  <c r="H55" i="16" s="1"/>
  <c r="I55" i="16" s="1"/>
  <c r="AE54" i="16"/>
  <c r="Y54" i="16"/>
  <c r="S54" i="16"/>
  <c r="G54" i="16"/>
  <c r="H54" i="16" s="1"/>
  <c r="I54" i="16" s="1"/>
  <c r="AE53" i="16"/>
  <c r="Y53" i="16"/>
  <c r="S53" i="16"/>
  <c r="G53" i="16"/>
  <c r="H53" i="16" s="1"/>
  <c r="I53" i="16" s="1"/>
  <c r="AE52" i="16"/>
  <c r="Y52" i="16"/>
  <c r="S52" i="16"/>
  <c r="N52" i="16"/>
  <c r="I52" i="16"/>
  <c r="H52" i="16"/>
  <c r="AE51" i="16"/>
  <c r="Y51" i="16"/>
  <c r="S51" i="16"/>
  <c r="N51" i="16"/>
  <c r="H51" i="16"/>
  <c r="I51" i="16" s="1"/>
  <c r="G51" i="16"/>
  <c r="AE50" i="16"/>
  <c r="Y50" i="16"/>
  <c r="S50" i="16"/>
  <c r="N50" i="16"/>
  <c r="G50" i="16"/>
  <c r="H50" i="16" s="1"/>
  <c r="I50" i="16" s="1"/>
  <c r="AE49" i="16"/>
  <c r="Y49" i="16"/>
  <c r="S49" i="16"/>
  <c r="N49" i="16"/>
  <c r="I49" i="16"/>
  <c r="H49" i="16"/>
  <c r="G49" i="16"/>
  <c r="AE48" i="16"/>
  <c r="Y48" i="16"/>
  <c r="N201" i="16" s="1"/>
  <c r="O201" i="16" s="1"/>
  <c r="S48" i="16"/>
  <c r="N48" i="16"/>
  <c r="I48" i="16"/>
  <c r="H48" i="16"/>
  <c r="AE47" i="16"/>
  <c r="Y47" i="16"/>
  <c r="S47" i="16"/>
  <c r="N47" i="16"/>
  <c r="G47" i="16"/>
  <c r="H47" i="16" s="1"/>
  <c r="I47" i="16" s="1"/>
  <c r="AE46" i="16"/>
  <c r="Y46" i="16"/>
  <c r="S46" i="16"/>
  <c r="N46" i="16"/>
  <c r="I46" i="16"/>
  <c r="H46" i="16"/>
  <c r="G46" i="16"/>
  <c r="AE45" i="16"/>
  <c r="Y45" i="16"/>
  <c r="S45" i="16"/>
  <c r="N45" i="16"/>
  <c r="I45" i="16"/>
  <c r="H45" i="16"/>
  <c r="G45" i="16"/>
  <c r="AE44" i="16"/>
  <c r="Y44" i="16"/>
  <c r="S44" i="16"/>
  <c r="I44" i="16"/>
  <c r="H44" i="16"/>
  <c r="G44" i="16"/>
  <c r="AE43" i="16"/>
  <c r="Y43" i="16"/>
  <c r="N288" i="16" s="1"/>
  <c r="O288" i="16" s="1"/>
  <c r="S43" i="16"/>
  <c r="I43" i="16"/>
  <c r="H43" i="16"/>
  <c r="G43" i="16"/>
  <c r="AE42" i="16"/>
  <c r="Y42" i="16"/>
  <c r="N119" i="16" s="1"/>
  <c r="O119" i="16" s="1"/>
  <c r="S42" i="16"/>
  <c r="I42" i="16"/>
  <c r="H42" i="16"/>
  <c r="G42" i="16"/>
  <c r="AE41" i="16"/>
  <c r="Y41" i="16"/>
  <c r="N258" i="16" s="1"/>
  <c r="O258" i="16" s="1"/>
  <c r="S41" i="16"/>
  <c r="N41" i="16"/>
  <c r="G41" i="16"/>
  <c r="H41" i="16" s="1"/>
  <c r="I41" i="16" s="1"/>
  <c r="AE40" i="16"/>
  <c r="Y40" i="16"/>
  <c r="S306" i="16" s="1"/>
  <c r="T306" i="16" s="1"/>
  <c r="S40" i="16"/>
  <c r="H40" i="16"/>
  <c r="I40" i="16" s="1"/>
  <c r="G40" i="16"/>
  <c r="AE39" i="16"/>
  <c r="Y39" i="16"/>
  <c r="N293" i="16" s="1"/>
  <c r="O293" i="16" s="1"/>
  <c r="S39" i="16"/>
  <c r="N39" i="16"/>
  <c r="G39" i="16"/>
  <c r="H39" i="16" s="1"/>
  <c r="I39" i="16" s="1"/>
  <c r="AE38" i="16"/>
  <c r="Y38" i="16"/>
  <c r="S38" i="16"/>
  <c r="N38" i="16"/>
  <c r="I38" i="16"/>
  <c r="H38" i="16"/>
  <c r="G38" i="16"/>
  <c r="AE37" i="16"/>
  <c r="Y37" i="16"/>
  <c r="S37" i="16"/>
  <c r="N37" i="16"/>
  <c r="H37" i="16"/>
  <c r="I37" i="16" s="1"/>
  <c r="AE36" i="16"/>
  <c r="Y36" i="16"/>
  <c r="S36" i="16"/>
  <c r="H36" i="16"/>
  <c r="I36" i="16" s="1"/>
  <c r="G36" i="16"/>
  <c r="AE35" i="16"/>
  <c r="Y35" i="16"/>
  <c r="S35" i="16"/>
  <c r="G35" i="16"/>
  <c r="H35" i="16" s="1"/>
  <c r="I35" i="16" s="1"/>
  <c r="AE34" i="16"/>
  <c r="Y34" i="16"/>
  <c r="S34" i="16"/>
  <c r="H34" i="16"/>
  <c r="I34" i="16" s="1"/>
  <c r="G34" i="16"/>
  <c r="AE33" i="16"/>
  <c r="Y33" i="16"/>
  <c r="S33" i="16"/>
  <c r="O33" i="16"/>
  <c r="N33" i="16"/>
  <c r="G33" i="16"/>
  <c r="H33" i="16" s="1"/>
  <c r="I33" i="16" s="1"/>
  <c r="AE32" i="16"/>
  <c r="Y32" i="16"/>
  <c r="S32" i="16"/>
  <c r="O32" i="16"/>
  <c r="N32" i="16"/>
  <c r="G32" i="16"/>
  <c r="H32" i="16" s="1"/>
  <c r="I32" i="16" s="1"/>
  <c r="AE31" i="16"/>
  <c r="Y31" i="16"/>
  <c r="S31" i="16"/>
  <c r="N31" i="16"/>
  <c r="O31" i="16" s="1"/>
  <c r="H31" i="16"/>
  <c r="I31" i="16" s="1"/>
  <c r="AE30" i="16"/>
  <c r="Y30" i="16"/>
  <c r="S30" i="16"/>
  <c r="G30" i="16"/>
  <c r="H30" i="16" s="1"/>
  <c r="I30" i="16" s="1"/>
  <c r="AE29" i="16"/>
  <c r="Y29" i="16"/>
  <c r="S29" i="16"/>
  <c r="N29" i="16"/>
  <c r="I29" i="16"/>
  <c r="H29" i="16"/>
  <c r="G29" i="16"/>
  <c r="AE28" i="16"/>
  <c r="Y28" i="16"/>
  <c r="S28" i="16"/>
  <c r="N28" i="16"/>
  <c r="O28" i="16" s="1"/>
  <c r="I28" i="16"/>
  <c r="H28" i="16"/>
  <c r="G28" i="16"/>
  <c r="AE27" i="16"/>
  <c r="Y27" i="16"/>
  <c r="S27" i="16"/>
  <c r="H27" i="16"/>
  <c r="I27" i="16" s="1"/>
  <c r="G27" i="16"/>
  <c r="AE26" i="16"/>
  <c r="Y26" i="16"/>
  <c r="S26" i="16"/>
  <c r="N26" i="16"/>
  <c r="G26" i="16"/>
  <c r="H26" i="16" s="1"/>
  <c r="I26" i="16" s="1"/>
  <c r="AE25" i="16"/>
  <c r="Y25" i="16"/>
  <c r="S25" i="16"/>
  <c r="N25" i="16"/>
  <c r="H25" i="16"/>
  <c r="I25" i="16" s="1"/>
  <c r="G25" i="16"/>
  <c r="AE24" i="16"/>
  <c r="Y24" i="16"/>
  <c r="S24" i="16"/>
  <c r="N24" i="16"/>
  <c r="H24" i="16"/>
  <c r="I24" i="16" s="1"/>
  <c r="G24" i="16"/>
  <c r="AE23" i="16"/>
  <c r="Y23" i="16"/>
  <c r="S23" i="16"/>
  <c r="N23" i="16"/>
  <c r="H23" i="16"/>
  <c r="I23" i="16" s="1"/>
  <c r="AE22" i="16"/>
  <c r="Y22" i="16"/>
  <c r="S22" i="16"/>
  <c r="N22" i="16"/>
  <c r="I22" i="16"/>
  <c r="H22" i="16"/>
  <c r="G22" i="16"/>
  <c r="AE21" i="16"/>
  <c r="Y21" i="16"/>
  <c r="S21" i="16"/>
  <c r="I21" i="16"/>
  <c r="H21" i="16"/>
  <c r="G21" i="16"/>
  <c r="AE20" i="16"/>
  <c r="Y20" i="16"/>
  <c r="S20" i="16"/>
  <c r="I20" i="16"/>
  <c r="H20" i="16"/>
  <c r="G20" i="16"/>
  <c r="AE19" i="16"/>
  <c r="Y19" i="16"/>
  <c r="S19" i="16"/>
  <c r="N19" i="16"/>
  <c r="H19" i="16"/>
  <c r="I19" i="16" s="1"/>
  <c r="AE18" i="16"/>
  <c r="Y18" i="16"/>
  <c r="N267" i="16" s="1"/>
  <c r="O267" i="16" s="1"/>
  <c r="S18" i="16"/>
  <c r="N18" i="16"/>
  <c r="G18" i="16"/>
  <c r="H18" i="16" s="1"/>
  <c r="I18" i="16" s="1"/>
  <c r="AE17" i="16"/>
  <c r="Y17" i="16"/>
  <c r="S17" i="16"/>
  <c r="N17" i="16"/>
  <c r="I17" i="16"/>
  <c r="H17" i="16"/>
  <c r="G17" i="16"/>
  <c r="AE16" i="16"/>
  <c r="Y16" i="16"/>
  <c r="S16" i="16"/>
  <c r="N16" i="16"/>
  <c r="H16" i="16"/>
  <c r="I16" i="16" s="1"/>
  <c r="G16" i="16"/>
  <c r="AE15" i="16"/>
  <c r="Y15" i="16"/>
  <c r="S15" i="16"/>
  <c r="N15" i="16"/>
  <c r="G15" i="16"/>
  <c r="H15" i="16" s="1"/>
  <c r="I15" i="16" s="1"/>
  <c r="AE14" i="16"/>
  <c r="Y14" i="16"/>
  <c r="N80" i="16" s="1"/>
  <c r="O80" i="16" s="1"/>
  <c r="S14" i="16"/>
  <c r="N14" i="16"/>
  <c r="G14" i="16"/>
  <c r="H14" i="16" s="1"/>
  <c r="I14" i="16" s="1"/>
  <c r="AE13" i="16"/>
  <c r="Y13" i="16"/>
  <c r="S13" i="16"/>
  <c r="N13" i="16"/>
  <c r="I13" i="16"/>
  <c r="H13" i="16"/>
  <c r="G13" i="16"/>
  <c r="AE12" i="16"/>
  <c r="Y12" i="16"/>
  <c r="S12" i="16"/>
  <c r="N12" i="16"/>
  <c r="O12" i="16" s="1"/>
  <c r="I12" i="16"/>
  <c r="H12" i="16"/>
  <c r="G12" i="16"/>
  <c r="AE11" i="16"/>
  <c r="Y11" i="16"/>
  <c r="S11" i="16"/>
  <c r="I11" i="16"/>
  <c r="H11" i="16"/>
  <c r="G11" i="16"/>
  <c r="AE10" i="16"/>
  <c r="Y10" i="16"/>
  <c r="S10" i="16"/>
  <c r="I10" i="16"/>
  <c r="H10" i="16"/>
  <c r="G10" i="16"/>
  <c r="AE9" i="16"/>
  <c r="Y9" i="16"/>
  <c r="S9" i="16"/>
  <c r="N9" i="16"/>
  <c r="H9" i="16"/>
  <c r="I9" i="16" s="1"/>
  <c r="G9" i="16"/>
  <c r="AE8" i="16"/>
  <c r="Y8" i="16"/>
  <c r="N44" i="16" s="1"/>
  <c r="O44" i="16" s="1"/>
  <c r="S8" i="16"/>
  <c r="H8" i="16"/>
  <c r="I8" i="16" s="1"/>
  <c r="G8" i="16"/>
  <c r="AE7" i="16"/>
  <c r="Y7" i="16"/>
  <c r="N113" i="16" s="1"/>
  <c r="O113" i="16" s="1"/>
  <c r="S7" i="16"/>
  <c r="N7" i="16"/>
  <c r="G7" i="16"/>
  <c r="H7" i="16" s="1"/>
  <c r="I7" i="16" s="1"/>
  <c r="AE6" i="16"/>
  <c r="Y6" i="16"/>
  <c r="S6" i="16"/>
  <c r="N6" i="16"/>
  <c r="G6" i="16"/>
  <c r="H6" i="16" s="1"/>
  <c r="I6" i="16" s="1"/>
  <c r="AE5" i="16"/>
  <c r="Y5" i="16"/>
  <c r="S5" i="16"/>
  <c r="N5" i="16"/>
  <c r="I5" i="16"/>
  <c r="H5" i="16"/>
  <c r="G5" i="16"/>
  <c r="AE4" i="16"/>
  <c r="Y4" i="16"/>
  <c r="S4" i="16"/>
  <c r="I4" i="16"/>
  <c r="H4" i="16"/>
  <c r="G4" i="16"/>
  <c r="AE3" i="16"/>
  <c r="Y3" i="16"/>
  <c r="S3" i="16"/>
  <c r="N3" i="16"/>
  <c r="O3" i="16" s="1"/>
  <c r="I3" i="16"/>
  <c r="H3" i="16"/>
  <c r="G3" i="16"/>
  <c r="H368" i="15"/>
  <c r="O367" i="15"/>
  <c r="N367" i="15"/>
  <c r="I367" i="15"/>
  <c r="H367" i="15"/>
  <c r="G367" i="15"/>
  <c r="N366" i="15"/>
  <c r="O366" i="15" s="1"/>
  <c r="I366" i="15"/>
  <c r="H366" i="15"/>
  <c r="G366" i="15"/>
  <c r="N365" i="15"/>
  <c r="O365" i="15" s="1"/>
  <c r="I365" i="15"/>
  <c r="G365" i="15"/>
  <c r="H365" i="15" s="1"/>
  <c r="O364" i="15"/>
  <c r="N364" i="15"/>
  <c r="I364" i="15"/>
  <c r="G364" i="15"/>
  <c r="H364" i="15" s="1"/>
  <c r="O363" i="15"/>
  <c r="N363" i="15"/>
  <c r="I363" i="15"/>
  <c r="H363" i="15"/>
  <c r="G363" i="15"/>
  <c r="N362" i="15"/>
  <c r="O362" i="15" s="1"/>
  <c r="I362" i="15"/>
  <c r="H362" i="15"/>
  <c r="G362" i="15"/>
  <c r="N361" i="15"/>
  <c r="O361" i="15" s="1"/>
  <c r="I361" i="15"/>
  <c r="G361" i="15"/>
  <c r="H361" i="15" s="1"/>
  <c r="O360" i="15"/>
  <c r="N360" i="15"/>
  <c r="I360" i="15"/>
  <c r="G360" i="15"/>
  <c r="H360" i="15" s="1"/>
  <c r="O359" i="15"/>
  <c r="N359" i="15"/>
  <c r="I359" i="15"/>
  <c r="H359" i="15"/>
  <c r="G359" i="15"/>
  <c r="N358" i="15"/>
  <c r="O358" i="15" s="1"/>
  <c r="I358" i="15"/>
  <c r="H358" i="15"/>
  <c r="G358" i="15"/>
  <c r="N357" i="15"/>
  <c r="O357" i="15" s="1"/>
  <c r="I357" i="15"/>
  <c r="G357" i="15"/>
  <c r="H357" i="15" s="1"/>
  <c r="O356" i="15"/>
  <c r="N356" i="15"/>
  <c r="I356" i="15"/>
  <c r="G356" i="15"/>
  <c r="H356" i="15" s="1"/>
  <c r="O355" i="15"/>
  <c r="N355" i="15"/>
  <c r="I355" i="15"/>
  <c r="H355" i="15"/>
  <c r="G355" i="15"/>
  <c r="N354" i="15"/>
  <c r="O354" i="15" s="1"/>
  <c r="I354" i="15"/>
  <c r="H354" i="15"/>
  <c r="G354" i="15"/>
  <c r="N353" i="15"/>
  <c r="O353" i="15" s="1"/>
  <c r="I353" i="15"/>
  <c r="G353" i="15"/>
  <c r="H353" i="15" s="1"/>
  <c r="O352" i="15"/>
  <c r="N352" i="15"/>
  <c r="I352" i="15"/>
  <c r="H352" i="15"/>
  <c r="G352" i="15"/>
  <c r="O351" i="15"/>
  <c r="N351" i="15"/>
  <c r="I351" i="15"/>
  <c r="H351" i="15"/>
  <c r="G351" i="15"/>
  <c r="N350" i="15"/>
  <c r="O350" i="15" s="1"/>
  <c r="I350" i="15"/>
  <c r="H350" i="15"/>
  <c r="G350" i="15"/>
  <c r="O349" i="15"/>
  <c r="N349" i="15"/>
  <c r="I349" i="15"/>
  <c r="G349" i="15"/>
  <c r="H349" i="15" s="1"/>
  <c r="O348" i="15"/>
  <c r="N348" i="15"/>
  <c r="I348" i="15"/>
  <c r="G348" i="15"/>
  <c r="H348" i="15" s="1"/>
  <c r="O347" i="15"/>
  <c r="N347" i="15"/>
  <c r="I347" i="15"/>
  <c r="H347" i="15"/>
  <c r="G347" i="15"/>
  <c r="N346" i="15"/>
  <c r="O346" i="15" s="1"/>
  <c r="I346" i="15"/>
  <c r="H346" i="15"/>
  <c r="G346" i="15"/>
  <c r="N345" i="15"/>
  <c r="O345" i="15" s="1"/>
  <c r="I345" i="15"/>
  <c r="G345" i="15"/>
  <c r="H345" i="15" s="1"/>
  <c r="O344" i="15"/>
  <c r="N344" i="15"/>
  <c r="I344" i="15"/>
  <c r="H344" i="15"/>
  <c r="G344" i="15"/>
  <c r="O343" i="15"/>
  <c r="N343" i="15"/>
  <c r="I343" i="15"/>
  <c r="H343" i="15"/>
  <c r="G343" i="15"/>
  <c r="N342" i="15"/>
  <c r="O342" i="15" s="1"/>
  <c r="I342" i="15"/>
  <c r="H342" i="15"/>
  <c r="G342" i="15"/>
  <c r="O341" i="15"/>
  <c r="N341" i="15"/>
  <c r="I341" i="15"/>
  <c r="G341" i="15"/>
  <c r="H341" i="15" s="1"/>
  <c r="O340" i="15"/>
  <c r="N340" i="15"/>
  <c r="I340" i="15"/>
  <c r="G340" i="15"/>
  <c r="H340" i="15" s="1"/>
  <c r="O339" i="15"/>
  <c r="N339" i="15"/>
  <c r="I339" i="15"/>
  <c r="H339" i="15"/>
  <c r="G339" i="15"/>
  <c r="N338" i="15"/>
  <c r="O338" i="15" s="1"/>
  <c r="I338" i="15"/>
  <c r="H338" i="15"/>
  <c r="G338" i="15"/>
  <c r="N337" i="15"/>
  <c r="O337" i="15" s="1"/>
  <c r="I337" i="15"/>
  <c r="G337" i="15"/>
  <c r="H337" i="15" s="1"/>
  <c r="O336" i="15"/>
  <c r="N336" i="15"/>
  <c r="I336" i="15"/>
  <c r="H336" i="15"/>
  <c r="G336" i="15"/>
  <c r="O335" i="15"/>
  <c r="N335" i="15"/>
  <c r="I335" i="15"/>
  <c r="H335" i="15"/>
  <c r="G335" i="15"/>
  <c r="N334" i="15"/>
  <c r="O334" i="15" s="1"/>
  <c r="I334" i="15"/>
  <c r="H334" i="15"/>
  <c r="G334" i="15"/>
  <c r="N333" i="15"/>
  <c r="O333" i="15" s="1"/>
  <c r="I333" i="15"/>
  <c r="G333" i="15"/>
  <c r="H333" i="15" s="1"/>
  <c r="O332" i="15"/>
  <c r="N332" i="15"/>
  <c r="I332" i="15"/>
  <c r="G332" i="15"/>
  <c r="H332" i="15" s="1"/>
  <c r="O331" i="15"/>
  <c r="N331" i="15"/>
  <c r="I331" i="15"/>
  <c r="H331" i="15"/>
  <c r="G331" i="15"/>
  <c r="N330" i="15"/>
  <c r="O330" i="15" s="1"/>
  <c r="I330" i="15"/>
  <c r="H330" i="15"/>
  <c r="G330" i="15"/>
  <c r="N329" i="15"/>
  <c r="O329" i="15" s="1"/>
  <c r="I329" i="15"/>
  <c r="G329" i="15"/>
  <c r="H329" i="15" s="1"/>
  <c r="O328" i="15"/>
  <c r="N328" i="15"/>
  <c r="I328" i="15"/>
  <c r="H328" i="15"/>
  <c r="G328" i="15"/>
  <c r="O327" i="15"/>
  <c r="N327" i="15"/>
  <c r="I327" i="15"/>
  <c r="H327" i="15"/>
  <c r="G327" i="15"/>
  <c r="N326" i="15"/>
  <c r="O326" i="15" s="1"/>
  <c r="I326" i="15"/>
  <c r="H326" i="15"/>
  <c r="G326" i="15"/>
  <c r="N325" i="15"/>
  <c r="O325" i="15" s="1"/>
  <c r="I325" i="15"/>
  <c r="G325" i="15"/>
  <c r="H325" i="15" s="1"/>
  <c r="O324" i="15"/>
  <c r="N324" i="15"/>
  <c r="I324" i="15"/>
  <c r="G324" i="15"/>
  <c r="H324" i="15" s="1"/>
  <c r="O323" i="15"/>
  <c r="N323" i="15"/>
  <c r="I323" i="15"/>
  <c r="H323" i="15"/>
  <c r="G323" i="15"/>
  <c r="N322" i="15"/>
  <c r="O322" i="15" s="1"/>
  <c r="I322" i="15"/>
  <c r="H322" i="15"/>
  <c r="G322" i="15"/>
  <c r="N321" i="15"/>
  <c r="O321" i="15" s="1"/>
  <c r="I321" i="15"/>
  <c r="G321" i="15"/>
  <c r="H321" i="15" s="1"/>
  <c r="O320" i="15"/>
  <c r="N320" i="15"/>
  <c r="I320" i="15"/>
  <c r="H320" i="15"/>
  <c r="G320" i="15"/>
  <c r="O319" i="15"/>
  <c r="N319" i="15"/>
  <c r="I319" i="15"/>
  <c r="H319" i="15"/>
  <c r="G319" i="15"/>
  <c r="N318" i="15"/>
  <c r="O318" i="15" s="1"/>
  <c r="I318" i="15"/>
  <c r="H318" i="15"/>
  <c r="G318" i="15"/>
  <c r="N317" i="15"/>
  <c r="O317" i="15" s="1"/>
  <c r="I317" i="15"/>
  <c r="G317" i="15"/>
  <c r="H317" i="15" s="1"/>
  <c r="O316" i="15"/>
  <c r="N316" i="15"/>
  <c r="I316" i="15"/>
  <c r="G316" i="15"/>
  <c r="H316" i="15" s="1"/>
  <c r="O315" i="15"/>
  <c r="N315" i="15"/>
  <c r="I315" i="15"/>
  <c r="H315" i="15"/>
  <c r="G315" i="15"/>
  <c r="N314" i="15"/>
  <c r="O314" i="15" s="1"/>
  <c r="I314" i="15"/>
  <c r="H314" i="15"/>
  <c r="G314" i="15"/>
  <c r="N313" i="15"/>
  <c r="O313" i="15" s="1"/>
  <c r="I313" i="15"/>
  <c r="G313" i="15"/>
  <c r="H313" i="15" s="1"/>
  <c r="O312" i="15"/>
  <c r="N312" i="15"/>
  <c r="I312" i="15"/>
  <c r="H312" i="15"/>
  <c r="G312" i="15"/>
  <c r="O311" i="15"/>
  <c r="N311" i="15"/>
  <c r="I311" i="15"/>
  <c r="H311" i="15"/>
  <c r="G311" i="15"/>
  <c r="N310" i="15"/>
  <c r="O310" i="15" s="1"/>
  <c r="I310" i="15"/>
  <c r="H310" i="15"/>
  <c r="G310" i="15"/>
  <c r="N309" i="15"/>
  <c r="O309" i="15" s="1"/>
  <c r="I309" i="15"/>
  <c r="G309" i="15"/>
  <c r="H309" i="15" s="1"/>
  <c r="O308" i="15"/>
  <c r="N308" i="15"/>
  <c r="I308" i="15"/>
  <c r="G308" i="15"/>
  <c r="H308" i="15" s="1"/>
  <c r="O307" i="15"/>
  <c r="N307" i="15"/>
  <c r="I307" i="15"/>
  <c r="H307" i="15"/>
  <c r="G307" i="15"/>
  <c r="N306" i="15"/>
  <c r="O306" i="15" s="1"/>
  <c r="I306" i="15"/>
  <c r="H306" i="15"/>
  <c r="G306" i="15"/>
  <c r="N305" i="15"/>
  <c r="O305" i="15" s="1"/>
  <c r="I305" i="15"/>
  <c r="G305" i="15"/>
  <c r="H305" i="15" s="1"/>
  <c r="O304" i="15"/>
  <c r="N304" i="15"/>
  <c r="I304" i="15"/>
  <c r="H304" i="15"/>
  <c r="G304" i="15"/>
  <c r="O303" i="15"/>
  <c r="N303" i="15"/>
  <c r="I303" i="15"/>
  <c r="H303" i="15"/>
  <c r="G303" i="15"/>
  <c r="N302" i="15"/>
  <c r="O302" i="15" s="1"/>
  <c r="I302" i="15"/>
  <c r="H302" i="15"/>
  <c r="G302" i="15"/>
  <c r="N301" i="15"/>
  <c r="O301" i="15" s="1"/>
  <c r="I301" i="15"/>
  <c r="G301" i="15"/>
  <c r="H301" i="15" s="1"/>
  <c r="O300" i="15"/>
  <c r="N300" i="15"/>
  <c r="I300" i="15"/>
  <c r="G300" i="15"/>
  <c r="H300" i="15" s="1"/>
  <c r="O299" i="15"/>
  <c r="N299" i="15"/>
  <c r="I299" i="15"/>
  <c r="H299" i="15"/>
  <c r="G299" i="15"/>
  <c r="N298" i="15"/>
  <c r="O298" i="15" s="1"/>
  <c r="I298" i="15"/>
  <c r="H298" i="15"/>
  <c r="G298" i="15"/>
  <c r="N297" i="15"/>
  <c r="O297" i="15" s="1"/>
  <c r="I297" i="15"/>
  <c r="G297" i="15"/>
  <c r="H297" i="15" s="1"/>
  <c r="O296" i="15"/>
  <c r="N296" i="15"/>
  <c r="I296" i="15"/>
  <c r="H296" i="15"/>
  <c r="G296" i="15"/>
  <c r="O295" i="15"/>
  <c r="N295" i="15"/>
  <c r="I295" i="15"/>
  <c r="H295" i="15"/>
  <c r="G295" i="15"/>
  <c r="N294" i="15"/>
  <c r="O294" i="15" s="1"/>
  <c r="I294" i="15"/>
  <c r="H294" i="15"/>
  <c r="G294" i="15"/>
  <c r="N293" i="15"/>
  <c r="O293" i="15" s="1"/>
  <c r="I293" i="15"/>
  <c r="G293" i="15"/>
  <c r="H293" i="15" s="1"/>
  <c r="O292" i="15"/>
  <c r="N292" i="15"/>
  <c r="I292" i="15"/>
  <c r="G292" i="15"/>
  <c r="H292" i="15" s="1"/>
  <c r="O291" i="15"/>
  <c r="N291" i="15"/>
  <c r="I291" i="15"/>
  <c r="H291" i="15"/>
  <c r="G291" i="15"/>
  <c r="N290" i="15"/>
  <c r="O290" i="15" s="1"/>
  <c r="I290" i="15"/>
  <c r="H290" i="15"/>
  <c r="G290" i="15"/>
  <c r="N289" i="15"/>
  <c r="O289" i="15" s="1"/>
  <c r="I289" i="15"/>
  <c r="G289" i="15"/>
  <c r="H289" i="15" s="1"/>
  <c r="O288" i="15"/>
  <c r="N288" i="15"/>
  <c r="I288" i="15"/>
  <c r="H288" i="15"/>
  <c r="G288" i="15"/>
  <c r="O287" i="15"/>
  <c r="N287" i="15"/>
  <c r="I287" i="15"/>
  <c r="H287" i="15"/>
  <c r="G287" i="15"/>
  <c r="N286" i="15"/>
  <c r="O286" i="15" s="1"/>
  <c r="I286" i="15"/>
  <c r="H286" i="15"/>
  <c r="G286" i="15"/>
  <c r="N285" i="15"/>
  <c r="O285" i="15" s="1"/>
  <c r="G285" i="15"/>
  <c r="H285" i="15" s="1"/>
  <c r="I285" i="15" s="1"/>
  <c r="O284" i="15"/>
  <c r="N284" i="15"/>
  <c r="H284" i="15"/>
  <c r="I284" i="15" s="1"/>
  <c r="G284" i="15"/>
  <c r="O283" i="15"/>
  <c r="N283" i="15"/>
  <c r="I283" i="15"/>
  <c r="H283" i="15"/>
  <c r="G283" i="15"/>
  <c r="N282" i="15"/>
  <c r="O282" i="15" s="1"/>
  <c r="I282" i="15"/>
  <c r="H282" i="15"/>
  <c r="G282" i="15"/>
  <c r="N281" i="15"/>
  <c r="O281" i="15" s="1"/>
  <c r="G281" i="15"/>
  <c r="H281" i="15" s="1"/>
  <c r="I281" i="15" s="1"/>
  <c r="O280" i="15"/>
  <c r="N280" i="15"/>
  <c r="H280" i="15"/>
  <c r="I280" i="15" s="1"/>
  <c r="G280" i="15"/>
  <c r="O279" i="15"/>
  <c r="N279" i="15"/>
  <c r="I279" i="15"/>
  <c r="H279" i="15"/>
  <c r="G279" i="15"/>
  <c r="N278" i="15"/>
  <c r="O278" i="15" s="1"/>
  <c r="I278" i="15"/>
  <c r="H278" i="15"/>
  <c r="G278" i="15"/>
  <c r="N277" i="15"/>
  <c r="O277" i="15" s="1"/>
  <c r="G277" i="15"/>
  <c r="H277" i="15" s="1"/>
  <c r="I277" i="15" s="1"/>
  <c r="O276" i="15"/>
  <c r="N276" i="15"/>
  <c r="H276" i="15"/>
  <c r="I276" i="15" s="1"/>
  <c r="G276" i="15"/>
  <c r="I275" i="15"/>
  <c r="H275" i="15"/>
  <c r="G275" i="15"/>
  <c r="G274" i="15"/>
  <c r="H274" i="15" s="1"/>
  <c r="I274" i="15" s="1"/>
  <c r="G273" i="15"/>
  <c r="H273" i="15" s="1"/>
  <c r="I273" i="15" s="1"/>
  <c r="I272" i="15"/>
  <c r="H272" i="15"/>
  <c r="G272" i="15"/>
  <c r="I271" i="15"/>
  <c r="H271" i="15"/>
  <c r="G271" i="15"/>
  <c r="N270" i="15"/>
  <c r="O270" i="15" s="1"/>
  <c r="G270" i="15"/>
  <c r="H270" i="15" s="1"/>
  <c r="I270" i="15" s="1"/>
  <c r="N269" i="15"/>
  <c r="I269" i="15"/>
  <c r="H269" i="15"/>
  <c r="N268" i="15"/>
  <c r="I268" i="15"/>
  <c r="H268" i="15"/>
  <c r="G268" i="15"/>
  <c r="N267" i="15"/>
  <c r="O267" i="15" s="1"/>
  <c r="I267" i="15"/>
  <c r="H267" i="15"/>
  <c r="I266" i="15"/>
  <c r="H266" i="15"/>
  <c r="N265" i="15"/>
  <c r="O265" i="15" s="1"/>
  <c r="I265" i="15"/>
  <c r="H265" i="15"/>
  <c r="G264" i="15"/>
  <c r="H264" i="15" s="1"/>
  <c r="I264" i="15" s="1"/>
  <c r="G263" i="15"/>
  <c r="H263" i="15" s="1"/>
  <c r="I263" i="15" s="1"/>
  <c r="H262" i="15"/>
  <c r="I262" i="15" s="1"/>
  <c r="G262" i="15"/>
  <c r="I261" i="15"/>
  <c r="H261" i="15"/>
  <c r="G261" i="15"/>
  <c r="G260" i="15"/>
  <c r="H260" i="15" s="1"/>
  <c r="I260" i="15" s="1"/>
  <c r="N259" i="15"/>
  <c r="G259" i="15"/>
  <c r="H259" i="15" s="1"/>
  <c r="I259" i="15" s="1"/>
  <c r="N258" i="15"/>
  <c r="G258" i="15"/>
  <c r="H258" i="15" s="1"/>
  <c r="I258" i="15" s="1"/>
  <c r="N257" i="15"/>
  <c r="I257" i="15"/>
  <c r="H257" i="15"/>
  <c r="N256" i="15"/>
  <c r="I256" i="15"/>
  <c r="H256" i="15"/>
  <c r="G256" i="15"/>
  <c r="N255" i="15"/>
  <c r="I255" i="15"/>
  <c r="H255" i="15"/>
  <c r="G255" i="15"/>
  <c r="N254" i="15"/>
  <c r="I254" i="15"/>
  <c r="H254" i="15"/>
  <c r="G254" i="15"/>
  <c r="N253" i="15"/>
  <c r="I253" i="15"/>
  <c r="H253" i="15"/>
  <c r="G253" i="15"/>
  <c r="N252" i="15"/>
  <c r="I252" i="15"/>
  <c r="H252" i="15"/>
  <c r="G252" i="15"/>
  <c r="N251" i="15"/>
  <c r="I251" i="15"/>
  <c r="H251" i="15"/>
  <c r="G251" i="15"/>
  <c r="N250" i="15"/>
  <c r="I250" i="15"/>
  <c r="H250" i="15"/>
  <c r="G250" i="15"/>
  <c r="N249" i="15"/>
  <c r="I249" i="15"/>
  <c r="H249" i="15"/>
  <c r="G249" i="15"/>
  <c r="G248" i="15"/>
  <c r="H248" i="15" s="1"/>
  <c r="I248" i="15" s="1"/>
  <c r="O247" i="15"/>
  <c r="N247" i="15"/>
  <c r="H247" i="15"/>
  <c r="I247" i="15" s="1"/>
  <c r="G246" i="15"/>
  <c r="H246" i="15" s="1"/>
  <c r="I246" i="15" s="1"/>
  <c r="I245" i="15"/>
  <c r="H245" i="15"/>
  <c r="G245" i="15"/>
  <c r="N244" i="15"/>
  <c r="I244" i="15"/>
  <c r="H244" i="15"/>
  <c r="G244" i="15"/>
  <c r="N243" i="15"/>
  <c r="I243" i="15"/>
  <c r="H243" i="15"/>
  <c r="G243" i="15"/>
  <c r="I242" i="15"/>
  <c r="H242" i="15"/>
  <c r="G242" i="15"/>
  <c r="G241" i="15"/>
  <c r="H241" i="15" s="1"/>
  <c r="I241" i="15" s="1"/>
  <c r="H240" i="15"/>
  <c r="I240" i="15" s="1"/>
  <c r="G240" i="15"/>
  <c r="N239" i="15"/>
  <c r="G239" i="15"/>
  <c r="H239" i="15" s="1"/>
  <c r="I239" i="15" s="1"/>
  <c r="N238" i="15"/>
  <c r="G238" i="15"/>
  <c r="H238" i="15" s="1"/>
  <c r="I238" i="15" s="1"/>
  <c r="I237" i="15"/>
  <c r="H237" i="15"/>
  <c r="G237" i="15"/>
  <c r="I236" i="15"/>
  <c r="H236" i="15"/>
  <c r="G236" i="15"/>
  <c r="N235" i="15"/>
  <c r="O235" i="15" s="1"/>
  <c r="G235" i="15"/>
  <c r="H235" i="15" s="1"/>
  <c r="I235" i="15" s="1"/>
  <c r="G234" i="15"/>
  <c r="H234" i="15" s="1"/>
  <c r="I234" i="15" s="1"/>
  <c r="N233" i="15"/>
  <c r="G233" i="15"/>
  <c r="H233" i="15" s="1"/>
  <c r="I233" i="15" s="1"/>
  <c r="N232" i="15"/>
  <c r="H232" i="15"/>
  <c r="I232" i="15" s="1"/>
  <c r="G232" i="15"/>
  <c r="N231" i="15"/>
  <c r="H231" i="15"/>
  <c r="I231" i="15" s="1"/>
  <c r="G231" i="15"/>
  <c r="H230" i="15"/>
  <c r="I230" i="15" s="1"/>
  <c r="G230" i="15"/>
  <c r="I229" i="15"/>
  <c r="H229" i="15"/>
  <c r="G229" i="15"/>
  <c r="G228" i="15"/>
  <c r="H228" i="15" s="1"/>
  <c r="I228" i="15" s="1"/>
  <c r="N227" i="15"/>
  <c r="G227" i="15"/>
  <c r="H227" i="15" s="1"/>
  <c r="I227" i="15" s="1"/>
  <c r="N226" i="15"/>
  <c r="G226" i="15"/>
  <c r="H226" i="15" s="1"/>
  <c r="I226" i="15" s="1"/>
  <c r="N225" i="15"/>
  <c r="G225" i="15"/>
  <c r="H225" i="15" s="1"/>
  <c r="I225" i="15" s="1"/>
  <c r="N224" i="15"/>
  <c r="G224" i="15"/>
  <c r="H224" i="15" s="1"/>
  <c r="I224" i="15" s="1"/>
  <c r="N223" i="15"/>
  <c r="G223" i="15"/>
  <c r="H223" i="15" s="1"/>
  <c r="I223" i="15" s="1"/>
  <c r="G222" i="15"/>
  <c r="H222" i="15" s="1"/>
  <c r="I222" i="15" s="1"/>
  <c r="I221" i="15"/>
  <c r="H221" i="15"/>
  <c r="G221" i="15"/>
  <c r="N220" i="15"/>
  <c r="O220" i="15" s="1"/>
  <c r="I220" i="15"/>
  <c r="H220" i="15"/>
  <c r="G220" i="15"/>
  <c r="G219" i="15"/>
  <c r="H219" i="15" s="1"/>
  <c r="I219" i="15" s="1"/>
  <c r="N218" i="15"/>
  <c r="G218" i="15"/>
  <c r="H218" i="15" s="1"/>
  <c r="I218" i="15" s="1"/>
  <c r="N217" i="15"/>
  <c r="G217" i="15"/>
  <c r="H217" i="15" s="1"/>
  <c r="I217" i="15" s="1"/>
  <c r="N216" i="15"/>
  <c r="G216" i="15"/>
  <c r="H216" i="15" s="1"/>
  <c r="I216" i="15" s="1"/>
  <c r="N215" i="15"/>
  <c r="G215" i="15"/>
  <c r="H215" i="15" s="1"/>
  <c r="I215" i="15" s="1"/>
  <c r="N214" i="15"/>
  <c r="I214" i="15"/>
  <c r="H214" i="15"/>
  <c r="G213" i="15"/>
  <c r="H213" i="15" s="1"/>
  <c r="I213" i="15" s="1"/>
  <c r="G212" i="15"/>
  <c r="H212" i="15" s="1"/>
  <c r="I212" i="15" s="1"/>
  <c r="I211" i="15"/>
  <c r="H211" i="15"/>
  <c r="G211" i="15"/>
  <c r="I210" i="15"/>
  <c r="H210" i="15"/>
  <c r="G210" i="15"/>
  <c r="N209" i="15"/>
  <c r="O209" i="15" s="1"/>
  <c r="G209" i="15"/>
  <c r="H209" i="15" s="1"/>
  <c r="I209" i="15" s="1"/>
  <c r="N208" i="15"/>
  <c r="G208" i="15"/>
  <c r="H208" i="15" s="1"/>
  <c r="I208" i="15" s="1"/>
  <c r="N207" i="15"/>
  <c r="G207" i="15"/>
  <c r="H207" i="15" s="1"/>
  <c r="I207" i="15" s="1"/>
  <c r="N206" i="15"/>
  <c r="I206" i="15"/>
  <c r="G206" i="15"/>
  <c r="N205" i="15"/>
  <c r="I205" i="15"/>
  <c r="H205" i="15"/>
  <c r="G205" i="15"/>
  <c r="N204" i="15"/>
  <c r="I204" i="15"/>
  <c r="H204" i="15"/>
  <c r="G204" i="15"/>
  <c r="N203" i="15"/>
  <c r="I203" i="15"/>
  <c r="H203" i="15"/>
  <c r="G203" i="15"/>
  <c r="N202" i="15"/>
  <c r="I202" i="15"/>
  <c r="H202" i="15"/>
  <c r="G202" i="15"/>
  <c r="N201" i="15"/>
  <c r="I201" i="15"/>
  <c r="H201" i="15"/>
  <c r="G201" i="15"/>
  <c r="N200" i="15"/>
  <c r="I200" i="15"/>
  <c r="H200" i="15"/>
  <c r="G200" i="15"/>
  <c r="G199" i="15"/>
  <c r="H199" i="15" s="1"/>
  <c r="I199" i="15" s="1"/>
  <c r="H198" i="15"/>
  <c r="G197" i="15"/>
  <c r="H197" i="15" s="1"/>
  <c r="I197" i="15" s="1"/>
  <c r="I196" i="15"/>
  <c r="H196" i="15"/>
  <c r="G196" i="15"/>
  <c r="N195" i="15"/>
  <c r="O195" i="15" s="1"/>
  <c r="I195" i="15"/>
  <c r="H195" i="15"/>
  <c r="G195" i="15"/>
  <c r="N194" i="15"/>
  <c r="I194" i="15"/>
  <c r="H194" i="15"/>
  <c r="G194" i="15"/>
  <c r="N193" i="15"/>
  <c r="I193" i="15"/>
  <c r="H193" i="15"/>
  <c r="G193" i="15"/>
  <c r="N192" i="15"/>
  <c r="I192" i="15"/>
  <c r="H192" i="15"/>
  <c r="G192" i="15"/>
  <c r="N191" i="15"/>
  <c r="I191" i="15"/>
  <c r="H191" i="15"/>
  <c r="N190" i="15"/>
  <c r="I190" i="15"/>
  <c r="H190" i="15"/>
  <c r="G190" i="15"/>
  <c r="I189" i="15"/>
  <c r="H189" i="15"/>
  <c r="G189" i="15"/>
  <c r="N188" i="15"/>
  <c r="O188" i="15" s="1"/>
  <c r="G188" i="15"/>
  <c r="H188" i="15" s="1"/>
  <c r="I188" i="15" s="1"/>
  <c r="G187" i="15"/>
  <c r="H187" i="15" s="1"/>
  <c r="I187" i="15" s="1"/>
  <c r="I186" i="15"/>
  <c r="H186" i="15"/>
  <c r="G186" i="15"/>
  <c r="N185" i="15"/>
  <c r="I185" i="15"/>
  <c r="H185" i="15"/>
  <c r="G185" i="15"/>
  <c r="N184" i="15"/>
  <c r="I184" i="15"/>
  <c r="H184" i="15"/>
  <c r="G184" i="15"/>
  <c r="AA183" i="15"/>
  <c r="N183" i="15"/>
  <c r="I183" i="15"/>
  <c r="H183" i="15"/>
  <c r="G183" i="15"/>
  <c r="AA182" i="15"/>
  <c r="N182" i="15"/>
  <c r="G182" i="15"/>
  <c r="H182" i="15" s="1"/>
  <c r="I182" i="15" s="1"/>
  <c r="AA181" i="15"/>
  <c r="N181" i="15"/>
  <c r="G181" i="15"/>
  <c r="H181" i="15" s="1"/>
  <c r="I181" i="15" s="1"/>
  <c r="AA180" i="15"/>
  <c r="N180" i="15"/>
  <c r="H180" i="15"/>
  <c r="I180" i="15" s="1"/>
  <c r="G180" i="15"/>
  <c r="AA179" i="15"/>
  <c r="N179" i="15"/>
  <c r="I179" i="15"/>
  <c r="G179" i="15"/>
  <c r="AA178" i="15"/>
  <c r="G178" i="15"/>
  <c r="H178" i="15" s="1"/>
  <c r="I178" i="15" s="1"/>
  <c r="AA177" i="15"/>
  <c r="H177" i="15"/>
  <c r="I177" i="15" s="1"/>
  <c r="G177" i="15"/>
  <c r="AA176" i="15"/>
  <c r="G176" i="15"/>
  <c r="H176" i="15" s="1"/>
  <c r="I176" i="15" s="1"/>
  <c r="AA175" i="15"/>
  <c r="N175" i="15"/>
  <c r="G175" i="15"/>
  <c r="H175" i="15" s="1"/>
  <c r="I175" i="15" s="1"/>
  <c r="AA174" i="15"/>
  <c r="N174" i="15"/>
  <c r="G174" i="15"/>
  <c r="H174" i="15" s="1"/>
  <c r="AA173" i="15"/>
  <c r="N173" i="15"/>
  <c r="H173" i="15"/>
  <c r="I173" i="15" s="1"/>
  <c r="G173" i="15"/>
  <c r="AA172" i="15"/>
  <c r="N172" i="15"/>
  <c r="I172" i="15"/>
  <c r="H172" i="15"/>
  <c r="G172" i="15"/>
  <c r="AA171" i="15"/>
  <c r="N171" i="15"/>
  <c r="G171" i="15"/>
  <c r="H171" i="15" s="1"/>
  <c r="I171" i="15" s="1"/>
  <c r="AA170" i="15"/>
  <c r="N170" i="15"/>
  <c r="H170" i="15"/>
  <c r="I170" i="15" s="1"/>
  <c r="G170" i="15"/>
  <c r="AA169" i="15"/>
  <c r="I169" i="15"/>
  <c r="H169" i="15"/>
  <c r="G169" i="15"/>
  <c r="AA168" i="15"/>
  <c r="H168" i="15"/>
  <c r="I168" i="15" s="1"/>
  <c r="G168" i="15"/>
  <c r="AA167" i="15"/>
  <c r="N167" i="15"/>
  <c r="I167" i="15"/>
  <c r="H167" i="15"/>
  <c r="G167" i="15"/>
  <c r="AA166" i="15"/>
  <c r="G166" i="15"/>
  <c r="H166" i="15" s="1"/>
  <c r="I166" i="15" s="1"/>
  <c r="AA165" i="15"/>
  <c r="I165" i="15"/>
  <c r="H165" i="15"/>
  <c r="G165" i="15"/>
  <c r="AA164" i="15"/>
  <c r="G164" i="15"/>
  <c r="H164" i="15" s="1"/>
  <c r="I164" i="15" s="1"/>
  <c r="AA163" i="15"/>
  <c r="G163" i="15"/>
  <c r="H163" i="15" s="1"/>
  <c r="I163" i="15" s="1"/>
  <c r="AA162" i="15"/>
  <c r="G162" i="15"/>
  <c r="H162" i="15" s="1"/>
  <c r="I162" i="15" s="1"/>
  <c r="AA161" i="15"/>
  <c r="N161" i="15"/>
  <c r="G161" i="15"/>
  <c r="H161" i="15" s="1"/>
  <c r="I161" i="15" s="1"/>
  <c r="AA160" i="15"/>
  <c r="N160" i="15"/>
  <c r="H160" i="15"/>
  <c r="I160" i="15" s="1"/>
  <c r="G160" i="15"/>
  <c r="AA159" i="15"/>
  <c r="N159" i="15"/>
  <c r="I159" i="15"/>
  <c r="H159" i="15"/>
  <c r="AA158" i="15"/>
  <c r="N158" i="15"/>
  <c r="I158" i="15"/>
  <c r="H158" i="15"/>
  <c r="G158" i="15"/>
  <c r="AA157" i="15"/>
  <c r="N157" i="15"/>
  <c r="I157" i="15"/>
  <c r="G157" i="15"/>
  <c r="H157" i="15" s="1"/>
  <c r="AA156" i="15"/>
  <c r="N156" i="15"/>
  <c r="H156" i="15"/>
  <c r="I156" i="15" s="1"/>
  <c r="G156" i="15"/>
  <c r="AA155" i="15"/>
  <c r="N155" i="15"/>
  <c r="H155" i="15"/>
  <c r="G155" i="15"/>
  <c r="AA154" i="15"/>
  <c r="N154" i="15"/>
  <c r="G154" i="15"/>
  <c r="H154" i="15" s="1"/>
  <c r="I154" i="15" s="1"/>
  <c r="AA153" i="15"/>
  <c r="N153" i="15"/>
  <c r="H153" i="15"/>
  <c r="I153" i="15" s="1"/>
  <c r="G153" i="15"/>
  <c r="AA152" i="15"/>
  <c r="N152" i="15"/>
  <c r="G152" i="15"/>
  <c r="H152" i="15" s="1"/>
  <c r="I152" i="15" s="1"/>
  <c r="AA151" i="15"/>
  <c r="H151" i="15"/>
  <c r="I151" i="15" s="1"/>
  <c r="G151" i="15"/>
  <c r="AA150" i="15"/>
  <c r="I150" i="15"/>
  <c r="G150" i="15"/>
  <c r="H150" i="15" s="1"/>
  <c r="AA149" i="15"/>
  <c r="G149" i="15"/>
  <c r="H149" i="15" s="1"/>
  <c r="I149" i="15" s="1"/>
  <c r="AA148" i="15"/>
  <c r="G148" i="15"/>
  <c r="H148" i="15" s="1"/>
  <c r="I148" i="15" s="1"/>
  <c r="AA147" i="15"/>
  <c r="N147" i="15"/>
  <c r="H147" i="15"/>
  <c r="I147" i="15" s="1"/>
  <c r="G147" i="15"/>
  <c r="I146" i="15"/>
  <c r="H146" i="15"/>
  <c r="G146" i="15"/>
  <c r="N145" i="15"/>
  <c r="O145" i="15" s="1"/>
  <c r="G145" i="15"/>
  <c r="H145" i="15" s="1"/>
  <c r="I145" i="15" s="1"/>
  <c r="N144" i="15"/>
  <c r="G144" i="15"/>
  <c r="H144" i="15" s="1"/>
  <c r="I144" i="15" s="1"/>
  <c r="N143" i="15"/>
  <c r="G143" i="15"/>
  <c r="H143" i="15" s="1"/>
  <c r="I143" i="15" s="1"/>
  <c r="N142" i="15"/>
  <c r="G142" i="15"/>
  <c r="H142" i="15" s="1"/>
  <c r="I142" i="15" s="1"/>
  <c r="G141" i="15"/>
  <c r="H141" i="15" s="1"/>
  <c r="I141" i="15" s="1"/>
  <c r="N140" i="15"/>
  <c r="G140" i="15"/>
  <c r="H140" i="15" s="1"/>
  <c r="I140" i="15" s="1"/>
  <c r="N139" i="15"/>
  <c r="G139" i="15"/>
  <c r="H139" i="15" s="1"/>
  <c r="I139" i="15" s="1"/>
  <c r="N138" i="15"/>
  <c r="G138" i="15"/>
  <c r="H138" i="15" s="1"/>
  <c r="I138" i="15" s="1"/>
  <c r="N137" i="15"/>
  <c r="G137" i="15"/>
  <c r="H137" i="15" s="1"/>
  <c r="I137" i="15" s="1"/>
  <c r="I136" i="15"/>
  <c r="H136" i="15"/>
  <c r="H135" i="15"/>
  <c r="I135" i="15" s="1"/>
  <c r="G135" i="15"/>
  <c r="N134" i="15"/>
  <c r="H134" i="15"/>
  <c r="I134" i="15" s="1"/>
  <c r="G134" i="15"/>
  <c r="I133" i="15"/>
  <c r="H133" i="15"/>
  <c r="G133" i="15"/>
  <c r="G132" i="15"/>
  <c r="H132" i="15" s="1"/>
  <c r="I132" i="15" s="1"/>
  <c r="N131" i="15"/>
  <c r="G131" i="15"/>
  <c r="H131" i="15" s="1"/>
  <c r="I131" i="15" s="1"/>
  <c r="N130" i="15"/>
  <c r="G130" i="15"/>
  <c r="H130" i="15" s="1"/>
  <c r="I130" i="15" s="1"/>
  <c r="N129" i="15"/>
  <c r="G129" i="15"/>
  <c r="H129" i="15" s="1"/>
  <c r="I129" i="15" s="1"/>
  <c r="G128" i="15"/>
  <c r="H128" i="15" s="1"/>
  <c r="I128" i="15" s="1"/>
  <c r="H127" i="15"/>
  <c r="I127" i="15" s="1"/>
  <c r="G127" i="15"/>
  <c r="I126" i="15"/>
  <c r="H126" i="15"/>
  <c r="G126" i="15"/>
  <c r="N125" i="15"/>
  <c r="I125" i="15"/>
  <c r="H125" i="15"/>
  <c r="G125" i="15"/>
  <c r="AA124" i="15"/>
  <c r="N124" i="15"/>
  <c r="I124" i="15"/>
  <c r="H124" i="15"/>
  <c r="N123" i="15"/>
  <c r="I123" i="15"/>
  <c r="H123" i="15"/>
  <c r="I122" i="15"/>
  <c r="H122" i="15"/>
  <c r="G122" i="15"/>
  <c r="N121" i="15"/>
  <c r="I121" i="15"/>
  <c r="H121" i="15"/>
  <c r="N120" i="15"/>
  <c r="H120" i="15"/>
  <c r="I120" i="15" s="1"/>
  <c r="G120" i="15"/>
  <c r="N119" i="15"/>
  <c r="H119" i="15"/>
  <c r="I119" i="15" s="1"/>
  <c r="G119" i="15"/>
  <c r="N118" i="15"/>
  <c r="H118" i="15"/>
  <c r="I118" i="15" s="1"/>
  <c r="G118" i="15"/>
  <c r="AA117" i="15"/>
  <c r="N117" i="15"/>
  <c r="I117" i="15"/>
  <c r="G117" i="15"/>
  <c r="AA116" i="15"/>
  <c r="N116" i="15"/>
  <c r="I116" i="15"/>
  <c r="H116" i="15"/>
  <c r="G116" i="15"/>
  <c r="AA115" i="15"/>
  <c r="H115" i="15"/>
  <c r="I115" i="15" s="1"/>
  <c r="AA114" i="15"/>
  <c r="H114" i="15"/>
  <c r="I114" i="15" s="1"/>
  <c r="G114" i="15"/>
  <c r="AA113" i="15"/>
  <c r="N113" i="15"/>
  <c r="O113" i="15" s="1"/>
  <c r="G113" i="15"/>
  <c r="H113" i="15" s="1"/>
  <c r="I113" i="15" s="1"/>
  <c r="AA112" i="15"/>
  <c r="N112" i="15"/>
  <c r="H112" i="15"/>
  <c r="I112" i="15" s="1"/>
  <c r="AA111" i="15"/>
  <c r="N111" i="15"/>
  <c r="H111" i="15"/>
  <c r="I111" i="15" s="1"/>
  <c r="AA110" i="15"/>
  <c r="N110" i="15"/>
  <c r="G110" i="15"/>
  <c r="H110" i="15" s="1"/>
  <c r="I110" i="15" s="1"/>
  <c r="AA109" i="15"/>
  <c r="N109" i="15"/>
  <c r="H109" i="15"/>
  <c r="I109" i="15" s="1"/>
  <c r="AA108" i="15"/>
  <c r="N108" i="15"/>
  <c r="H108" i="15"/>
  <c r="I108" i="15" s="1"/>
  <c r="AA107" i="15"/>
  <c r="N107" i="15"/>
  <c r="H107" i="15"/>
  <c r="I107" i="15" s="1"/>
  <c r="AA106" i="15"/>
  <c r="N106" i="15"/>
  <c r="H106" i="15"/>
  <c r="I106" i="15" s="1"/>
  <c r="AA105" i="15"/>
  <c r="I105" i="15"/>
  <c r="H105" i="15"/>
  <c r="G105" i="15"/>
  <c r="AA104" i="15"/>
  <c r="N104" i="15"/>
  <c r="G104" i="15"/>
  <c r="H104" i="15" s="1"/>
  <c r="I104" i="15" s="1"/>
  <c r="AA103" i="15"/>
  <c r="H103" i="15"/>
  <c r="I103" i="15" s="1"/>
  <c r="G103" i="15"/>
  <c r="AA102" i="15"/>
  <c r="N102" i="15"/>
  <c r="O102" i="15" s="1"/>
  <c r="G102" i="15"/>
  <c r="H102" i="15" s="1"/>
  <c r="I102" i="15" s="1"/>
  <c r="AA101" i="15"/>
  <c r="N101" i="15"/>
  <c r="G101" i="15"/>
  <c r="H101" i="15" s="1"/>
  <c r="I101" i="15" s="1"/>
  <c r="AA100" i="15"/>
  <c r="N100" i="15"/>
  <c r="H100" i="15"/>
  <c r="I100" i="15" s="1"/>
  <c r="G100" i="15"/>
  <c r="AA99" i="15"/>
  <c r="N99" i="15"/>
  <c r="I99" i="15"/>
  <c r="H99" i="15"/>
  <c r="G99" i="15"/>
  <c r="AA98" i="15"/>
  <c r="N98" i="15"/>
  <c r="G98" i="15"/>
  <c r="H98" i="15" s="1"/>
  <c r="I98" i="15" s="1"/>
  <c r="AA97" i="15"/>
  <c r="N97" i="15"/>
  <c r="G97" i="15"/>
  <c r="H97" i="15" s="1"/>
  <c r="I97" i="15" s="1"/>
  <c r="AA96" i="15"/>
  <c r="N96" i="15"/>
  <c r="H96" i="15"/>
  <c r="I96" i="15" s="1"/>
  <c r="G96" i="15"/>
  <c r="AA95" i="15"/>
  <c r="G95" i="15"/>
  <c r="H95" i="15" s="1"/>
  <c r="I95" i="15" s="1"/>
  <c r="AA94" i="15"/>
  <c r="H94" i="15"/>
  <c r="AA93" i="15"/>
  <c r="I93" i="15"/>
  <c r="H93" i="15"/>
  <c r="G93" i="15"/>
  <c r="AA92" i="15"/>
  <c r="G92" i="15"/>
  <c r="H92" i="15" s="1"/>
  <c r="I92" i="15" s="1"/>
  <c r="AA91" i="15"/>
  <c r="I91" i="15"/>
  <c r="H91" i="15"/>
  <c r="G91" i="15"/>
  <c r="AA90" i="15"/>
  <c r="N90" i="15"/>
  <c r="G90" i="15"/>
  <c r="H90" i="15" s="1"/>
  <c r="I90" i="15" s="1"/>
  <c r="AA89" i="15"/>
  <c r="H89" i="15"/>
  <c r="I89" i="15" s="1"/>
  <c r="G89" i="15"/>
  <c r="AA88" i="15"/>
  <c r="N88" i="15"/>
  <c r="I88" i="15"/>
  <c r="H88" i="15"/>
  <c r="AA87" i="15"/>
  <c r="N87" i="15"/>
  <c r="I87" i="15"/>
  <c r="H87" i="15"/>
  <c r="G87" i="15"/>
  <c r="AA86" i="15"/>
  <c r="G86" i="15"/>
  <c r="H86" i="15" s="1"/>
  <c r="I86" i="15" s="1"/>
  <c r="AA85" i="15"/>
  <c r="N85" i="15"/>
  <c r="O85" i="15" s="1"/>
  <c r="I85" i="15"/>
  <c r="H85" i="15"/>
  <c r="G85" i="15"/>
  <c r="AA84" i="15"/>
  <c r="G84" i="15"/>
  <c r="H84" i="15" s="1"/>
  <c r="I84" i="15" s="1"/>
  <c r="AA83" i="15"/>
  <c r="N83" i="15"/>
  <c r="H83" i="15"/>
  <c r="I83" i="15" s="1"/>
  <c r="G83" i="15"/>
  <c r="AA82" i="15"/>
  <c r="N82" i="15"/>
  <c r="I82" i="15"/>
  <c r="H82" i="15"/>
  <c r="G82" i="15"/>
  <c r="AA81" i="15"/>
  <c r="N81" i="15"/>
  <c r="G81" i="15"/>
  <c r="H81" i="15" s="1"/>
  <c r="I81" i="15" s="1"/>
  <c r="AA80" i="15"/>
  <c r="I80" i="15"/>
  <c r="H80" i="15"/>
  <c r="G80" i="15"/>
  <c r="AA79" i="15"/>
  <c r="O79" i="15"/>
  <c r="N79" i="15"/>
  <c r="G79" i="15"/>
  <c r="H79" i="15" s="1"/>
  <c r="I79" i="15" s="1"/>
  <c r="AA78" i="15"/>
  <c r="I78" i="15"/>
  <c r="H78" i="15"/>
  <c r="G78" i="15"/>
  <c r="AA77" i="15"/>
  <c r="N77" i="15"/>
  <c r="I77" i="15"/>
  <c r="H77" i="15"/>
  <c r="G77" i="15"/>
  <c r="AA76" i="15"/>
  <c r="H76" i="15"/>
  <c r="I76" i="15" s="1"/>
  <c r="G76" i="15"/>
  <c r="AA75" i="15"/>
  <c r="N75" i="15"/>
  <c r="I75" i="15"/>
  <c r="H75" i="15"/>
  <c r="G75" i="15"/>
  <c r="AA74" i="15"/>
  <c r="N74" i="15"/>
  <c r="I74" i="15"/>
  <c r="H74" i="15"/>
  <c r="G74" i="15"/>
  <c r="AA73" i="15"/>
  <c r="H73" i="15"/>
  <c r="I73" i="15" s="1"/>
  <c r="G73" i="15"/>
  <c r="AA72" i="15"/>
  <c r="N72" i="15"/>
  <c r="I72" i="15"/>
  <c r="H72" i="15"/>
  <c r="G72" i="15"/>
  <c r="AA71" i="15"/>
  <c r="N71" i="15"/>
  <c r="I71" i="15"/>
  <c r="H71" i="15"/>
  <c r="G71" i="15"/>
  <c r="AA70" i="15"/>
  <c r="U70" i="15"/>
  <c r="N70" i="15"/>
  <c r="G70" i="15"/>
  <c r="H70" i="15" s="1"/>
  <c r="I70" i="15" s="1"/>
  <c r="AA69" i="15"/>
  <c r="U69" i="15"/>
  <c r="N69" i="15"/>
  <c r="I69" i="15"/>
  <c r="H69" i="15"/>
  <c r="G69" i="15"/>
  <c r="AA68" i="15"/>
  <c r="U68" i="15"/>
  <c r="H68" i="15"/>
  <c r="I68" i="15" s="1"/>
  <c r="G68" i="15"/>
  <c r="AA67" i="15"/>
  <c r="U67" i="15"/>
  <c r="N115" i="15" s="1"/>
  <c r="O115" i="15" s="1"/>
  <c r="G67" i="15"/>
  <c r="H67" i="15" s="1"/>
  <c r="I67" i="15" s="1"/>
  <c r="AA66" i="15"/>
  <c r="U66" i="15"/>
  <c r="N66" i="15"/>
  <c r="O66" i="15" s="1"/>
  <c r="G66" i="15"/>
  <c r="H66" i="15" s="1"/>
  <c r="I66" i="15" s="1"/>
  <c r="AA65" i="15"/>
  <c r="U65" i="15"/>
  <c r="N65" i="15"/>
  <c r="O65" i="15" s="1"/>
  <c r="I65" i="15"/>
  <c r="H65" i="15"/>
  <c r="G65" i="15"/>
  <c r="AA64" i="15"/>
  <c r="U64" i="15"/>
  <c r="N237" i="15" s="1"/>
  <c r="O237" i="15" s="1"/>
  <c r="I64" i="15"/>
  <c r="H64" i="15"/>
  <c r="G64" i="15"/>
  <c r="AA63" i="15"/>
  <c r="U63" i="15"/>
  <c r="N212" i="15" s="1"/>
  <c r="O212" i="15" s="1"/>
  <c r="H63" i="15"/>
  <c r="I63" i="15" s="1"/>
  <c r="G63" i="15"/>
  <c r="AA62" i="15"/>
  <c r="U62" i="15"/>
  <c r="N62" i="15"/>
  <c r="I62" i="15"/>
  <c r="H62" i="15"/>
  <c r="G62" i="15"/>
  <c r="AA61" i="15"/>
  <c r="U61" i="15"/>
  <c r="N61" i="15"/>
  <c r="H61" i="15"/>
  <c r="I61" i="15" s="1"/>
  <c r="AA60" i="15"/>
  <c r="U60" i="15"/>
  <c r="N60" i="15"/>
  <c r="O60" i="15" s="1"/>
  <c r="I60" i="15"/>
  <c r="H60" i="15"/>
  <c r="G60" i="15"/>
  <c r="AA59" i="15"/>
  <c r="U59" i="15"/>
  <c r="N59" i="15"/>
  <c r="G59" i="15"/>
  <c r="H59" i="15" s="1"/>
  <c r="I59" i="15" s="1"/>
  <c r="AA58" i="15"/>
  <c r="U58" i="15"/>
  <c r="N58" i="15"/>
  <c r="O58" i="15" s="1"/>
  <c r="G58" i="15"/>
  <c r="H58" i="15" s="1"/>
  <c r="I58" i="15" s="1"/>
  <c r="AA57" i="15"/>
  <c r="U57" i="15"/>
  <c r="N57" i="15"/>
  <c r="O57" i="15" s="1"/>
  <c r="I57" i="15"/>
  <c r="H57" i="15"/>
  <c r="G57" i="15"/>
  <c r="AA56" i="15"/>
  <c r="U56" i="15"/>
  <c r="N127" i="15" s="1"/>
  <c r="O127" i="15" s="1"/>
  <c r="I56" i="15"/>
  <c r="H56" i="15"/>
  <c r="G56" i="15"/>
  <c r="AA55" i="15"/>
  <c r="U55" i="15"/>
  <c r="N55" i="15"/>
  <c r="G55" i="15"/>
  <c r="H55" i="15" s="1"/>
  <c r="I55" i="15" s="1"/>
  <c r="AA54" i="15"/>
  <c r="U54" i="15"/>
  <c r="N54" i="15"/>
  <c r="I54" i="15"/>
  <c r="H54" i="15"/>
  <c r="G54" i="15"/>
  <c r="AA53" i="15"/>
  <c r="U53" i="15"/>
  <c r="N53" i="15"/>
  <c r="I53" i="15"/>
  <c r="H53" i="15"/>
  <c r="AA52" i="15"/>
  <c r="U52" i="15"/>
  <c r="N266" i="15" s="1"/>
  <c r="O266" i="15" s="1"/>
  <c r="N52" i="15"/>
  <c r="G52" i="15"/>
  <c r="H52" i="15" s="1"/>
  <c r="I52" i="15" s="1"/>
  <c r="AA51" i="15"/>
  <c r="U51" i="15"/>
  <c r="N51" i="15"/>
  <c r="I51" i="15"/>
  <c r="H51" i="15"/>
  <c r="G51" i="15"/>
  <c r="AA50" i="15"/>
  <c r="U50" i="15"/>
  <c r="N50" i="15"/>
  <c r="H50" i="15"/>
  <c r="I50" i="15" s="1"/>
  <c r="G50" i="15"/>
  <c r="AA49" i="15"/>
  <c r="U49" i="15"/>
  <c r="N49" i="15"/>
  <c r="I49" i="15"/>
  <c r="H49" i="15"/>
  <c r="G49" i="15"/>
  <c r="AA48" i="15"/>
  <c r="U48" i="15"/>
  <c r="N48" i="15"/>
  <c r="G48" i="15"/>
  <c r="H48" i="15" s="1"/>
  <c r="I48" i="15" s="1"/>
  <c r="AA47" i="15"/>
  <c r="U47" i="15"/>
  <c r="N47" i="15"/>
  <c r="O47" i="15" s="1"/>
  <c r="G47" i="15"/>
  <c r="H47" i="15" s="1"/>
  <c r="I47" i="15" s="1"/>
  <c r="AA46" i="15"/>
  <c r="U46" i="15"/>
  <c r="N46" i="15"/>
  <c r="O46" i="15" s="1"/>
  <c r="I46" i="15"/>
  <c r="H46" i="15"/>
  <c r="G46" i="15"/>
  <c r="AA45" i="15"/>
  <c r="U45" i="15"/>
  <c r="N45" i="15"/>
  <c r="G45" i="15"/>
  <c r="H45" i="15" s="1"/>
  <c r="I45" i="15" s="1"/>
  <c r="AA44" i="15"/>
  <c r="U44" i="15"/>
  <c r="I44" i="15"/>
  <c r="H44" i="15"/>
  <c r="AA43" i="15"/>
  <c r="U43" i="15"/>
  <c r="N44" i="15" s="1"/>
  <c r="O44" i="15" s="1"/>
  <c r="N43" i="15"/>
  <c r="H43" i="15"/>
  <c r="I43" i="15" s="1"/>
  <c r="AA42" i="15"/>
  <c r="U42" i="15"/>
  <c r="N42" i="15"/>
  <c r="O42" i="15" s="1"/>
  <c r="I42" i="15"/>
  <c r="H42" i="15"/>
  <c r="G42" i="15"/>
  <c r="AA41" i="15"/>
  <c r="U41" i="15"/>
  <c r="N189" i="15" s="1"/>
  <c r="O189" i="15" s="1"/>
  <c r="H41" i="15"/>
  <c r="I41" i="15" s="1"/>
  <c r="G41" i="15"/>
  <c r="AA40" i="15"/>
  <c r="U40" i="15"/>
  <c r="G40" i="15"/>
  <c r="H40" i="15" s="1"/>
  <c r="I40" i="15" s="1"/>
  <c r="AA39" i="15"/>
  <c r="U39" i="15"/>
  <c r="N39" i="15"/>
  <c r="I39" i="15"/>
  <c r="H39" i="15"/>
  <c r="AA38" i="15"/>
  <c r="U38" i="15"/>
  <c r="N38" i="15"/>
  <c r="G38" i="15"/>
  <c r="H38" i="15" s="1"/>
  <c r="I38" i="15" s="1"/>
  <c r="AA37" i="15"/>
  <c r="U37" i="15"/>
  <c r="N37" i="15"/>
  <c r="H37" i="15"/>
  <c r="I37" i="15" s="1"/>
  <c r="G37" i="15"/>
  <c r="AA36" i="15"/>
  <c r="U36" i="15"/>
  <c r="N36" i="15"/>
  <c r="I36" i="15"/>
  <c r="H36" i="15"/>
  <c r="AA35" i="15"/>
  <c r="U35" i="15"/>
  <c r="H35" i="15"/>
  <c r="I35" i="15" s="1"/>
  <c r="G35" i="15"/>
  <c r="AA34" i="15"/>
  <c r="U34" i="15"/>
  <c r="G34" i="15"/>
  <c r="H34" i="15" s="1"/>
  <c r="I34" i="15" s="1"/>
  <c r="AA33" i="15"/>
  <c r="U33" i="15"/>
  <c r="N33" i="15"/>
  <c r="O33" i="15" s="1"/>
  <c r="G33" i="15"/>
  <c r="H33" i="15" s="1"/>
  <c r="I33" i="15" s="1"/>
  <c r="AA32" i="15"/>
  <c r="U32" i="15"/>
  <c r="N32" i="15"/>
  <c r="H32" i="15"/>
  <c r="I32" i="15" s="1"/>
  <c r="AA31" i="15"/>
  <c r="U31" i="15"/>
  <c r="N31" i="15"/>
  <c r="I31" i="15"/>
  <c r="H31" i="15"/>
  <c r="G31" i="15"/>
  <c r="AA30" i="15"/>
  <c r="U30" i="15"/>
  <c r="N30" i="15"/>
  <c r="H30" i="15"/>
  <c r="I30" i="15" s="1"/>
  <c r="G30" i="15"/>
  <c r="AA29" i="15"/>
  <c r="U29" i="15"/>
  <c r="G29" i="15"/>
  <c r="H29" i="15" s="1"/>
  <c r="I29" i="15" s="1"/>
  <c r="AA28" i="15"/>
  <c r="U28" i="15"/>
  <c r="N28" i="15"/>
  <c r="I28" i="15"/>
  <c r="H28" i="15"/>
  <c r="G28" i="15"/>
  <c r="AA27" i="15"/>
  <c r="U27" i="15"/>
  <c r="N27" i="15"/>
  <c r="G27" i="15"/>
  <c r="H27" i="15" s="1"/>
  <c r="I27" i="15" s="1"/>
  <c r="AA26" i="15"/>
  <c r="U26" i="15"/>
  <c r="I26" i="15"/>
  <c r="H26" i="15"/>
  <c r="G26" i="15"/>
  <c r="AA25" i="15"/>
  <c r="U25" i="15"/>
  <c r="O25" i="15"/>
  <c r="N25" i="15"/>
  <c r="H25" i="15"/>
  <c r="I25" i="15" s="1"/>
  <c r="G25" i="15"/>
  <c r="AA24" i="15"/>
  <c r="U24" i="15"/>
  <c r="G24" i="15"/>
  <c r="H24" i="15" s="1"/>
  <c r="I24" i="15" s="1"/>
  <c r="AA23" i="15"/>
  <c r="U23" i="15"/>
  <c r="G23" i="15"/>
  <c r="H23" i="15" s="1"/>
  <c r="I23" i="15" s="1"/>
  <c r="AA22" i="15"/>
  <c r="U22" i="15"/>
  <c r="I22" i="15"/>
  <c r="H22" i="15"/>
  <c r="G22" i="15"/>
  <c r="AA21" i="15"/>
  <c r="U21" i="15"/>
  <c r="N21" i="15"/>
  <c r="G21" i="15"/>
  <c r="H21" i="15" s="1"/>
  <c r="I21" i="15" s="1"/>
  <c r="AA20" i="15"/>
  <c r="U20" i="15"/>
  <c r="N20" i="15"/>
  <c r="I20" i="15"/>
  <c r="H20" i="15"/>
  <c r="G20" i="15"/>
  <c r="AA19" i="15"/>
  <c r="U19" i="15"/>
  <c r="N19" i="15"/>
  <c r="H19" i="15"/>
  <c r="I19" i="15" s="1"/>
  <c r="G19" i="15"/>
  <c r="AA18" i="15"/>
  <c r="U18" i="15"/>
  <c r="G18" i="15"/>
  <c r="H18" i="15" s="1"/>
  <c r="I18" i="15" s="1"/>
  <c r="AA17" i="15"/>
  <c r="U17" i="15"/>
  <c r="N17" i="15"/>
  <c r="O17" i="15" s="1"/>
  <c r="I17" i="15"/>
  <c r="H17" i="15"/>
  <c r="G17" i="15"/>
  <c r="AA16" i="15"/>
  <c r="U16" i="15"/>
  <c r="N150" i="15" s="1"/>
  <c r="O150" i="15" s="1"/>
  <c r="N16" i="15"/>
  <c r="H16" i="15"/>
  <c r="I16" i="15" s="1"/>
  <c r="G16" i="15"/>
  <c r="AA15" i="15"/>
  <c r="U15" i="15"/>
  <c r="N15" i="15"/>
  <c r="I15" i="15"/>
  <c r="H15" i="15"/>
  <c r="G15" i="15"/>
  <c r="AA14" i="15"/>
  <c r="U14" i="15"/>
  <c r="N14" i="15"/>
  <c r="G14" i="15"/>
  <c r="H14" i="15" s="1"/>
  <c r="I14" i="15" s="1"/>
  <c r="AA13" i="15"/>
  <c r="U13" i="15"/>
  <c r="N13" i="15"/>
  <c r="O13" i="15" s="1"/>
  <c r="G13" i="15"/>
  <c r="H13" i="15" s="1"/>
  <c r="I13" i="15" s="1"/>
  <c r="AA12" i="15"/>
  <c r="U12" i="15"/>
  <c r="N12" i="15"/>
  <c r="O12" i="15" s="1"/>
  <c r="I12" i="15"/>
  <c r="H12" i="15"/>
  <c r="G12" i="15"/>
  <c r="AA11" i="15"/>
  <c r="U11" i="15"/>
  <c r="N11" i="15"/>
  <c r="H11" i="15"/>
  <c r="I11" i="15" s="1"/>
  <c r="AA10" i="15"/>
  <c r="U10" i="15"/>
  <c r="N10" i="15"/>
  <c r="H10" i="15"/>
  <c r="I10" i="15" s="1"/>
  <c r="AA9" i="15"/>
  <c r="U9" i="15"/>
  <c r="N9" i="15"/>
  <c r="I9" i="15"/>
  <c r="H9" i="15"/>
  <c r="G9" i="15"/>
  <c r="AA8" i="15"/>
  <c r="U8" i="15"/>
  <c r="N8" i="15"/>
  <c r="H8" i="15"/>
  <c r="I8" i="15" s="1"/>
  <c r="G8" i="15"/>
  <c r="AA7" i="15"/>
  <c r="U7" i="15"/>
  <c r="N264" i="15" s="1"/>
  <c r="O264" i="15" s="1"/>
  <c r="O7" i="15"/>
  <c r="N7" i="15"/>
  <c r="G7" i="15"/>
  <c r="H7" i="15" s="1"/>
  <c r="I7" i="15" s="1"/>
  <c r="AA6" i="15"/>
  <c r="U6" i="15"/>
  <c r="N6" i="15"/>
  <c r="O6" i="15" s="1"/>
  <c r="I6" i="15"/>
  <c r="H6" i="15"/>
  <c r="G6" i="15"/>
  <c r="AA5" i="15"/>
  <c r="U5" i="15"/>
  <c r="O5" i="15"/>
  <c r="N5" i="15"/>
  <c r="H5" i="15"/>
  <c r="I5" i="15" s="1"/>
  <c r="G5" i="15"/>
  <c r="AA4" i="15"/>
  <c r="U4" i="15"/>
  <c r="O4" i="15"/>
  <c r="N4" i="15"/>
  <c r="H4" i="15"/>
  <c r="G4" i="15"/>
  <c r="AA3" i="15"/>
  <c r="U3" i="15"/>
  <c r="N236" i="15" s="1"/>
  <c r="O236" i="15" s="1"/>
  <c r="N3" i="15"/>
  <c r="I3" i="15"/>
  <c r="H3" i="15"/>
  <c r="G3" i="15"/>
  <c r="O372" i="14"/>
  <c r="N372" i="14"/>
  <c r="I372" i="14"/>
  <c r="H372" i="14"/>
  <c r="G372" i="14"/>
  <c r="O371" i="14"/>
  <c r="N371" i="14"/>
  <c r="I371" i="14"/>
  <c r="H371" i="14"/>
  <c r="G371" i="14"/>
  <c r="N370" i="14"/>
  <c r="O370" i="14" s="1"/>
  <c r="I370" i="14"/>
  <c r="H370" i="14"/>
  <c r="G370" i="14"/>
  <c r="N369" i="14"/>
  <c r="O369" i="14" s="1"/>
  <c r="I369" i="14"/>
  <c r="G369" i="14"/>
  <c r="H369" i="14" s="1"/>
  <c r="O368" i="14"/>
  <c r="N368" i="14"/>
  <c r="I368" i="14"/>
  <c r="H368" i="14"/>
  <c r="G368" i="14"/>
  <c r="O367" i="14"/>
  <c r="N367" i="14"/>
  <c r="I367" i="14"/>
  <c r="H367" i="14"/>
  <c r="G367" i="14"/>
  <c r="N366" i="14"/>
  <c r="O366" i="14" s="1"/>
  <c r="I366" i="14"/>
  <c r="H366" i="14"/>
  <c r="G366" i="14"/>
  <c r="N365" i="14"/>
  <c r="O365" i="14" s="1"/>
  <c r="I365" i="14"/>
  <c r="G365" i="14"/>
  <c r="H365" i="14" s="1"/>
  <c r="O364" i="14"/>
  <c r="N364" i="14"/>
  <c r="I364" i="14"/>
  <c r="H364" i="14"/>
  <c r="G364" i="14"/>
  <c r="O363" i="14"/>
  <c r="N363" i="14"/>
  <c r="I363" i="14"/>
  <c r="H363" i="14"/>
  <c r="G363" i="14"/>
  <c r="N362" i="14"/>
  <c r="O362" i="14" s="1"/>
  <c r="I362" i="14"/>
  <c r="H362" i="14"/>
  <c r="G362" i="14"/>
  <c r="N361" i="14"/>
  <c r="O361" i="14" s="1"/>
  <c r="I361" i="14"/>
  <c r="G361" i="14"/>
  <c r="H361" i="14" s="1"/>
  <c r="O360" i="14"/>
  <c r="N360" i="14"/>
  <c r="I360" i="14"/>
  <c r="H360" i="14"/>
  <c r="G360" i="14"/>
  <c r="O359" i="14"/>
  <c r="N359" i="14"/>
  <c r="I359" i="14"/>
  <c r="H359" i="14"/>
  <c r="G359" i="14"/>
  <c r="N358" i="14"/>
  <c r="O358" i="14" s="1"/>
  <c r="I358" i="14"/>
  <c r="H358" i="14"/>
  <c r="G358" i="14"/>
  <c r="N357" i="14"/>
  <c r="O357" i="14" s="1"/>
  <c r="I357" i="14"/>
  <c r="G357" i="14"/>
  <c r="H357" i="14" s="1"/>
  <c r="O356" i="14"/>
  <c r="N356" i="14"/>
  <c r="I356" i="14"/>
  <c r="H356" i="14"/>
  <c r="G356" i="14"/>
  <c r="O355" i="14"/>
  <c r="N355" i="14"/>
  <c r="I355" i="14"/>
  <c r="H355" i="14"/>
  <c r="G355" i="14"/>
  <c r="N354" i="14"/>
  <c r="O354" i="14" s="1"/>
  <c r="I354" i="14"/>
  <c r="H354" i="14"/>
  <c r="G354" i="14"/>
  <c r="N353" i="14"/>
  <c r="O353" i="14" s="1"/>
  <c r="I353" i="14"/>
  <c r="G353" i="14"/>
  <c r="H353" i="14" s="1"/>
  <c r="O352" i="14"/>
  <c r="N352" i="14"/>
  <c r="I352" i="14"/>
  <c r="H352" i="14"/>
  <c r="G352" i="14"/>
  <c r="O351" i="14"/>
  <c r="N351" i="14"/>
  <c r="I351" i="14"/>
  <c r="H351" i="14"/>
  <c r="G351" i="14"/>
  <c r="N350" i="14"/>
  <c r="O350" i="14" s="1"/>
  <c r="I350" i="14"/>
  <c r="H350" i="14"/>
  <c r="G350" i="14"/>
  <c r="N349" i="14"/>
  <c r="O349" i="14" s="1"/>
  <c r="I349" i="14"/>
  <c r="G349" i="14"/>
  <c r="H349" i="14" s="1"/>
  <c r="O348" i="14"/>
  <c r="N348" i="14"/>
  <c r="I348" i="14"/>
  <c r="H348" i="14"/>
  <c r="G348" i="14"/>
  <c r="O347" i="14"/>
  <c r="N347" i="14"/>
  <c r="I347" i="14"/>
  <c r="H347" i="14"/>
  <c r="G347" i="14"/>
  <c r="N346" i="14"/>
  <c r="O346" i="14" s="1"/>
  <c r="I346" i="14"/>
  <c r="H346" i="14"/>
  <c r="G346" i="14"/>
  <c r="N345" i="14"/>
  <c r="O345" i="14" s="1"/>
  <c r="I345" i="14"/>
  <c r="G345" i="14"/>
  <c r="H345" i="14" s="1"/>
  <c r="O344" i="14"/>
  <c r="N344" i="14"/>
  <c r="I344" i="14"/>
  <c r="H344" i="14"/>
  <c r="G344" i="14"/>
  <c r="O343" i="14"/>
  <c r="N343" i="14"/>
  <c r="I343" i="14"/>
  <c r="H343" i="14"/>
  <c r="G343" i="14"/>
  <c r="N342" i="14"/>
  <c r="O342" i="14" s="1"/>
  <c r="I342" i="14"/>
  <c r="H342" i="14"/>
  <c r="G342" i="14"/>
  <c r="N341" i="14"/>
  <c r="O341" i="14" s="1"/>
  <c r="I341" i="14"/>
  <c r="G341" i="14"/>
  <c r="H341" i="14" s="1"/>
  <c r="O340" i="14"/>
  <c r="N340" i="14"/>
  <c r="I340" i="14"/>
  <c r="H340" i="14"/>
  <c r="G340" i="14"/>
  <c r="O339" i="14"/>
  <c r="N339" i="14"/>
  <c r="I339" i="14"/>
  <c r="H339" i="14"/>
  <c r="G339" i="14"/>
  <c r="N338" i="14"/>
  <c r="O338" i="14" s="1"/>
  <c r="I338" i="14"/>
  <c r="H338" i="14"/>
  <c r="G338" i="14"/>
  <c r="N337" i="14"/>
  <c r="O337" i="14" s="1"/>
  <c r="I337" i="14"/>
  <c r="G337" i="14"/>
  <c r="H337" i="14" s="1"/>
  <c r="O336" i="14"/>
  <c r="N336" i="14"/>
  <c r="I336" i="14"/>
  <c r="H336" i="14"/>
  <c r="G336" i="14"/>
  <c r="O335" i="14"/>
  <c r="N335" i="14"/>
  <c r="I335" i="14"/>
  <c r="H335" i="14"/>
  <c r="G335" i="14"/>
  <c r="N334" i="14"/>
  <c r="O334" i="14" s="1"/>
  <c r="I334" i="14"/>
  <c r="H334" i="14"/>
  <c r="G334" i="14"/>
  <c r="N333" i="14"/>
  <c r="O333" i="14" s="1"/>
  <c r="I333" i="14"/>
  <c r="G333" i="14"/>
  <c r="H333" i="14" s="1"/>
  <c r="O332" i="14"/>
  <c r="N332" i="14"/>
  <c r="I332" i="14"/>
  <c r="H332" i="14"/>
  <c r="G332" i="14"/>
  <c r="O331" i="14"/>
  <c r="N331" i="14"/>
  <c r="I331" i="14"/>
  <c r="H331" i="14"/>
  <c r="G331" i="14"/>
  <c r="N330" i="14"/>
  <c r="O330" i="14" s="1"/>
  <c r="I330" i="14"/>
  <c r="H330" i="14"/>
  <c r="G330" i="14"/>
  <c r="N329" i="14"/>
  <c r="O329" i="14" s="1"/>
  <c r="I329" i="14"/>
  <c r="G329" i="14"/>
  <c r="H329" i="14" s="1"/>
  <c r="O328" i="14"/>
  <c r="N328" i="14"/>
  <c r="I328" i="14"/>
  <c r="H328" i="14"/>
  <c r="G328" i="14"/>
  <c r="O327" i="14"/>
  <c r="N327" i="14"/>
  <c r="I327" i="14"/>
  <c r="H327" i="14"/>
  <c r="G327" i="14"/>
  <c r="N326" i="14"/>
  <c r="O326" i="14" s="1"/>
  <c r="I326" i="14"/>
  <c r="H326" i="14"/>
  <c r="G326" i="14"/>
  <c r="N325" i="14"/>
  <c r="O325" i="14" s="1"/>
  <c r="I325" i="14"/>
  <c r="G325" i="14"/>
  <c r="H325" i="14" s="1"/>
  <c r="O324" i="14"/>
  <c r="N324" i="14"/>
  <c r="I324" i="14"/>
  <c r="H324" i="14"/>
  <c r="G324" i="14"/>
  <c r="O323" i="14"/>
  <c r="N323" i="14"/>
  <c r="I323" i="14"/>
  <c r="G323" i="14"/>
  <c r="H323" i="14" s="1"/>
  <c r="N322" i="14"/>
  <c r="O322" i="14" s="1"/>
  <c r="I322" i="14"/>
  <c r="H322" i="14"/>
  <c r="G322" i="14"/>
  <c r="N321" i="14"/>
  <c r="O321" i="14" s="1"/>
  <c r="I321" i="14"/>
  <c r="G321" i="14"/>
  <c r="H321" i="14" s="1"/>
  <c r="N320" i="14"/>
  <c r="O320" i="14" s="1"/>
  <c r="I320" i="14"/>
  <c r="H320" i="14"/>
  <c r="G320" i="14"/>
  <c r="O319" i="14"/>
  <c r="N319" i="14"/>
  <c r="I319" i="14"/>
  <c r="G319" i="14"/>
  <c r="H319" i="14" s="1"/>
  <c r="N318" i="14"/>
  <c r="O318" i="14" s="1"/>
  <c r="I318" i="14"/>
  <c r="H318" i="14"/>
  <c r="G318" i="14"/>
  <c r="N317" i="14"/>
  <c r="O317" i="14" s="1"/>
  <c r="I317" i="14"/>
  <c r="G317" i="14"/>
  <c r="H317" i="14" s="1"/>
  <c r="N316" i="14"/>
  <c r="O316" i="14" s="1"/>
  <c r="I316" i="14"/>
  <c r="H316" i="14"/>
  <c r="G316" i="14"/>
  <c r="O315" i="14"/>
  <c r="N315" i="14"/>
  <c r="I315" i="14"/>
  <c r="G315" i="14"/>
  <c r="H315" i="14" s="1"/>
  <c r="N314" i="14"/>
  <c r="O314" i="14" s="1"/>
  <c r="I314" i="14"/>
  <c r="H314" i="14"/>
  <c r="G314" i="14"/>
  <c r="N313" i="14"/>
  <c r="O313" i="14" s="1"/>
  <c r="I313" i="14"/>
  <c r="G313" i="14"/>
  <c r="H313" i="14" s="1"/>
  <c r="N312" i="14"/>
  <c r="O312" i="14" s="1"/>
  <c r="I312" i="14"/>
  <c r="H312" i="14"/>
  <c r="G312" i="14"/>
  <c r="O311" i="14"/>
  <c r="N311" i="14"/>
  <c r="I311" i="14"/>
  <c r="G311" i="14"/>
  <c r="H311" i="14" s="1"/>
  <c r="N310" i="14"/>
  <c r="O310" i="14" s="1"/>
  <c r="I310" i="14"/>
  <c r="H310" i="14"/>
  <c r="G310" i="14"/>
  <c r="O309" i="14"/>
  <c r="N309" i="14"/>
  <c r="I309" i="14"/>
  <c r="G309" i="14"/>
  <c r="H309" i="14" s="1"/>
  <c r="N308" i="14"/>
  <c r="O308" i="14" s="1"/>
  <c r="I308" i="14"/>
  <c r="H308" i="14"/>
  <c r="G308" i="14"/>
  <c r="O307" i="14"/>
  <c r="N307" i="14"/>
  <c r="I307" i="14"/>
  <c r="G307" i="14"/>
  <c r="H307" i="14" s="1"/>
  <c r="N306" i="14"/>
  <c r="O306" i="14" s="1"/>
  <c r="I306" i="14"/>
  <c r="H306" i="14"/>
  <c r="G306" i="14"/>
  <c r="O305" i="14"/>
  <c r="N305" i="14"/>
  <c r="I305" i="14"/>
  <c r="G305" i="14"/>
  <c r="H305" i="14" s="1"/>
  <c r="N304" i="14"/>
  <c r="O304" i="14" s="1"/>
  <c r="I304" i="14"/>
  <c r="H304" i="14"/>
  <c r="G304" i="14"/>
  <c r="O303" i="14"/>
  <c r="N303" i="14"/>
  <c r="I303" i="14"/>
  <c r="G303" i="14"/>
  <c r="H303" i="14" s="1"/>
  <c r="N302" i="14"/>
  <c r="O302" i="14" s="1"/>
  <c r="I302" i="14"/>
  <c r="H302" i="14"/>
  <c r="G302" i="14"/>
  <c r="O301" i="14"/>
  <c r="N301" i="14"/>
  <c r="I301" i="14"/>
  <c r="G301" i="14"/>
  <c r="H301" i="14" s="1"/>
  <c r="N300" i="14"/>
  <c r="O300" i="14" s="1"/>
  <c r="I300" i="14"/>
  <c r="H300" i="14"/>
  <c r="G300" i="14"/>
  <c r="O299" i="14"/>
  <c r="N299" i="14"/>
  <c r="I299" i="14"/>
  <c r="G299" i="14"/>
  <c r="H299" i="14" s="1"/>
  <c r="N298" i="14"/>
  <c r="O298" i="14" s="1"/>
  <c r="I298" i="14"/>
  <c r="H298" i="14"/>
  <c r="G298" i="14"/>
  <c r="O297" i="14"/>
  <c r="N297" i="14"/>
  <c r="I297" i="14"/>
  <c r="G297" i="14"/>
  <c r="H297" i="14" s="1"/>
  <c r="N296" i="14"/>
  <c r="O296" i="14" s="1"/>
  <c r="I296" i="14"/>
  <c r="H296" i="14"/>
  <c r="G296" i="14"/>
  <c r="O295" i="14"/>
  <c r="N295" i="14"/>
  <c r="G295" i="14"/>
  <c r="H295" i="14" s="1"/>
  <c r="I295" i="14" s="1"/>
  <c r="G294" i="14"/>
  <c r="H294" i="14" s="1"/>
  <c r="I294" i="14" s="1"/>
  <c r="H293" i="14"/>
  <c r="I293" i="14" s="1"/>
  <c r="G293" i="14"/>
  <c r="N292" i="14"/>
  <c r="H292" i="14"/>
  <c r="I292" i="14" s="1"/>
  <c r="G292" i="14"/>
  <c r="N291" i="14"/>
  <c r="H291" i="14"/>
  <c r="I291" i="14" s="1"/>
  <c r="G291" i="14"/>
  <c r="N290" i="14"/>
  <c r="H290" i="14"/>
  <c r="I290" i="14" s="1"/>
  <c r="G290" i="14"/>
  <c r="G289" i="14"/>
  <c r="H289" i="14" s="1"/>
  <c r="I289" i="14" s="1"/>
  <c r="N288" i="14"/>
  <c r="G288" i="14"/>
  <c r="H288" i="14" s="1"/>
  <c r="I288" i="14" s="1"/>
  <c r="N287" i="14"/>
  <c r="G287" i="14"/>
  <c r="H287" i="14" s="1"/>
  <c r="I287" i="14" s="1"/>
  <c r="N286" i="14"/>
  <c r="G286" i="14"/>
  <c r="H286" i="14" s="1"/>
  <c r="I286" i="14" s="1"/>
  <c r="H285" i="14"/>
  <c r="I285" i="14" s="1"/>
  <c r="G285" i="14"/>
  <c r="N284" i="14"/>
  <c r="H284" i="14"/>
  <c r="I284" i="14" s="1"/>
  <c r="G284" i="14"/>
  <c r="I283" i="14"/>
  <c r="G283" i="14"/>
  <c r="H283" i="14" s="1"/>
  <c r="N282" i="14"/>
  <c r="G282" i="14"/>
  <c r="H282" i="14" s="1"/>
  <c r="I282" i="14" s="1"/>
  <c r="N281" i="14"/>
  <c r="I281" i="14"/>
  <c r="G281" i="14"/>
  <c r="H281" i="14" s="1"/>
  <c r="H280" i="14"/>
  <c r="I280" i="14" s="1"/>
  <c r="G280" i="14"/>
  <c r="G279" i="14"/>
  <c r="H279" i="14" s="1"/>
  <c r="I279" i="14" s="1"/>
  <c r="N278" i="14"/>
  <c r="G278" i="14"/>
  <c r="H278" i="14" s="1"/>
  <c r="I278" i="14" s="1"/>
  <c r="H277" i="14"/>
  <c r="I277" i="14" s="1"/>
  <c r="G277" i="14"/>
  <c r="N276" i="14"/>
  <c r="H276" i="14"/>
  <c r="I276" i="14" s="1"/>
  <c r="G276" i="14"/>
  <c r="N275" i="14"/>
  <c r="H275" i="14"/>
  <c r="I275" i="14" s="1"/>
  <c r="G275" i="14"/>
  <c r="N274" i="14"/>
  <c r="H274" i="14"/>
  <c r="I274" i="14" s="1"/>
  <c r="G274" i="14"/>
  <c r="N273" i="14"/>
  <c r="H273" i="14"/>
  <c r="I273" i="14" s="1"/>
  <c r="N272" i="14"/>
  <c r="G272" i="14"/>
  <c r="H272" i="14" s="1"/>
  <c r="I272" i="14" s="1"/>
  <c r="H271" i="14"/>
  <c r="I271" i="14" s="1"/>
  <c r="G271" i="14"/>
  <c r="N270" i="14"/>
  <c r="H270" i="14"/>
  <c r="I270" i="14" s="1"/>
  <c r="N269" i="14"/>
  <c r="G269" i="14"/>
  <c r="H269" i="14" s="1"/>
  <c r="I269" i="14" s="1"/>
  <c r="N268" i="14"/>
  <c r="I268" i="14"/>
  <c r="G268" i="14"/>
  <c r="H268" i="14" s="1"/>
  <c r="N267" i="14"/>
  <c r="G267" i="14"/>
  <c r="H267" i="14" s="1"/>
  <c r="I267" i="14" s="1"/>
  <c r="N266" i="14"/>
  <c r="I266" i="14"/>
  <c r="G266" i="14"/>
  <c r="H266" i="14" s="1"/>
  <c r="N265" i="14"/>
  <c r="G265" i="14"/>
  <c r="H265" i="14" s="1"/>
  <c r="I265" i="14" s="1"/>
  <c r="N264" i="14"/>
  <c r="I264" i="14"/>
  <c r="H264" i="14"/>
  <c r="N263" i="14"/>
  <c r="H263" i="14"/>
  <c r="I263" i="14" s="1"/>
  <c r="G263" i="14"/>
  <c r="N262" i="14"/>
  <c r="H262" i="14"/>
  <c r="I262" i="14" s="1"/>
  <c r="G262" i="14"/>
  <c r="N261" i="14"/>
  <c r="H261" i="14"/>
  <c r="I261" i="14" s="1"/>
  <c r="G261" i="14"/>
  <c r="I260" i="14"/>
  <c r="G260" i="14"/>
  <c r="H260" i="14" s="1"/>
  <c r="N259" i="14"/>
  <c r="O259" i="14" s="1"/>
  <c r="H259" i="14"/>
  <c r="I259" i="14" s="1"/>
  <c r="G259" i="14"/>
  <c r="N258" i="14"/>
  <c r="H258" i="14"/>
  <c r="I258" i="14" s="1"/>
  <c r="G258" i="14"/>
  <c r="N257" i="14"/>
  <c r="H257" i="14"/>
  <c r="I257" i="14" s="1"/>
  <c r="G257" i="14"/>
  <c r="N256" i="14"/>
  <c r="H256" i="14"/>
  <c r="I256" i="14" s="1"/>
  <c r="G256" i="14"/>
  <c r="O255" i="14"/>
  <c r="G255" i="14"/>
  <c r="H255" i="14" s="1"/>
  <c r="I255" i="14" s="1"/>
  <c r="H254" i="14"/>
  <c r="I254" i="14" s="1"/>
  <c r="G254" i="14"/>
  <c r="N253" i="14"/>
  <c r="H253" i="14"/>
  <c r="I253" i="14" s="1"/>
  <c r="G253" i="14"/>
  <c r="I252" i="14"/>
  <c r="G252" i="14"/>
  <c r="H252" i="14" s="1"/>
  <c r="N251" i="14"/>
  <c r="O251" i="14" s="1"/>
  <c r="H251" i="14"/>
  <c r="I251" i="14" s="1"/>
  <c r="G251" i="14"/>
  <c r="I250" i="14"/>
  <c r="G250" i="14"/>
  <c r="H250" i="14" s="1"/>
  <c r="N249" i="14"/>
  <c r="G249" i="14"/>
  <c r="H249" i="14" s="1"/>
  <c r="I249" i="14" s="1"/>
  <c r="N248" i="14"/>
  <c r="I248" i="14"/>
  <c r="G248" i="14"/>
  <c r="H248" i="14" s="1"/>
  <c r="N247" i="14"/>
  <c r="G247" i="14"/>
  <c r="H247" i="14" s="1"/>
  <c r="I247" i="14" s="1"/>
  <c r="N246" i="14"/>
  <c r="I246" i="14"/>
  <c r="G246" i="14"/>
  <c r="H246" i="14" s="1"/>
  <c r="N245" i="14"/>
  <c r="G245" i="14"/>
  <c r="H245" i="14" s="1"/>
  <c r="I245" i="14" s="1"/>
  <c r="N244" i="14"/>
  <c r="I244" i="14"/>
  <c r="G244" i="14"/>
  <c r="H244" i="14" s="1"/>
  <c r="N243" i="14"/>
  <c r="G243" i="14"/>
  <c r="H243" i="14" s="1"/>
  <c r="I243" i="14" s="1"/>
  <c r="H242" i="14"/>
  <c r="I242" i="14" s="1"/>
  <c r="G242" i="14"/>
  <c r="G241" i="14"/>
  <c r="H241" i="14" s="1"/>
  <c r="I241" i="14" s="1"/>
  <c r="N240" i="14"/>
  <c r="O240" i="14" s="1"/>
  <c r="H240" i="14"/>
  <c r="I240" i="14" s="1"/>
  <c r="G240" i="14"/>
  <c r="G239" i="14"/>
  <c r="H239" i="14" s="1"/>
  <c r="I239" i="14" s="1"/>
  <c r="N238" i="14"/>
  <c r="I238" i="14"/>
  <c r="G238" i="14"/>
  <c r="H238" i="14" s="1"/>
  <c r="H237" i="14"/>
  <c r="I237" i="14" s="1"/>
  <c r="G237" i="14"/>
  <c r="N236" i="14"/>
  <c r="H236" i="14"/>
  <c r="I236" i="14" s="1"/>
  <c r="G236" i="14"/>
  <c r="N235" i="14"/>
  <c r="H235" i="14"/>
  <c r="I235" i="14" s="1"/>
  <c r="G235" i="14"/>
  <c r="N234" i="14"/>
  <c r="H234" i="14"/>
  <c r="I234" i="14" s="1"/>
  <c r="G234" i="14"/>
  <c r="N233" i="14"/>
  <c r="H233" i="14"/>
  <c r="I233" i="14" s="1"/>
  <c r="G233" i="14"/>
  <c r="N232" i="14"/>
  <c r="H232" i="14"/>
  <c r="I232" i="14" s="1"/>
  <c r="G232" i="14"/>
  <c r="N231" i="14"/>
  <c r="H231" i="14"/>
  <c r="I231" i="14" s="1"/>
  <c r="G231" i="14"/>
  <c r="I230" i="14"/>
  <c r="G230" i="14"/>
  <c r="H230" i="14" s="1"/>
  <c r="H229" i="14"/>
  <c r="I229" i="14" s="1"/>
  <c r="G229" i="14"/>
  <c r="I228" i="14"/>
  <c r="G228" i="14"/>
  <c r="H228" i="14" s="1"/>
  <c r="N227" i="14"/>
  <c r="O227" i="14" s="1"/>
  <c r="H227" i="14"/>
  <c r="I227" i="14" s="1"/>
  <c r="G227" i="14"/>
  <c r="I226" i="14"/>
  <c r="G226" i="14"/>
  <c r="H226" i="14" s="1"/>
  <c r="N225" i="14"/>
  <c r="G225" i="14"/>
  <c r="H225" i="14" s="1"/>
  <c r="I225" i="14" s="1"/>
  <c r="N224" i="14"/>
  <c r="I224" i="14"/>
  <c r="G224" i="14"/>
  <c r="H224" i="14" s="1"/>
  <c r="N223" i="14"/>
  <c r="G223" i="14"/>
  <c r="H223" i="14" s="1"/>
  <c r="I223" i="14" s="1"/>
  <c r="N222" i="14"/>
  <c r="I222" i="14"/>
  <c r="G222" i="14"/>
  <c r="H222" i="14" s="1"/>
  <c r="N221" i="14"/>
  <c r="I221" i="14"/>
  <c r="H221" i="14"/>
  <c r="N220" i="14"/>
  <c r="H220" i="14"/>
  <c r="I220" i="14" s="1"/>
  <c r="N219" i="14"/>
  <c r="I219" i="14"/>
  <c r="G219" i="14"/>
  <c r="H219" i="14" s="1"/>
  <c r="N218" i="14"/>
  <c r="G218" i="14"/>
  <c r="H218" i="14" s="1"/>
  <c r="I218" i="14" s="1"/>
  <c r="N217" i="14"/>
  <c r="I217" i="14"/>
  <c r="H217" i="14"/>
  <c r="G216" i="14"/>
  <c r="H216" i="14" s="1"/>
  <c r="I216" i="14" s="1"/>
  <c r="H215" i="14"/>
  <c r="I215" i="14" s="1"/>
  <c r="G215" i="14"/>
  <c r="N214" i="14"/>
  <c r="H214" i="14"/>
  <c r="I214" i="14" s="1"/>
  <c r="G214" i="14"/>
  <c r="N213" i="14"/>
  <c r="H213" i="14"/>
  <c r="I213" i="14" s="1"/>
  <c r="G213" i="14"/>
  <c r="O212" i="14"/>
  <c r="G212" i="14"/>
  <c r="H212" i="14" s="1"/>
  <c r="I212" i="14" s="1"/>
  <c r="N211" i="14"/>
  <c r="I211" i="14"/>
  <c r="G211" i="14"/>
  <c r="H211" i="14" s="1"/>
  <c r="N210" i="14"/>
  <c r="G210" i="14"/>
  <c r="H210" i="14" s="1"/>
  <c r="I210" i="14" s="1"/>
  <c r="H209" i="14"/>
  <c r="I209" i="14" s="1"/>
  <c r="G209" i="14"/>
  <c r="G208" i="14"/>
  <c r="H208" i="14" s="1"/>
  <c r="I208" i="14" s="1"/>
  <c r="H207" i="14"/>
  <c r="I207" i="14" s="1"/>
  <c r="G207" i="14"/>
  <c r="N206" i="14"/>
  <c r="H206" i="14"/>
  <c r="I206" i="14" s="1"/>
  <c r="G206" i="14"/>
  <c r="I205" i="14"/>
  <c r="G205" i="14"/>
  <c r="H205" i="14" s="1"/>
  <c r="N204" i="14"/>
  <c r="G204" i="14"/>
  <c r="H204" i="14" s="1"/>
  <c r="I204" i="14" s="1"/>
  <c r="N203" i="14"/>
  <c r="I203" i="14"/>
  <c r="G203" i="14"/>
  <c r="H203" i="14" s="1"/>
  <c r="N202" i="14"/>
  <c r="G202" i="14"/>
  <c r="H202" i="14" s="1"/>
  <c r="I202" i="14" s="1"/>
  <c r="N201" i="14"/>
  <c r="I201" i="14"/>
  <c r="G201" i="14"/>
  <c r="H201" i="14" s="1"/>
  <c r="N200" i="14"/>
  <c r="O200" i="14" s="1"/>
  <c r="H200" i="14"/>
  <c r="I200" i="14" s="1"/>
  <c r="G200" i="14"/>
  <c r="N199" i="14"/>
  <c r="H199" i="14"/>
  <c r="I199" i="14" s="1"/>
  <c r="G199" i="14"/>
  <c r="G198" i="14"/>
  <c r="H198" i="14" s="1"/>
  <c r="I198" i="14" s="1"/>
  <c r="N197" i="14"/>
  <c r="I197" i="14"/>
  <c r="G197" i="14"/>
  <c r="G196" i="14"/>
  <c r="H196" i="14" s="1"/>
  <c r="I196" i="14" s="1"/>
  <c r="H195" i="14"/>
  <c r="I195" i="14" s="1"/>
  <c r="G195" i="14"/>
  <c r="G194" i="14"/>
  <c r="H194" i="14" s="1"/>
  <c r="I194" i="14" s="1"/>
  <c r="N193" i="14"/>
  <c r="I193" i="14"/>
  <c r="G193" i="14"/>
  <c r="H193" i="14" s="1"/>
  <c r="N192" i="14"/>
  <c r="G192" i="14"/>
  <c r="H192" i="14" s="1"/>
  <c r="I192" i="14" s="1"/>
  <c r="N191" i="14"/>
  <c r="I191" i="14"/>
  <c r="G191" i="14"/>
  <c r="H191" i="14" s="1"/>
  <c r="H190" i="14"/>
  <c r="I190" i="14" s="1"/>
  <c r="G190" i="14"/>
  <c r="I189" i="14"/>
  <c r="G189" i="14"/>
  <c r="H189" i="14" s="1"/>
  <c r="AA188" i="14"/>
  <c r="N188" i="14"/>
  <c r="H188" i="14"/>
  <c r="I188" i="14" s="1"/>
  <c r="G188" i="14"/>
  <c r="AA187" i="14"/>
  <c r="H187" i="14"/>
  <c r="I187" i="14" s="1"/>
  <c r="G187" i="14"/>
  <c r="AA186" i="14"/>
  <c r="H186" i="14"/>
  <c r="I186" i="14" s="1"/>
  <c r="AA185" i="14"/>
  <c r="N185" i="14"/>
  <c r="H185" i="14"/>
  <c r="I185" i="14" s="1"/>
  <c r="AA184" i="14"/>
  <c r="I184" i="14"/>
  <c r="G184" i="14"/>
  <c r="H184" i="14" s="1"/>
  <c r="AA183" i="14"/>
  <c r="N183" i="14"/>
  <c r="H183" i="14"/>
  <c r="I183" i="14" s="1"/>
  <c r="G183" i="14"/>
  <c r="AA182" i="14"/>
  <c r="N182" i="14"/>
  <c r="I182" i="14"/>
  <c r="G182" i="14"/>
  <c r="H182" i="14" s="1"/>
  <c r="AA181" i="14"/>
  <c r="N181" i="14"/>
  <c r="H181" i="14"/>
  <c r="I181" i="14" s="1"/>
  <c r="G181" i="14"/>
  <c r="AA180" i="14"/>
  <c r="N180" i="14"/>
  <c r="I180" i="14"/>
  <c r="G180" i="14"/>
  <c r="H180" i="14" s="1"/>
  <c r="AA179" i="14"/>
  <c r="I179" i="14"/>
  <c r="G179" i="14"/>
  <c r="H179" i="14" s="1"/>
  <c r="AA178" i="14"/>
  <c r="I178" i="14"/>
  <c r="G178" i="14"/>
  <c r="H178" i="14" s="1"/>
  <c r="AA177" i="14"/>
  <c r="N177" i="14"/>
  <c r="H177" i="14"/>
  <c r="I177" i="14" s="1"/>
  <c r="G177" i="14"/>
  <c r="AA176" i="14"/>
  <c r="N176" i="14"/>
  <c r="I176" i="14"/>
  <c r="H176" i="14"/>
  <c r="AA175" i="14"/>
  <c r="N175" i="14"/>
  <c r="I175" i="14"/>
  <c r="G175" i="14"/>
  <c r="H175" i="14" s="1"/>
  <c r="AA174" i="14"/>
  <c r="I174" i="14"/>
  <c r="G174" i="14"/>
  <c r="H174" i="14" s="1"/>
  <c r="AA173" i="14"/>
  <c r="I173" i="14"/>
  <c r="G173" i="14"/>
  <c r="H173" i="14" s="1"/>
  <c r="AA172" i="14"/>
  <c r="N172" i="14"/>
  <c r="H172" i="14"/>
  <c r="I172" i="14" s="1"/>
  <c r="G172" i="14"/>
  <c r="AA171" i="14"/>
  <c r="N171" i="14"/>
  <c r="I171" i="14"/>
  <c r="G171" i="14"/>
  <c r="H171" i="14" s="1"/>
  <c r="AA170" i="14"/>
  <c r="N170" i="14"/>
  <c r="I170" i="14"/>
  <c r="G170" i="14"/>
  <c r="AA169" i="14"/>
  <c r="N169" i="14"/>
  <c r="H169" i="14"/>
  <c r="I169" i="14" s="1"/>
  <c r="G169" i="14"/>
  <c r="AA168" i="14"/>
  <c r="N168" i="14"/>
  <c r="I168" i="14"/>
  <c r="G168" i="14"/>
  <c r="H168" i="14" s="1"/>
  <c r="AA167" i="14"/>
  <c r="N167" i="14"/>
  <c r="H167" i="14"/>
  <c r="I167" i="14" s="1"/>
  <c r="AA166" i="14"/>
  <c r="N166" i="14"/>
  <c r="H166" i="14"/>
  <c r="I166" i="14" s="1"/>
  <c r="G166" i="14"/>
  <c r="AA165" i="14"/>
  <c r="N165" i="14"/>
  <c r="G165" i="14"/>
  <c r="H165" i="14" s="1"/>
  <c r="I165" i="14" s="1"/>
  <c r="AA164" i="14"/>
  <c r="G164" i="14"/>
  <c r="H164" i="14" s="1"/>
  <c r="I164" i="14" s="1"/>
  <c r="AA163" i="14"/>
  <c r="N163" i="14"/>
  <c r="H163" i="14"/>
  <c r="I163" i="14" s="1"/>
  <c r="G163" i="14"/>
  <c r="AA162" i="14"/>
  <c r="H162" i="14"/>
  <c r="I162" i="14" s="1"/>
  <c r="G162" i="14"/>
  <c r="AA161" i="14"/>
  <c r="H161" i="14"/>
  <c r="I161" i="14" s="1"/>
  <c r="G161" i="14"/>
  <c r="AA160" i="14"/>
  <c r="H160" i="14"/>
  <c r="I160" i="14" s="1"/>
  <c r="G160" i="14"/>
  <c r="AA159" i="14"/>
  <c r="N159" i="14"/>
  <c r="O159" i="14" s="1"/>
  <c r="H159" i="14"/>
  <c r="I159" i="14" s="1"/>
  <c r="AA158" i="14"/>
  <c r="I158" i="14"/>
  <c r="G158" i="14"/>
  <c r="H158" i="14" s="1"/>
  <c r="AA157" i="14"/>
  <c r="I157" i="14"/>
  <c r="G157" i="14"/>
  <c r="H157" i="14" s="1"/>
  <c r="AA156" i="14"/>
  <c r="N156" i="14"/>
  <c r="H156" i="14"/>
  <c r="I156" i="14" s="1"/>
  <c r="G156" i="14"/>
  <c r="AA155" i="14"/>
  <c r="N155" i="14"/>
  <c r="I155" i="14"/>
  <c r="G155" i="14"/>
  <c r="H155" i="14" s="1"/>
  <c r="AA154" i="14"/>
  <c r="I154" i="14"/>
  <c r="G154" i="14"/>
  <c r="H154" i="14" s="1"/>
  <c r="AA153" i="14"/>
  <c r="N153" i="14"/>
  <c r="H153" i="14"/>
  <c r="I153" i="14" s="1"/>
  <c r="AA152" i="14"/>
  <c r="G152" i="14"/>
  <c r="H152" i="14" s="1"/>
  <c r="I152" i="14" s="1"/>
  <c r="AA151" i="14"/>
  <c r="G151" i="14"/>
  <c r="H151" i="14" s="1"/>
  <c r="I151" i="14" s="1"/>
  <c r="AA150" i="14"/>
  <c r="G150" i="14"/>
  <c r="H150" i="14" s="1"/>
  <c r="I150" i="14" s="1"/>
  <c r="AA149" i="14"/>
  <c r="O149" i="14"/>
  <c r="G149" i="14"/>
  <c r="H149" i="14" s="1"/>
  <c r="I149" i="14" s="1"/>
  <c r="AA148" i="14"/>
  <c r="N148" i="14"/>
  <c r="H148" i="14"/>
  <c r="I148" i="14" s="1"/>
  <c r="G148" i="14"/>
  <c r="AA147" i="14"/>
  <c r="N147" i="14"/>
  <c r="G147" i="14"/>
  <c r="H147" i="14" s="1"/>
  <c r="I147" i="14" s="1"/>
  <c r="N146" i="14"/>
  <c r="I146" i="14"/>
  <c r="G146" i="14"/>
  <c r="H146" i="14" s="1"/>
  <c r="N145" i="14"/>
  <c r="G145" i="14"/>
  <c r="H145" i="14" s="1"/>
  <c r="I145" i="14" s="1"/>
  <c r="N144" i="14"/>
  <c r="I144" i="14"/>
  <c r="G144" i="14"/>
  <c r="H144" i="14" s="1"/>
  <c r="N143" i="14"/>
  <c r="O143" i="14" s="1"/>
  <c r="H143" i="14"/>
  <c r="I143" i="14" s="1"/>
  <c r="G143" i="14"/>
  <c r="N142" i="14"/>
  <c r="H142" i="14"/>
  <c r="I142" i="14" s="1"/>
  <c r="G142" i="14"/>
  <c r="N141" i="14"/>
  <c r="H141" i="14"/>
  <c r="I141" i="14" s="1"/>
  <c r="N140" i="14"/>
  <c r="G140" i="14"/>
  <c r="H140" i="14" s="1"/>
  <c r="I140" i="14" s="1"/>
  <c r="H139" i="14"/>
  <c r="I139" i="14" s="1"/>
  <c r="G139" i="14"/>
  <c r="I138" i="14"/>
  <c r="H138" i="14"/>
  <c r="N138" i="14" s="1"/>
  <c r="O138" i="14" s="1"/>
  <c r="I137" i="14"/>
  <c r="H137" i="14"/>
  <c r="N137" i="14" s="1"/>
  <c r="O137" i="14" s="1"/>
  <c r="O136" i="14"/>
  <c r="I136" i="14"/>
  <c r="H136" i="14"/>
  <c r="N136" i="14" s="1"/>
  <c r="I135" i="14"/>
  <c r="G135" i="14"/>
  <c r="H135" i="14" s="1"/>
  <c r="H134" i="14"/>
  <c r="I134" i="14" s="1"/>
  <c r="G134" i="14"/>
  <c r="N133" i="14"/>
  <c r="H133" i="14"/>
  <c r="I133" i="14" s="1"/>
  <c r="G133" i="14"/>
  <c r="N132" i="14"/>
  <c r="H132" i="14"/>
  <c r="I132" i="14" s="1"/>
  <c r="N131" i="14"/>
  <c r="G131" i="14"/>
  <c r="H131" i="14" s="1"/>
  <c r="I131" i="14" s="1"/>
  <c r="H130" i="14"/>
  <c r="I130" i="14" s="1"/>
  <c r="G130" i="14"/>
  <c r="H129" i="14"/>
  <c r="I129" i="14" s="1"/>
  <c r="G129" i="14"/>
  <c r="N128" i="14"/>
  <c r="H128" i="14"/>
  <c r="I128" i="14" s="1"/>
  <c r="G128" i="14"/>
  <c r="N127" i="14"/>
  <c r="H127" i="14"/>
  <c r="I127" i="14" s="1"/>
  <c r="G127" i="14"/>
  <c r="N126" i="14"/>
  <c r="H126" i="14"/>
  <c r="I126" i="14" s="1"/>
  <c r="G126" i="14"/>
  <c r="N125" i="14"/>
  <c r="H125" i="14"/>
  <c r="I125" i="14" s="1"/>
  <c r="G125" i="14"/>
  <c r="AA124" i="14"/>
  <c r="N124" i="14"/>
  <c r="I124" i="14"/>
  <c r="G124" i="14"/>
  <c r="H124" i="14" s="1"/>
  <c r="N123" i="14"/>
  <c r="G123" i="14"/>
  <c r="H123" i="14" s="1"/>
  <c r="I123" i="14" s="1"/>
  <c r="N122" i="14"/>
  <c r="I122" i="14"/>
  <c r="G122" i="14"/>
  <c r="H122" i="14" s="1"/>
  <c r="N121" i="14"/>
  <c r="G121" i="14"/>
  <c r="H121" i="14" s="1"/>
  <c r="I121" i="14" s="1"/>
  <c r="N120" i="14"/>
  <c r="I120" i="14"/>
  <c r="G120" i="14"/>
  <c r="H120" i="14" s="1"/>
  <c r="N119" i="14"/>
  <c r="G119" i="14"/>
  <c r="H119" i="14" s="1"/>
  <c r="I119" i="14" s="1"/>
  <c r="N118" i="14"/>
  <c r="I118" i="14"/>
  <c r="G118" i="14"/>
  <c r="H118" i="14" s="1"/>
  <c r="AA117" i="14"/>
  <c r="I117" i="14"/>
  <c r="H117" i="14"/>
  <c r="AA116" i="14"/>
  <c r="H116" i="14"/>
  <c r="I116" i="14" s="1"/>
  <c r="G116" i="14"/>
  <c r="AA115" i="14"/>
  <c r="H115" i="14"/>
  <c r="I115" i="14" s="1"/>
  <c r="G115" i="14"/>
  <c r="AA114" i="14"/>
  <c r="H114" i="14"/>
  <c r="I114" i="14" s="1"/>
  <c r="G114" i="14"/>
  <c r="AA113" i="14"/>
  <c r="N113" i="14"/>
  <c r="I113" i="14"/>
  <c r="G113" i="14"/>
  <c r="H113" i="14" s="1"/>
  <c r="AA112" i="14"/>
  <c r="I112" i="14"/>
  <c r="G112" i="14"/>
  <c r="H112" i="14" s="1"/>
  <c r="AA111" i="14"/>
  <c r="N111" i="14"/>
  <c r="H111" i="14"/>
  <c r="I111" i="14" s="1"/>
  <c r="G111" i="14"/>
  <c r="AA110" i="14"/>
  <c r="N110" i="14"/>
  <c r="I110" i="14"/>
  <c r="G110" i="14"/>
  <c r="H110" i="14" s="1"/>
  <c r="AA109" i="14"/>
  <c r="N109" i="14"/>
  <c r="H109" i="14"/>
  <c r="I109" i="14" s="1"/>
  <c r="G109" i="14"/>
  <c r="AA108" i="14"/>
  <c r="H108" i="14"/>
  <c r="I108" i="14" s="1"/>
  <c r="G108" i="14"/>
  <c r="AA107" i="14"/>
  <c r="H107" i="14"/>
  <c r="I107" i="14" s="1"/>
  <c r="G107" i="14"/>
  <c r="AA106" i="14"/>
  <c r="N106" i="14"/>
  <c r="I106" i="14"/>
  <c r="G106" i="14"/>
  <c r="H106" i="14" s="1"/>
  <c r="AA105" i="14"/>
  <c r="N105" i="14"/>
  <c r="H105" i="14"/>
  <c r="I105" i="14" s="1"/>
  <c r="G105" i="14"/>
  <c r="AA104" i="14"/>
  <c r="N104" i="14"/>
  <c r="O104" i="14" s="1"/>
  <c r="H104" i="14"/>
  <c r="I104" i="14" s="1"/>
  <c r="G104" i="14"/>
  <c r="AA103" i="14"/>
  <c r="H103" i="14"/>
  <c r="I103" i="14" s="1"/>
  <c r="G103" i="14"/>
  <c r="AA102" i="14"/>
  <c r="N102" i="14"/>
  <c r="I102" i="14"/>
  <c r="G102" i="14"/>
  <c r="H102" i="14" s="1"/>
  <c r="AA101" i="14"/>
  <c r="N101" i="14"/>
  <c r="H101" i="14"/>
  <c r="I101" i="14" s="1"/>
  <c r="G101" i="14"/>
  <c r="AA100" i="14"/>
  <c r="N100" i="14"/>
  <c r="I100" i="14"/>
  <c r="H100" i="14"/>
  <c r="AA99" i="14"/>
  <c r="N99" i="14"/>
  <c r="I99" i="14"/>
  <c r="G99" i="14"/>
  <c r="H99" i="14" s="1"/>
  <c r="AA98" i="14"/>
  <c r="N98" i="14"/>
  <c r="H98" i="14"/>
  <c r="I98" i="14" s="1"/>
  <c r="G98" i="14"/>
  <c r="AA97" i="14"/>
  <c r="N97" i="14"/>
  <c r="I97" i="14"/>
  <c r="G97" i="14"/>
  <c r="H97" i="14" s="1"/>
  <c r="AA96" i="14"/>
  <c r="N96" i="14"/>
  <c r="I96" i="14"/>
  <c r="H96" i="14"/>
  <c r="G96" i="14"/>
  <c r="AA95" i="14"/>
  <c r="H95" i="14"/>
  <c r="I95" i="14" s="1"/>
  <c r="G95" i="14"/>
  <c r="AA94" i="14"/>
  <c r="I94" i="14"/>
  <c r="H94" i="14"/>
  <c r="G94" i="14"/>
  <c r="AA93" i="14"/>
  <c r="H93" i="14"/>
  <c r="I93" i="14" s="1"/>
  <c r="G93" i="14"/>
  <c r="AA92" i="14"/>
  <c r="N92" i="14"/>
  <c r="I92" i="14"/>
  <c r="G92" i="14"/>
  <c r="H92" i="14" s="1"/>
  <c r="AA91" i="14"/>
  <c r="N91" i="14"/>
  <c r="H91" i="14"/>
  <c r="I91" i="14" s="1"/>
  <c r="G91" i="14"/>
  <c r="AA90" i="14"/>
  <c r="N90" i="14"/>
  <c r="O90" i="14" s="1"/>
  <c r="H90" i="14"/>
  <c r="I90" i="14" s="1"/>
  <c r="AA89" i="14"/>
  <c r="G89" i="14"/>
  <c r="H89" i="14" s="1"/>
  <c r="I89" i="14" s="1"/>
  <c r="AA88" i="14"/>
  <c r="N88" i="14"/>
  <c r="H88" i="14"/>
  <c r="I88" i="14" s="1"/>
  <c r="G88" i="14"/>
  <c r="AA87" i="14"/>
  <c r="N87" i="14"/>
  <c r="I87" i="14"/>
  <c r="G87" i="14"/>
  <c r="H87" i="14" s="1"/>
  <c r="AA86" i="14"/>
  <c r="I86" i="14"/>
  <c r="G86" i="14"/>
  <c r="H86" i="14" s="1"/>
  <c r="AA85" i="14"/>
  <c r="N85" i="14"/>
  <c r="H85" i="14"/>
  <c r="I85" i="14" s="1"/>
  <c r="G85" i="14"/>
  <c r="AA84" i="14"/>
  <c r="N84" i="14"/>
  <c r="I84" i="14"/>
  <c r="G84" i="14"/>
  <c r="H84" i="14" s="1"/>
  <c r="AA83" i="14"/>
  <c r="G83" i="14"/>
  <c r="H83" i="14" s="1"/>
  <c r="I83" i="14" s="1"/>
  <c r="AA82" i="14"/>
  <c r="N82" i="14"/>
  <c r="H82" i="14"/>
  <c r="I82" i="14" s="1"/>
  <c r="G82" i="14"/>
  <c r="AA81" i="14"/>
  <c r="N81" i="14"/>
  <c r="I81" i="14"/>
  <c r="G81" i="14"/>
  <c r="H81" i="14" s="1"/>
  <c r="AA80" i="14"/>
  <c r="N80" i="14"/>
  <c r="H80" i="14"/>
  <c r="I80" i="14" s="1"/>
  <c r="G80" i="14"/>
  <c r="AA79" i="14"/>
  <c r="N79" i="14"/>
  <c r="I79" i="14"/>
  <c r="G79" i="14"/>
  <c r="H79" i="14" s="1"/>
  <c r="AA78" i="14"/>
  <c r="N78" i="14"/>
  <c r="H78" i="14"/>
  <c r="I78" i="14" s="1"/>
  <c r="G78" i="14"/>
  <c r="AA77" i="14"/>
  <c r="N77" i="14"/>
  <c r="I77" i="14"/>
  <c r="G77" i="14"/>
  <c r="H77" i="14" s="1"/>
  <c r="AA76" i="14"/>
  <c r="G76" i="14"/>
  <c r="H76" i="14" s="1"/>
  <c r="I76" i="14" s="1"/>
  <c r="AA75" i="14"/>
  <c r="O75" i="14"/>
  <c r="N75" i="14"/>
  <c r="I75" i="14"/>
  <c r="G75" i="14"/>
  <c r="H75" i="14" s="1"/>
  <c r="AA74" i="14"/>
  <c r="I74" i="14"/>
  <c r="G74" i="14"/>
  <c r="H74" i="14" s="1"/>
  <c r="AA73" i="14"/>
  <c r="N73" i="14"/>
  <c r="H73" i="14"/>
  <c r="I73" i="14" s="1"/>
  <c r="G73" i="14"/>
  <c r="AA72" i="14"/>
  <c r="N72" i="14"/>
  <c r="I72" i="14"/>
  <c r="G72" i="14"/>
  <c r="H72" i="14" s="1"/>
  <c r="AA71" i="14"/>
  <c r="N71" i="14"/>
  <c r="H71" i="14"/>
  <c r="I71" i="14" s="1"/>
  <c r="G71" i="14"/>
  <c r="AA70" i="14"/>
  <c r="U70" i="14"/>
  <c r="N228" i="14" s="1"/>
  <c r="O228" i="14" s="1"/>
  <c r="I70" i="14"/>
  <c r="G70" i="14"/>
  <c r="H70" i="14" s="1"/>
  <c r="AA69" i="14"/>
  <c r="U69" i="14"/>
  <c r="N139" i="14" s="1"/>
  <c r="O139" i="14" s="1"/>
  <c r="N69" i="14"/>
  <c r="O69" i="14" s="1"/>
  <c r="H69" i="14"/>
  <c r="I69" i="14" s="1"/>
  <c r="G69" i="14"/>
  <c r="AA68" i="14"/>
  <c r="U68" i="14"/>
  <c r="N68" i="14"/>
  <c r="G68" i="14"/>
  <c r="H68" i="14" s="1"/>
  <c r="I68" i="14" s="1"/>
  <c r="AA67" i="14"/>
  <c r="U67" i="14"/>
  <c r="N67" i="14"/>
  <c r="O67" i="14" s="1"/>
  <c r="G67" i="14"/>
  <c r="H67" i="14" s="1"/>
  <c r="I67" i="14" s="1"/>
  <c r="AA66" i="14"/>
  <c r="U66" i="14"/>
  <c r="I66" i="14"/>
  <c r="H66" i="14"/>
  <c r="N66" i="14" s="1"/>
  <c r="O66" i="14" s="1"/>
  <c r="AA65" i="14"/>
  <c r="U65" i="14"/>
  <c r="N65" i="14"/>
  <c r="G65" i="14"/>
  <c r="H65" i="14" s="1"/>
  <c r="I65" i="14" s="1"/>
  <c r="AA64" i="14"/>
  <c r="U64" i="14"/>
  <c r="N255" i="14" s="1"/>
  <c r="N64" i="14"/>
  <c r="I64" i="14"/>
  <c r="G64" i="14"/>
  <c r="H64" i="14" s="1"/>
  <c r="AA63" i="14"/>
  <c r="U63" i="14"/>
  <c r="G63" i="14"/>
  <c r="H63" i="14" s="1"/>
  <c r="I63" i="14" s="1"/>
  <c r="AA62" i="14"/>
  <c r="U62" i="14"/>
  <c r="N62" i="14"/>
  <c r="O62" i="14" s="1"/>
  <c r="G62" i="14"/>
  <c r="H62" i="14" s="1"/>
  <c r="I62" i="14" s="1"/>
  <c r="AA61" i="14"/>
  <c r="U61" i="14"/>
  <c r="I61" i="14"/>
  <c r="H61" i="14"/>
  <c r="G61" i="14"/>
  <c r="AA60" i="14"/>
  <c r="U60" i="14"/>
  <c r="I60" i="14"/>
  <c r="G60" i="14"/>
  <c r="H60" i="14" s="1"/>
  <c r="AA59" i="14"/>
  <c r="U59" i="14"/>
  <c r="N10" i="14" s="1"/>
  <c r="O10" i="14" s="1"/>
  <c r="G59" i="14"/>
  <c r="H59" i="14" s="1"/>
  <c r="I59" i="14" s="1"/>
  <c r="AA58" i="14"/>
  <c r="U58" i="14"/>
  <c r="N58" i="14"/>
  <c r="O58" i="14" s="1"/>
  <c r="G58" i="14"/>
  <c r="H58" i="14" s="1"/>
  <c r="I58" i="14" s="1"/>
  <c r="AA57" i="14"/>
  <c r="U57" i="14"/>
  <c r="N208" i="14" s="1"/>
  <c r="O208" i="14" s="1"/>
  <c r="N57" i="14"/>
  <c r="G57" i="14"/>
  <c r="H57" i="14" s="1"/>
  <c r="I57" i="14" s="1"/>
  <c r="AA56" i="14"/>
  <c r="U56" i="14"/>
  <c r="N94" i="14" s="1"/>
  <c r="O94" i="14" s="1"/>
  <c r="N56" i="14"/>
  <c r="I56" i="14"/>
  <c r="G56" i="14"/>
  <c r="H56" i="14" s="1"/>
  <c r="AA55" i="14"/>
  <c r="U55" i="14"/>
  <c r="N55" i="14"/>
  <c r="H55" i="14"/>
  <c r="I55" i="14" s="1"/>
  <c r="G55" i="14"/>
  <c r="AA54" i="14"/>
  <c r="U54" i="14"/>
  <c r="N154" i="14" s="1"/>
  <c r="O154" i="14" s="1"/>
  <c r="N54" i="14"/>
  <c r="G54" i="14"/>
  <c r="H54" i="14" s="1"/>
  <c r="I54" i="14" s="1"/>
  <c r="AA53" i="14"/>
  <c r="U53" i="14"/>
  <c r="N53" i="14"/>
  <c r="I53" i="14"/>
  <c r="G53" i="14"/>
  <c r="H53" i="14" s="1"/>
  <c r="AA52" i="14"/>
  <c r="U52" i="14"/>
  <c r="G52" i="14"/>
  <c r="H52" i="14" s="1"/>
  <c r="I52" i="14" s="1"/>
  <c r="AA51" i="14"/>
  <c r="U51" i="14"/>
  <c r="N51" i="14"/>
  <c r="O51" i="14" s="1"/>
  <c r="G51" i="14"/>
  <c r="H51" i="14" s="1"/>
  <c r="I51" i="14" s="1"/>
  <c r="AA50" i="14"/>
  <c r="U50" i="14"/>
  <c r="I50" i="14"/>
  <c r="H50" i="14"/>
  <c r="G50" i="14"/>
  <c r="AA49" i="14"/>
  <c r="U49" i="14"/>
  <c r="N49" i="14"/>
  <c r="H49" i="14"/>
  <c r="I49" i="14" s="1"/>
  <c r="G49" i="14"/>
  <c r="AA48" i="14"/>
  <c r="U48" i="14"/>
  <c r="N48" i="14"/>
  <c r="H48" i="14"/>
  <c r="I48" i="14" s="1"/>
  <c r="G48" i="14"/>
  <c r="AA47" i="14"/>
  <c r="U47" i="14"/>
  <c r="N47" i="14"/>
  <c r="G47" i="14"/>
  <c r="H47" i="14" s="1"/>
  <c r="I47" i="14" s="1"/>
  <c r="AA46" i="14"/>
  <c r="U46" i="14"/>
  <c r="N46" i="14"/>
  <c r="O46" i="14" s="1"/>
  <c r="G46" i="14"/>
  <c r="H46" i="14" s="1"/>
  <c r="I46" i="14" s="1"/>
  <c r="AA45" i="14"/>
  <c r="U45" i="14"/>
  <c r="I45" i="14"/>
  <c r="H45" i="14"/>
  <c r="G45" i="14"/>
  <c r="AA44" i="14"/>
  <c r="U44" i="14"/>
  <c r="N63" i="14" s="1"/>
  <c r="O63" i="14" s="1"/>
  <c r="G44" i="14"/>
  <c r="H44" i="14" s="1"/>
  <c r="I44" i="14" s="1"/>
  <c r="AA43" i="14"/>
  <c r="U43" i="14"/>
  <c r="N43" i="14"/>
  <c r="O43" i="14" s="1"/>
  <c r="G43" i="14"/>
  <c r="H43" i="14" s="1"/>
  <c r="I43" i="14" s="1"/>
  <c r="AA42" i="14"/>
  <c r="U42" i="14"/>
  <c r="N42" i="14"/>
  <c r="O42" i="14" s="1"/>
  <c r="G42" i="14"/>
  <c r="H42" i="14" s="1"/>
  <c r="I42" i="14" s="1"/>
  <c r="AA41" i="14"/>
  <c r="U41" i="14"/>
  <c r="N41" i="14"/>
  <c r="G41" i="14"/>
  <c r="H41" i="14" s="1"/>
  <c r="I41" i="14" s="1"/>
  <c r="AA40" i="14"/>
  <c r="U40" i="14"/>
  <c r="N40" i="14"/>
  <c r="I40" i="14"/>
  <c r="G40" i="14"/>
  <c r="H40" i="14" s="1"/>
  <c r="AA39" i="14"/>
  <c r="U39" i="14"/>
  <c r="N190" i="14" s="1"/>
  <c r="O190" i="14" s="1"/>
  <c r="N39" i="14"/>
  <c r="H39" i="14"/>
  <c r="I39" i="14" s="1"/>
  <c r="G39" i="14"/>
  <c r="AA38" i="14"/>
  <c r="U38" i="14"/>
  <c r="N38" i="14"/>
  <c r="G38" i="14"/>
  <c r="H38" i="14" s="1"/>
  <c r="I38" i="14" s="1"/>
  <c r="AA37" i="14"/>
  <c r="U37" i="14"/>
  <c r="N37" i="14"/>
  <c r="I37" i="14"/>
  <c r="G37" i="14"/>
  <c r="H37" i="14" s="1"/>
  <c r="AA36" i="14"/>
  <c r="U36" i="14"/>
  <c r="N36" i="14"/>
  <c r="I36" i="14"/>
  <c r="G36" i="14"/>
  <c r="H36" i="14" s="1"/>
  <c r="AA35" i="14"/>
  <c r="U35" i="14"/>
  <c r="N157" i="14" s="1"/>
  <c r="O157" i="14" s="1"/>
  <c r="N35" i="14"/>
  <c r="H35" i="14"/>
  <c r="I35" i="14" s="1"/>
  <c r="G35" i="14"/>
  <c r="AA34" i="14"/>
  <c r="U34" i="14"/>
  <c r="N34" i="14"/>
  <c r="G34" i="14"/>
  <c r="H34" i="14" s="1"/>
  <c r="I34" i="14" s="1"/>
  <c r="AA33" i="14"/>
  <c r="U33" i="14"/>
  <c r="N280" i="14" s="1"/>
  <c r="O280" i="14" s="1"/>
  <c r="I33" i="14"/>
  <c r="H33" i="14"/>
  <c r="G33" i="14"/>
  <c r="AA32" i="14"/>
  <c r="U32" i="14"/>
  <c r="N32" i="14"/>
  <c r="H32" i="14"/>
  <c r="I32" i="14" s="1"/>
  <c r="G32" i="14"/>
  <c r="AA31" i="14"/>
  <c r="U31" i="14"/>
  <c r="N31" i="14"/>
  <c r="I31" i="14"/>
  <c r="G31" i="14"/>
  <c r="AA30" i="14"/>
  <c r="U30" i="14"/>
  <c r="G30" i="14"/>
  <c r="H30" i="14" s="1"/>
  <c r="I30" i="14" s="1"/>
  <c r="AA29" i="14"/>
  <c r="U29" i="14"/>
  <c r="N212" i="14" s="1"/>
  <c r="N29" i="14"/>
  <c r="I29" i="14"/>
  <c r="H29" i="14"/>
  <c r="G29" i="14"/>
  <c r="AA28" i="14"/>
  <c r="U28" i="14"/>
  <c r="N135" i="14" s="1"/>
  <c r="O135" i="14" s="1"/>
  <c r="N28" i="14"/>
  <c r="H28" i="14"/>
  <c r="I28" i="14" s="1"/>
  <c r="G28" i="14"/>
  <c r="AA27" i="14"/>
  <c r="U27" i="14"/>
  <c r="N27" i="14"/>
  <c r="H27" i="14"/>
  <c r="I27" i="14" s="1"/>
  <c r="G27" i="14"/>
  <c r="AA26" i="14"/>
  <c r="U26" i="14"/>
  <c r="H26" i="14"/>
  <c r="I26" i="14" s="1"/>
  <c r="G26" i="14"/>
  <c r="AA25" i="14"/>
  <c r="U25" i="14"/>
  <c r="N25" i="14"/>
  <c r="I25" i="14"/>
  <c r="H25" i="14"/>
  <c r="AA24" i="14"/>
  <c r="U24" i="14"/>
  <c r="N60" i="14" s="1"/>
  <c r="O60" i="14" s="1"/>
  <c r="N24" i="14"/>
  <c r="H24" i="14"/>
  <c r="I24" i="14" s="1"/>
  <c r="G24" i="14"/>
  <c r="AA23" i="14"/>
  <c r="U23" i="14"/>
  <c r="N23" i="14"/>
  <c r="H23" i="14"/>
  <c r="I23" i="14" s="1"/>
  <c r="G23" i="14"/>
  <c r="AA22" i="14"/>
  <c r="U22" i="14"/>
  <c r="N22" i="14"/>
  <c r="G22" i="14"/>
  <c r="H22" i="14" s="1"/>
  <c r="I22" i="14" s="1"/>
  <c r="AA21" i="14"/>
  <c r="U21" i="14"/>
  <c r="N21" i="14"/>
  <c r="I21" i="14"/>
  <c r="H21" i="14"/>
  <c r="G21" i="14"/>
  <c r="AA20" i="14"/>
  <c r="U20" i="14"/>
  <c r="N20" i="14"/>
  <c r="H20" i="14"/>
  <c r="I20" i="14" s="1"/>
  <c r="G20" i="14"/>
  <c r="AA19" i="14"/>
  <c r="U19" i="14"/>
  <c r="N19" i="14"/>
  <c r="I19" i="14"/>
  <c r="G19" i="14"/>
  <c r="AA18" i="14"/>
  <c r="U18" i="14"/>
  <c r="N18" i="14"/>
  <c r="I18" i="14"/>
  <c r="H18" i="14"/>
  <c r="AA17" i="14"/>
  <c r="U17" i="14"/>
  <c r="N17" i="14"/>
  <c r="H17" i="14"/>
  <c r="I17" i="14" s="1"/>
  <c r="AA16" i="14"/>
  <c r="U16" i="14"/>
  <c r="N16" i="14"/>
  <c r="H16" i="14"/>
  <c r="I16" i="14" s="1"/>
  <c r="AA15" i="14"/>
  <c r="U15" i="14"/>
  <c r="N216" i="14" s="1"/>
  <c r="O216" i="14" s="1"/>
  <c r="N15" i="14"/>
  <c r="O15" i="14" s="1"/>
  <c r="I15" i="14"/>
  <c r="H15" i="14"/>
  <c r="AA14" i="14"/>
  <c r="U14" i="14"/>
  <c r="N8" i="14" s="1"/>
  <c r="O8" i="14" s="1"/>
  <c r="I14" i="14"/>
  <c r="G14" i="14"/>
  <c r="H14" i="14" s="1"/>
  <c r="AA13" i="14"/>
  <c r="U13" i="14"/>
  <c r="N151" i="14" s="1"/>
  <c r="O151" i="14" s="1"/>
  <c r="N13" i="14"/>
  <c r="I13" i="14"/>
  <c r="G13" i="14"/>
  <c r="H13" i="14" s="1"/>
  <c r="AA12" i="14"/>
  <c r="U12" i="14"/>
  <c r="N12" i="14"/>
  <c r="H12" i="14"/>
  <c r="I12" i="14" s="1"/>
  <c r="AA11" i="14"/>
  <c r="U11" i="14"/>
  <c r="N230" i="14" s="1"/>
  <c r="O230" i="14" s="1"/>
  <c r="N11" i="14"/>
  <c r="I11" i="14"/>
  <c r="H11" i="14"/>
  <c r="G11" i="14"/>
  <c r="AA10" i="14"/>
  <c r="U10" i="14"/>
  <c r="G10" i="14"/>
  <c r="H10" i="14" s="1"/>
  <c r="I10" i="14" s="1"/>
  <c r="AA9" i="14"/>
  <c r="U9" i="14"/>
  <c r="N9" i="14"/>
  <c r="O9" i="14" s="1"/>
  <c r="H9" i="14"/>
  <c r="I9" i="14" s="1"/>
  <c r="G9" i="14"/>
  <c r="AA8" i="14"/>
  <c r="U8" i="14"/>
  <c r="N229" i="14" s="1"/>
  <c r="O229" i="14" s="1"/>
  <c r="G8" i="14"/>
  <c r="H8" i="14" s="1"/>
  <c r="I8" i="14" s="1"/>
  <c r="AA7" i="14"/>
  <c r="U7" i="14"/>
  <c r="N7" i="14"/>
  <c r="G7" i="14"/>
  <c r="H7" i="14" s="1"/>
  <c r="AA6" i="14"/>
  <c r="U6" i="14"/>
  <c r="N6" i="14"/>
  <c r="O6" i="14" s="1"/>
  <c r="H6" i="14"/>
  <c r="I6" i="14" s="1"/>
  <c r="G6" i="14"/>
  <c r="AA5" i="14"/>
  <c r="U5" i="14"/>
  <c r="N149" i="14" s="1"/>
  <c r="I5" i="14"/>
  <c r="G5" i="14"/>
  <c r="H5" i="14" s="1"/>
  <c r="AA4" i="14"/>
  <c r="U4" i="14"/>
  <c r="N4" i="14"/>
  <c r="G4" i="14"/>
  <c r="H4" i="14" s="1"/>
  <c r="I4" i="14" s="1"/>
  <c r="AA3" i="14"/>
  <c r="U3" i="14"/>
  <c r="N254" i="14" s="1"/>
  <c r="O254" i="14" s="1"/>
  <c r="N3" i="14"/>
  <c r="O3" i="14" s="1"/>
  <c r="H3" i="14"/>
  <c r="G3" i="14"/>
  <c r="N373" i="13"/>
  <c r="O373" i="13" s="1"/>
  <c r="I373" i="13"/>
  <c r="H373" i="13"/>
  <c r="G373" i="13"/>
  <c r="O372" i="13"/>
  <c r="N372" i="13"/>
  <c r="I372" i="13"/>
  <c r="G372" i="13"/>
  <c r="H372" i="13" s="1"/>
  <c r="N371" i="13"/>
  <c r="O371" i="13" s="1"/>
  <c r="I371" i="13"/>
  <c r="H371" i="13"/>
  <c r="G371" i="13"/>
  <c r="O370" i="13"/>
  <c r="N370" i="13"/>
  <c r="I370" i="13"/>
  <c r="G370" i="13"/>
  <c r="H370" i="13" s="1"/>
  <c r="N369" i="13"/>
  <c r="O369" i="13" s="1"/>
  <c r="I369" i="13"/>
  <c r="H369" i="13"/>
  <c r="G369" i="13"/>
  <c r="O368" i="13"/>
  <c r="N368" i="13"/>
  <c r="I368" i="13"/>
  <c r="G368" i="13"/>
  <c r="H368" i="13" s="1"/>
  <c r="N367" i="13"/>
  <c r="O367" i="13" s="1"/>
  <c r="I367" i="13"/>
  <c r="H367" i="13"/>
  <c r="G367" i="13"/>
  <c r="O366" i="13"/>
  <c r="N366" i="13"/>
  <c r="I366" i="13"/>
  <c r="G366" i="13"/>
  <c r="H366" i="13" s="1"/>
  <c r="N365" i="13"/>
  <c r="O365" i="13" s="1"/>
  <c r="I365" i="13"/>
  <c r="H365" i="13"/>
  <c r="G365" i="13"/>
  <c r="O364" i="13"/>
  <c r="N364" i="13"/>
  <c r="I364" i="13"/>
  <c r="G364" i="13"/>
  <c r="H364" i="13" s="1"/>
  <c r="N363" i="13"/>
  <c r="O363" i="13" s="1"/>
  <c r="I363" i="13"/>
  <c r="H363" i="13"/>
  <c r="G363" i="13"/>
  <c r="O362" i="13"/>
  <c r="N362" i="13"/>
  <c r="I362" i="13"/>
  <c r="G362" i="13"/>
  <c r="H362" i="13" s="1"/>
  <c r="N361" i="13"/>
  <c r="O361" i="13" s="1"/>
  <c r="I361" i="13"/>
  <c r="H361" i="13"/>
  <c r="G361" i="13"/>
  <c r="O360" i="13"/>
  <c r="N360" i="13"/>
  <c r="I360" i="13"/>
  <c r="G360" i="13"/>
  <c r="H360" i="13" s="1"/>
  <c r="N359" i="13"/>
  <c r="O359" i="13" s="1"/>
  <c r="I359" i="13"/>
  <c r="H359" i="13"/>
  <c r="G359" i="13"/>
  <c r="O358" i="13"/>
  <c r="N358" i="13"/>
  <c r="I358" i="13"/>
  <c r="G358" i="13"/>
  <c r="H358" i="13" s="1"/>
  <c r="N357" i="13"/>
  <c r="O357" i="13" s="1"/>
  <c r="I357" i="13"/>
  <c r="H357" i="13"/>
  <c r="G357" i="13"/>
  <c r="O356" i="13"/>
  <c r="N356" i="13"/>
  <c r="I356" i="13"/>
  <c r="G356" i="13"/>
  <c r="H356" i="13" s="1"/>
  <c r="N355" i="13"/>
  <c r="O355" i="13" s="1"/>
  <c r="I355" i="13"/>
  <c r="H355" i="13"/>
  <c r="G355" i="13"/>
  <c r="O354" i="13"/>
  <c r="N354" i="13"/>
  <c r="I354" i="13"/>
  <c r="G354" i="13"/>
  <c r="H354" i="13" s="1"/>
  <c r="N353" i="13"/>
  <c r="O353" i="13" s="1"/>
  <c r="I353" i="13"/>
  <c r="H353" i="13"/>
  <c r="G353" i="13"/>
  <c r="O352" i="13"/>
  <c r="N352" i="13"/>
  <c r="I352" i="13"/>
  <c r="G352" i="13"/>
  <c r="H352" i="13" s="1"/>
  <c r="N351" i="13"/>
  <c r="O351" i="13" s="1"/>
  <c r="I351" i="13"/>
  <c r="H351" i="13"/>
  <c r="G351" i="13"/>
  <c r="O350" i="13"/>
  <c r="N350" i="13"/>
  <c r="I350" i="13"/>
  <c r="G350" i="13"/>
  <c r="H350" i="13" s="1"/>
  <c r="N349" i="13"/>
  <c r="O349" i="13" s="1"/>
  <c r="I349" i="13"/>
  <c r="H349" i="13"/>
  <c r="G349" i="13"/>
  <c r="O348" i="13"/>
  <c r="N348" i="13"/>
  <c r="I348" i="13"/>
  <c r="G348" i="13"/>
  <c r="H348" i="13" s="1"/>
  <c r="N347" i="13"/>
  <c r="O347" i="13" s="1"/>
  <c r="I347" i="13"/>
  <c r="H347" i="13"/>
  <c r="G347" i="13"/>
  <c r="O346" i="13"/>
  <c r="N346" i="13"/>
  <c r="I346" i="13"/>
  <c r="G346" i="13"/>
  <c r="H346" i="13" s="1"/>
  <c r="N345" i="13"/>
  <c r="O345" i="13" s="1"/>
  <c r="I345" i="13"/>
  <c r="H345" i="13"/>
  <c r="G345" i="13"/>
  <c r="O344" i="13"/>
  <c r="N344" i="13"/>
  <c r="I344" i="13"/>
  <c r="G344" i="13"/>
  <c r="H344" i="13" s="1"/>
  <c r="N343" i="13"/>
  <c r="O343" i="13" s="1"/>
  <c r="I343" i="13"/>
  <c r="H343" i="13"/>
  <c r="G343" i="13"/>
  <c r="O342" i="13"/>
  <c r="N342" i="13"/>
  <c r="I342" i="13"/>
  <c r="G342" i="13"/>
  <c r="H342" i="13" s="1"/>
  <c r="N341" i="13"/>
  <c r="O341" i="13" s="1"/>
  <c r="I341" i="13"/>
  <c r="H341" i="13"/>
  <c r="G341" i="13"/>
  <c r="O340" i="13"/>
  <c r="N340" i="13"/>
  <c r="I340" i="13"/>
  <c r="G340" i="13"/>
  <c r="H340" i="13" s="1"/>
  <c r="N339" i="13"/>
  <c r="O339" i="13" s="1"/>
  <c r="I339" i="13"/>
  <c r="H339" i="13"/>
  <c r="G339" i="13"/>
  <c r="O338" i="13"/>
  <c r="N338" i="13"/>
  <c r="I338" i="13"/>
  <c r="G338" i="13"/>
  <c r="H338" i="13" s="1"/>
  <c r="N337" i="13"/>
  <c r="O337" i="13" s="1"/>
  <c r="I337" i="13"/>
  <c r="H337" i="13"/>
  <c r="G337" i="13"/>
  <c r="O336" i="13"/>
  <c r="N336" i="13"/>
  <c r="I336" i="13"/>
  <c r="G336" i="13"/>
  <c r="H336" i="13" s="1"/>
  <c r="N335" i="13"/>
  <c r="O335" i="13" s="1"/>
  <c r="I335" i="13"/>
  <c r="H335" i="13"/>
  <c r="G335" i="13"/>
  <c r="O334" i="13"/>
  <c r="N334" i="13"/>
  <c r="I334" i="13"/>
  <c r="G334" i="13"/>
  <c r="H334" i="13" s="1"/>
  <c r="N333" i="13"/>
  <c r="O333" i="13" s="1"/>
  <c r="I333" i="13"/>
  <c r="H333" i="13"/>
  <c r="G333" i="13"/>
  <c r="O332" i="13"/>
  <c r="N332" i="13"/>
  <c r="I332" i="13"/>
  <c r="G332" i="13"/>
  <c r="H332" i="13" s="1"/>
  <c r="N331" i="13"/>
  <c r="O331" i="13" s="1"/>
  <c r="I331" i="13"/>
  <c r="H331" i="13"/>
  <c r="G331" i="13"/>
  <c r="O330" i="13"/>
  <c r="N330" i="13"/>
  <c r="I330" i="13"/>
  <c r="G330" i="13"/>
  <c r="H330" i="13" s="1"/>
  <c r="N329" i="13"/>
  <c r="O329" i="13" s="1"/>
  <c r="I329" i="13"/>
  <c r="H329" i="13"/>
  <c r="G329" i="13"/>
  <c r="O328" i="13"/>
  <c r="N328" i="13"/>
  <c r="I328" i="13"/>
  <c r="G328" i="13"/>
  <c r="H328" i="13" s="1"/>
  <c r="N327" i="13"/>
  <c r="O327" i="13" s="1"/>
  <c r="I327" i="13"/>
  <c r="H327" i="13"/>
  <c r="G327" i="13"/>
  <c r="O326" i="13"/>
  <c r="N326" i="13"/>
  <c r="I326" i="13"/>
  <c r="G326" i="13"/>
  <c r="H326" i="13" s="1"/>
  <c r="N325" i="13"/>
  <c r="O325" i="13" s="1"/>
  <c r="I325" i="13"/>
  <c r="H325" i="13"/>
  <c r="G325" i="13"/>
  <c r="O324" i="13"/>
  <c r="N324" i="13"/>
  <c r="I324" i="13"/>
  <c r="G324" i="13"/>
  <c r="H324" i="13" s="1"/>
  <c r="N323" i="13"/>
  <c r="O323" i="13" s="1"/>
  <c r="I323" i="13"/>
  <c r="H323" i="13"/>
  <c r="G323" i="13"/>
  <c r="O322" i="13"/>
  <c r="N322" i="13"/>
  <c r="I322" i="13"/>
  <c r="G322" i="13"/>
  <c r="H322" i="13" s="1"/>
  <c r="N321" i="13"/>
  <c r="O321" i="13" s="1"/>
  <c r="I321" i="13"/>
  <c r="H321" i="13"/>
  <c r="G321" i="13"/>
  <c r="O320" i="13"/>
  <c r="N320" i="13"/>
  <c r="I320" i="13"/>
  <c r="G320" i="13"/>
  <c r="H320" i="13" s="1"/>
  <c r="N319" i="13"/>
  <c r="O319" i="13" s="1"/>
  <c r="I319" i="13"/>
  <c r="H319" i="13"/>
  <c r="G319" i="13"/>
  <c r="O318" i="13"/>
  <c r="N318" i="13"/>
  <c r="I318" i="13"/>
  <c r="G318" i="13"/>
  <c r="H318" i="13" s="1"/>
  <c r="N317" i="13"/>
  <c r="O317" i="13" s="1"/>
  <c r="I317" i="13"/>
  <c r="H317" i="13"/>
  <c r="G317" i="13"/>
  <c r="O316" i="13"/>
  <c r="N316" i="13"/>
  <c r="I316" i="13"/>
  <c r="G316" i="13"/>
  <c r="H316" i="13" s="1"/>
  <c r="N315" i="13"/>
  <c r="O315" i="13" s="1"/>
  <c r="I315" i="13"/>
  <c r="H315" i="13"/>
  <c r="G315" i="13"/>
  <c r="O314" i="13"/>
  <c r="N314" i="13"/>
  <c r="I314" i="13"/>
  <c r="G314" i="13"/>
  <c r="H314" i="13" s="1"/>
  <c r="N313" i="13"/>
  <c r="O313" i="13" s="1"/>
  <c r="I313" i="13"/>
  <c r="H313" i="13"/>
  <c r="G313" i="13"/>
  <c r="O312" i="13"/>
  <c r="N312" i="13"/>
  <c r="I312" i="13"/>
  <c r="G312" i="13"/>
  <c r="H312" i="13" s="1"/>
  <c r="N311" i="13"/>
  <c r="O311" i="13" s="1"/>
  <c r="I311" i="13"/>
  <c r="H311" i="13"/>
  <c r="G311" i="13"/>
  <c r="O310" i="13"/>
  <c r="N310" i="13"/>
  <c r="I310" i="13"/>
  <c r="G310" i="13"/>
  <c r="H310" i="13" s="1"/>
  <c r="N309" i="13"/>
  <c r="O309" i="13" s="1"/>
  <c r="I309" i="13"/>
  <c r="H309" i="13"/>
  <c r="G309" i="13"/>
  <c r="O308" i="13"/>
  <c r="N308" i="13"/>
  <c r="I308" i="13"/>
  <c r="G308" i="13"/>
  <c r="H308" i="13" s="1"/>
  <c r="N307" i="13"/>
  <c r="O307" i="13" s="1"/>
  <c r="I307" i="13"/>
  <c r="H307" i="13"/>
  <c r="G307" i="13"/>
  <c r="O306" i="13"/>
  <c r="N306" i="13"/>
  <c r="I306" i="13"/>
  <c r="G306" i="13"/>
  <c r="H306" i="13" s="1"/>
  <c r="N305" i="13"/>
  <c r="O305" i="13" s="1"/>
  <c r="I305" i="13"/>
  <c r="H305" i="13"/>
  <c r="G305" i="13"/>
  <c r="O304" i="13"/>
  <c r="N304" i="13"/>
  <c r="I304" i="13"/>
  <c r="G304" i="13"/>
  <c r="H304" i="13" s="1"/>
  <c r="N303" i="13"/>
  <c r="O303" i="13" s="1"/>
  <c r="I303" i="13"/>
  <c r="H303" i="13"/>
  <c r="G303" i="13"/>
  <c r="O302" i="13"/>
  <c r="N302" i="13"/>
  <c r="I302" i="13"/>
  <c r="G302" i="13"/>
  <c r="H302" i="13" s="1"/>
  <c r="N301" i="13"/>
  <c r="O301" i="13" s="1"/>
  <c r="I301" i="13"/>
  <c r="H301" i="13"/>
  <c r="G301" i="13"/>
  <c r="O300" i="13"/>
  <c r="N300" i="13"/>
  <c r="I300" i="13"/>
  <c r="G300" i="13"/>
  <c r="H300" i="13" s="1"/>
  <c r="N299" i="13"/>
  <c r="O299" i="13" s="1"/>
  <c r="I299" i="13"/>
  <c r="H299" i="13"/>
  <c r="G299" i="13"/>
  <c r="O298" i="13"/>
  <c r="N298" i="13"/>
  <c r="I298" i="13"/>
  <c r="G298" i="13"/>
  <c r="H298" i="13" s="1"/>
  <c r="N297" i="13"/>
  <c r="O297" i="13" s="1"/>
  <c r="I297" i="13"/>
  <c r="H297" i="13"/>
  <c r="G297" i="13"/>
  <c r="O296" i="13"/>
  <c r="N296" i="13"/>
  <c r="I296" i="13"/>
  <c r="G296" i="13"/>
  <c r="H296" i="13" s="1"/>
  <c r="N295" i="13"/>
  <c r="O295" i="13" s="1"/>
  <c r="I295" i="13"/>
  <c r="H295" i="13"/>
  <c r="G295" i="13"/>
  <c r="O294" i="13"/>
  <c r="N294" i="13"/>
  <c r="I294" i="13"/>
  <c r="G294" i="13"/>
  <c r="H294" i="13" s="1"/>
  <c r="N293" i="13"/>
  <c r="O293" i="13" s="1"/>
  <c r="I293" i="13"/>
  <c r="H293" i="13"/>
  <c r="G293" i="13"/>
  <c r="O292" i="13"/>
  <c r="N292" i="13"/>
  <c r="I292" i="13"/>
  <c r="G292" i="13"/>
  <c r="H292" i="13" s="1"/>
  <c r="N291" i="13"/>
  <c r="O291" i="13" s="1"/>
  <c r="I291" i="13"/>
  <c r="H291" i="13"/>
  <c r="G291" i="13"/>
  <c r="O290" i="13"/>
  <c r="N290" i="13"/>
  <c r="I290" i="13"/>
  <c r="G290" i="13"/>
  <c r="H290" i="13" s="1"/>
  <c r="N289" i="13"/>
  <c r="O289" i="13" s="1"/>
  <c r="I289" i="13"/>
  <c r="H289" i="13"/>
  <c r="G289" i="13"/>
  <c r="O288" i="13"/>
  <c r="N288" i="13"/>
  <c r="I288" i="13"/>
  <c r="G288" i="13"/>
  <c r="H288" i="13" s="1"/>
  <c r="N287" i="13"/>
  <c r="O287" i="13" s="1"/>
  <c r="I287" i="13"/>
  <c r="H287" i="13"/>
  <c r="G287" i="13"/>
  <c r="O286" i="13"/>
  <c r="N286" i="13"/>
  <c r="I286" i="13"/>
  <c r="G286" i="13"/>
  <c r="H286" i="13" s="1"/>
  <c r="N285" i="13"/>
  <c r="O285" i="13" s="1"/>
  <c r="I285" i="13"/>
  <c r="H285" i="13"/>
  <c r="G285" i="13"/>
  <c r="O284" i="13"/>
  <c r="N284" i="13"/>
  <c r="I284" i="13"/>
  <c r="G284" i="13"/>
  <c r="H284" i="13" s="1"/>
  <c r="N283" i="13"/>
  <c r="O283" i="13" s="1"/>
  <c r="I283" i="13"/>
  <c r="H283" i="13"/>
  <c r="G283" i="13"/>
  <c r="O282" i="13"/>
  <c r="N282" i="13"/>
  <c r="I282" i="13"/>
  <c r="G282" i="13"/>
  <c r="H282" i="13" s="1"/>
  <c r="N281" i="13"/>
  <c r="O281" i="13" s="1"/>
  <c r="I281" i="13"/>
  <c r="H281" i="13"/>
  <c r="G281" i="13"/>
  <c r="O280" i="13"/>
  <c r="N280" i="13"/>
  <c r="I280" i="13"/>
  <c r="G280" i="13"/>
  <c r="H280" i="13" s="1"/>
  <c r="N279" i="13"/>
  <c r="O279" i="13" s="1"/>
  <c r="I279" i="13"/>
  <c r="H279" i="13"/>
  <c r="G279" i="13"/>
  <c r="O278" i="13"/>
  <c r="N278" i="13"/>
  <c r="I278" i="13"/>
  <c r="G278" i="13"/>
  <c r="H278" i="13" s="1"/>
  <c r="N277" i="13"/>
  <c r="O277" i="13" s="1"/>
  <c r="I277" i="13"/>
  <c r="H277" i="13"/>
  <c r="G277" i="13"/>
  <c r="O276" i="13"/>
  <c r="N276" i="13"/>
  <c r="I276" i="13"/>
  <c r="G276" i="13"/>
  <c r="H276" i="13" s="1"/>
  <c r="N275" i="13"/>
  <c r="O275" i="13" s="1"/>
  <c r="I275" i="13"/>
  <c r="H275" i="13"/>
  <c r="G275" i="13"/>
  <c r="O274" i="13"/>
  <c r="N274" i="13"/>
  <c r="I274" i="13"/>
  <c r="G274" i="13"/>
  <c r="H274" i="13" s="1"/>
  <c r="N273" i="13"/>
  <c r="O273" i="13" s="1"/>
  <c r="I273" i="13"/>
  <c r="H273" i="13"/>
  <c r="G273" i="13"/>
  <c r="O272" i="13"/>
  <c r="N272" i="13"/>
  <c r="I272" i="13"/>
  <c r="G272" i="13"/>
  <c r="H272" i="13" s="1"/>
  <c r="N271" i="13"/>
  <c r="O271" i="13" s="1"/>
  <c r="I271" i="13"/>
  <c r="H271" i="13"/>
  <c r="G271" i="13"/>
  <c r="O270" i="13"/>
  <c r="N270" i="13"/>
  <c r="I270" i="13"/>
  <c r="G270" i="13"/>
  <c r="H270" i="13" s="1"/>
  <c r="N269" i="13"/>
  <c r="O269" i="13" s="1"/>
  <c r="I269" i="13"/>
  <c r="H269" i="13"/>
  <c r="G269" i="13"/>
  <c r="O268" i="13"/>
  <c r="N268" i="13"/>
  <c r="I268" i="13"/>
  <c r="G268" i="13"/>
  <c r="H268" i="13" s="1"/>
  <c r="N267" i="13"/>
  <c r="O267" i="13" s="1"/>
  <c r="I267" i="13"/>
  <c r="H267" i="13"/>
  <c r="G267" i="13"/>
  <c r="O266" i="13"/>
  <c r="N266" i="13"/>
  <c r="I266" i="13"/>
  <c r="G266" i="13"/>
  <c r="H266" i="13" s="1"/>
  <c r="N265" i="13"/>
  <c r="O265" i="13" s="1"/>
  <c r="I265" i="13"/>
  <c r="H265" i="13"/>
  <c r="G265" i="13"/>
  <c r="O264" i="13"/>
  <c r="N264" i="13"/>
  <c r="I264" i="13"/>
  <c r="G264" i="13"/>
  <c r="H264" i="13" s="1"/>
  <c r="O263" i="13"/>
  <c r="N263" i="13"/>
  <c r="I263" i="13"/>
  <c r="G263" i="13"/>
  <c r="H263" i="13" s="1"/>
  <c r="N262" i="13"/>
  <c r="O262" i="13" s="1"/>
  <c r="I262" i="13"/>
  <c r="H262" i="13"/>
  <c r="G262" i="13"/>
  <c r="O261" i="13"/>
  <c r="N261" i="13"/>
  <c r="I261" i="13"/>
  <c r="G261" i="13"/>
  <c r="H261" i="13" s="1"/>
  <c r="N260" i="13"/>
  <c r="O260" i="13" s="1"/>
  <c r="I260" i="13"/>
  <c r="H260" i="13"/>
  <c r="G260" i="13"/>
  <c r="O259" i="13"/>
  <c r="N259" i="13"/>
  <c r="I259" i="13"/>
  <c r="G259" i="13"/>
  <c r="H259" i="13" s="1"/>
  <c r="N258" i="13"/>
  <c r="O258" i="13" s="1"/>
  <c r="I258" i="13"/>
  <c r="H258" i="13"/>
  <c r="G258" i="13"/>
  <c r="O257" i="13"/>
  <c r="N257" i="13"/>
  <c r="I257" i="13"/>
  <c r="G257" i="13"/>
  <c r="H257" i="13" s="1"/>
  <c r="N256" i="13"/>
  <c r="O256" i="13" s="1"/>
  <c r="I256" i="13"/>
  <c r="H256" i="13"/>
  <c r="G256" i="13"/>
  <c r="O255" i="13"/>
  <c r="N255" i="13"/>
  <c r="I255" i="13"/>
  <c r="G255" i="13"/>
  <c r="H255" i="13" s="1"/>
  <c r="N254" i="13"/>
  <c r="O254" i="13" s="1"/>
  <c r="I254" i="13"/>
  <c r="H254" i="13"/>
  <c r="G254" i="13"/>
  <c r="O253" i="13"/>
  <c r="N253" i="13"/>
  <c r="I253" i="13"/>
  <c r="G253" i="13"/>
  <c r="H253" i="13" s="1"/>
  <c r="N252" i="13"/>
  <c r="O252" i="13" s="1"/>
  <c r="I252" i="13"/>
  <c r="H252" i="13"/>
  <c r="G252" i="13"/>
  <c r="O251" i="13"/>
  <c r="N251" i="13"/>
  <c r="I251" i="13"/>
  <c r="G251" i="13"/>
  <c r="H251" i="13" s="1"/>
  <c r="N250" i="13"/>
  <c r="O250" i="13" s="1"/>
  <c r="I250" i="13"/>
  <c r="H250" i="13"/>
  <c r="G250" i="13"/>
  <c r="O249" i="13"/>
  <c r="N249" i="13"/>
  <c r="I249" i="13"/>
  <c r="G249" i="13"/>
  <c r="H249" i="13" s="1"/>
  <c r="N248" i="13"/>
  <c r="O248" i="13" s="1"/>
  <c r="I248" i="13"/>
  <c r="H248" i="13"/>
  <c r="G248" i="13"/>
  <c r="O247" i="13"/>
  <c r="N247" i="13"/>
  <c r="I247" i="13"/>
  <c r="G247" i="13"/>
  <c r="H247" i="13" s="1"/>
  <c r="N246" i="13"/>
  <c r="O246" i="13" s="1"/>
  <c r="I246" i="13"/>
  <c r="H246" i="13"/>
  <c r="G246" i="13"/>
  <c r="O245" i="13"/>
  <c r="N245" i="13"/>
  <c r="I245" i="13"/>
  <c r="G245" i="13"/>
  <c r="H245" i="13" s="1"/>
  <c r="N244" i="13"/>
  <c r="O244" i="13" s="1"/>
  <c r="I244" i="13"/>
  <c r="H244" i="13"/>
  <c r="G244" i="13"/>
  <c r="O243" i="13"/>
  <c r="N243" i="13"/>
  <c r="I243" i="13"/>
  <c r="G243" i="13"/>
  <c r="H243" i="13" s="1"/>
  <c r="N242" i="13"/>
  <c r="O242" i="13" s="1"/>
  <c r="I242" i="13"/>
  <c r="H242" i="13"/>
  <c r="G242" i="13"/>
  <c r="O241" i="13"/>
  <c r="N241" i="13"/>
  <c r="I241" i="13"/>
  <c r="G241" i="13"/>
  <c r="H241" i="13" s="1"/>
  <c r="N240" i="13"/>
  <c r="O240" i="13" s="1"/>
  <c r="I240" i="13"/>
  <c r="H240" i="13"/>
  <c r="G240" i="13"/>
  <c r="O239" i="13"/>
  <c r="N239" i="13"/>
  <c r="I239" i="13"/>
  <c r="G239" i="13"/>
  <c r="H239" i="13" s="1"/>
  <c r="N238" i="13"/>
  <c r="O238" i="13" s="1"/>
  <c r="I238" i="13"/>
  <c r="H238" i="13"/>
  <c r="G238" i="13"/>
  <c r="O237" i="13"/>
  <c r="N237" i="13"/>
  <c r="I237" i="13"/>
  <c r="G237" i="13"/>
  <c r="H237" i="13" s="1"/>
  <c r="N236" i="13"/>
  <c r="O236" i="13" s="1"/>
  <c r="I236" i="13"/>
  <c r="H236" i="13"/>
  <c r="G236" i="13"/>
  <c r="O235" i="13"/>
  <c r="N235" i="13"/>
  <c r="I235" i="13"/>
  <c r="G235" i="13"/>
  <c r="H235" i="13" s="1"/>
  <c r="N234" i="13"/>
  <c r="O234" i="13" s="1"/>
  <c r="I234" i="13"/>
  <c r="H234" i="13"/>
  <c r="G234" i="13"/>
  <c r="O233" i="13"/>
  <c r="N233" i="13"/>
  <c r="I233" i="13"/>
  <c r="G233" i="13"/>
  <c r="H233" i="13" s="1"/>
  <c r="N232" i="13"/>
  <c r="O232" i="13" s="1"/>
  <c r="I232" i="13"/>
  <c r="H232" i="13"/>
  <c r="G232" i="13"/>
  <c r="H231" i="13"/>
  <c r="I231" i="13" s="1"/>
  <c r="G231" i="13"/>
  <c r="I230" i="13"/>
  <c r="G230" i="13"/>
  <c r="H230" i="13" s="1"/>
  <c r="N229" i="13"/>
  <c r="O229" i="13" s="1"/>
  <c r="H229" i="13"/>
  <c r="I229" i="13" s="1"/>
  <c r="G229" i="13"/>
  <c r="N228" i="13"/>
  <c r="H228" i="13"/>
  <c r="I228" i="13" s="1"/>
  <c r="N227" i="13"/>
  <c r="I227" i="13"/>
  <c r="G227" i="13"/>
  <c r="H227" i="13" s="1"/>
  <c r="N226" i="13"/>
  <c r="I226" i="13"/>
  <c r="H226" i="13"/>
  <c r="N225" i="13"/>
  <c r="H225" i="13"/>
  <c r="I225" i="13" s="1"/>
  <c r="G225" i="13"/>
  <c r="N224" i="13"/>
  <c r="H224" i="13"/>
  <c r="I224" i="13" s="1"/>
  <c r="G224" i="13"/>
  <c r="N223" i="13"/>
  <c r="H223" i="13"/>
  <c r="I223" i="13" s="1"/>
  <c r="G223" i="13"/>
  <c r="N222" i="13"/>
  <c r="H222" i="13"/>
  <c r="I222" i="13" s="1"/>
  <c r="G222" i="13"/>
  <c r="I221" i="13"/>
  <c r="G221" i="13"/>
  <c r="H221" i="13" s="1"/>
  <c r="N220" i="13"/>
  <c r="O220" i="13" s="1"/>
  <c r="H220" i="13"/>
  <c r="I220" i="13" s="1"/>
  <c r="G220" i="13"/>
  <c r="N219" i="13"/>
  <c r="H219" i="13"/>
  <c r="I219" i="13" s="1"/>
  <c r="G219" i="13"/>
  <c r="N218" i="13"/>
  <c r="H218" i="13"/>
  <c r="I218" i="13" s="1"/>
  <c r="G218" i="13"/>
  <c r="N217" i="13"/>
  <c r="H217" i="13"/>
  <c r="I217" i="13" s="1"/>
  <c r="G217" i="13"/>
  <c r="N216" i="13"/>
  <c r="H216" i="13"/>
  <c r="I216" i="13" s="1"/>
  <c r="G216" i="13"/>
  <c r="G215" i="13"/>
  <c r="H215" i="13" s="1"/>
  <c r="I215" i="13" s="1"/>
  <c r="H214" i="13"/>
  <c r="I214" i="13" s="1"/>
  <c r="G214" i="13"/>
  <c r="G213" i="13"/>
  <c r="H213" i="13" s="1"/>
  <c r="I213" i="13" s="1"/>
  <c r="N212" i="13"/>
  <c r="I212" i="13"/>
  <c r="H212" i="13"/>
  <c r="G211" i="13"/>
  <c r="H211" i="13" s="1"/>
  <c r="I211" i="13" s="1"/>
  <c r="N210" i="13"/>
  <c r="O210" i="13" s="1"/>
  <c r="H210" i="13"/>
  <c r="I210" i="13" s="1"/>
  <c r="N209" i="13"/>
  <c r="I209" i="13"/>
  <c r="G209" i="13"/>
  <c r="H209" i="13" s="1"/>
  <c r="N208" i="13"/>
  <c r="G208" i="13"/>
  <c r="H208" i="13" s="1"/>
  <c r="I208" i="13" s="1"/>
  <c r="N207" i="13"/>
  <c r="G207" i="13"/>
  <c r="H207" i="13" s="1"/>
  <c r="I207" i="13" s="1"/>
  <c r="N206" i="13"/>
  <c r="I206" i="13"/>
  <c r="G206" i="13"/>
  <c r="H206" i="13" s="1"/>
  <c r="N205" i="13"/>
  <c r="I205" i="13"/>
  <c r="G205" i="13"/>
  <c r="H205" i="13" s="1"/>
  <c r="N204" i="13"/>
  <c r="G204" i="13"/>
  <c r="H204" i="13" s="1"/>
  <c r="I204" i="13" s="1"/>
  <c r="N203" i="13"/>
  <c r="G203" i="13"/>
  <c r="H203" i="13" s="1"/>
  <c r="I203" i="13" s="1"/>
  <c r="N202" i="13"/>
  <c r="O202" i="13" s="1"/>
  <c r="H202" i="13"/>
  <c r="I202" i="13" s="1"/>
  <c r="G202" i="13"/>
  <c r="G201" i="13"/>
  <c r="H201" i="13" s="1"/>
  <c r="I201" i="13" s="1"/>
  <c r="N200" i="13"/>
  <c r="G200" i="13"/>
  <c r="H200" i="13" s="1"/>
  <c r="I200" i="13" s="1"/>
  <c r="N199" i="13"/>
  <c r="G199" i="13"/>
  <c r="H199" i="13" s="1"/>
  <c r="I199" i="13" s="1"/>
  <c r="N198" i="13"/>
  <c r="G198" i="13"/>
  <c r="H198" i="13" s="1"/>
  <c r="I198" i="13" s="1"/>
  <c r="H197" i="13"/>
  <c r="I197" i="13" s="1"/>
  <c r="G197" i="13"/>
  <c r="N196" i="13"/>
  <c r="I196" i="13"/>
  <c r="G196" i="13"/>
  <c r="H195" i="13"/>
  <c r="I195" i="13" s="1"/>
  <c r="G195" i="13"/>
  <c r="N194" i="13"/>
  <c r="H194" i="13"/>
  <c r="I194" i="13" s="1"/>
  <c r="G194" i="13"/>
  <c r="N193" i="13"/>
  <c r="H193" i="13"/>
  <c r="I193" i="13" s="1"/>
  <c r="N192" i="13"/>
  <c r="G192" i="13"/>
  <c r="H192" i="13" s="1"/>
  <c r="I192" i="13" s="1"/>
  <c r="N191" i="13"/>
  <c r="G191" i="13"/>
  <c r="H191" i="13" s="1"/>
  <c r="I191" i="13" s="1"/>
  <c r="N190" i="13"/>
  <c r="G190" i="13"/>
  <c r="H190" i="13" s="1"/>
  <c r="I190" i="13" s="1"/>
  <c r="AA189" i="13"/>
  <c r="N189" i="13"/>
  <c r="H189" i="13"/>
  <c r="I189" i="13" s="1"/>
  <c r="AA188" i="13"/>
  <c r="N188" i="13"/>
  <c r="H188" i="13"/>
  <c r="I188" i="13" s="1"/>
  <c r="G188" i="13"/>
  <c r="AA187" i="13"/>
  <c r="N187" i="13"/>
  <c r="O187" i="13" s="1"/>
  <c r="H187" i="13"/>
  <c r="I187" i="13" s="1"/>
  <c r="G187" i="13"/>
  <c r="AA186" i="13"/>
  <c r="N186" i="13"/>
  <c r="G186" i="13"/>
  <c r="H186" i="13" s="1"/>
  <c r="I186" i="13" s="1"/>
  <c r="AA185" i="13"/>
  <c r="N185" i="13"/>
  <c r="H185" i="13"/>
  <c r="I185" i="13" s="1"/>
  <c r="G185" i="13"/>
  <c r="AA184" i="13"/>
  <c r="N184" i="13"/>
  <c r="O184" i="13" s="1"/>
  <c r="H184" i="13"/>
  <c r="I184" i="13" s="1"/>
  <c r="G184" i="13"/>
  <c r="AA183" i="13"/>
  <c r="N183" i="13"/>
  <c r="G183" i="13"/>
  <c r="H183" i="13" s="1"/>
  <c r="I183" i="13" s="1"/>
  <c r="AA182" i="13"/>
  <c r="N182" i="13"/>
  <c r="H182" i="13"/>
  <c r="I182" i="13" s="1"/>
  <c r="G182" i="13"/>
  <c r="AA181" i="13"/>
  <c r="N181" i="13"/>
  <c r="I181" i="13"/>
  <c r="G181" i="13"/>
  <c r="H181" i="13" s="1"/>
  <c r="AA180" i="13"/>
  <c r="N180" i="13"/>
  <c r="H180" i="13"/>
  <c r="I180" i="13" s="1"/>
  <c r="G180" i="13"/>
  <c r="AA179" i="13"/>
  <c r="H179" i="13"/>
  <c r="I179" i="13" s="1"/>
  <c r="G179" i="13"/>
  <c r="AA178" i="13"/>
  <c r="N178" i="13"/>
  <c r="O178" i="13" s="1"/>
  <c r="H178" i="13"/>
  <c r="I178" i="13" s="1"/>
  <c r="G178" i="13"/>
  <c r="AA177" i="13"/>
  <c r="N177" i="13"/>
  <c r="G177" i="13"/>
  <c r="H177" i="13" s="1"/>
  <c r="I177" i="13" s="1"/>
  <c r="AA176" i="13"/>
  <c r="N176" i="13"/>
  <c r="O176" i="13" s="1"/>
  <c r="H176" i="13"/>
  <c r="I176" i="13" s="1"/>
  <c r="G176" i="13"/>
  <c r="AA175" i="13"/>
  <c r="N175" i="13"/>
  <c r="G175" i="13"/>
  <c r="H175" i="13" s="1"/>
  <c r="I175" i="13" s="1"/>
  <c r="AA174" i="13"/>
  <c r="I174" i="13"/>
  <c r="G174" i="13"/>
  <c r="H174" i="13" s="1"/>
  <c r="AA173" i="13"/>
  <c r="N173" i="13"/>
  <c r="H173" i="13"/>
  <c r="I173" i="13" s="1"/>
  <c r="G173" i="13"/>
  <c r="AA172" i="13"/>
  <c r="N172" i="13"/>
  <c r="G172" i="13"/>
  <c r="H172" i="13" s="1"/>
  <c r="I172" i="13" s="1"/>
  <c r="AA171" i="13"/>
  <c r="N171" i="13"/>
  <c r="H171" i="13"/>
  <c r="I171" i="13" s="1"/>
  <c r="G171" i="13"/>
  <c r="AA170" i="13"/>
  <c r="N170" i="13"/>
  <c r="G170" i="13"/>
  <c r="H170" i="13" s="1"/>
  <c r="I170" i="13" s="1"/>
  <c r="AA169" i="13"/>
  <c r="N169" i="13"/>
  <c r="H169" i="13"/>
  <c r="I169" i="13" s="1"/>
  <c r="G169" i="13"/>
  <c r="AA168" i="13"/>
  <c r="N168" i="13"/>
  <c r="G168" i="13"/>
  <c r="H168" i="13" s="1"/>
  <c r="I168" i="13" s="1"/>
  <c r="AA167" i="13"/>
  <c r="I167" i="13"/>
  <c r="G167" i="13"/>
  <c r="H167" i="13" s="1"/>
  <c r="AA166" i="13"/>
  <c r="O166" i="13"/>
  <c r="G166" i="13"/>
  <c r="H166" i="13" s="1"/>
  <c r="I166" i="13" s="1"/>
  <c r="AA165" i="13"/>
  <c r="N165" i="13"/>
  <c r="H165" i="13"/>
  <c r="I165" i="13" s="1"/>
  <c r="G165" i="13"/>
  <c r="AA164" i="13"/>
  <c r="N164" i="13"/>
  <c r="O164" i="13" s="1"/>
  <c r="H164" i="13"/>
  <c r="I164" i="13" s="1"/>
  <c r="G164" i="13"/>
  <c r="AA163" i="13"/>
  <c r="H163" i="13"/>
  <c r="I163" i="13" s="1"/>
  <c r="G163" i="13"/>
  <c r="AA162" i="13"/>
  <c r="N162" i="13"/>
  <c r="O162" i="13" s="1"/>
  <c r="H162" i="13"/>
  <c r="I162" i="13" s="1"/>
  <c r="G162" i="13"/>
  <c r="AA161" i="13"/>
  <c r="H161" i="13"/>
  <c r="I161" i="13" s="1"/>
  <c r="G161" i="13"/>
  <c r="AA160" i="13"/>
  <c r="N160" i="13"/>
  <c r="G160" i="13"/>
  <c r="H160" i="13" s="1"/>
  <c r="I160" i="13" s="1"/>
  <c r="AA159" i="13"/>
  <c r="N159" i="13"/>
  <c r="H159" i="13"/>
  <c r="I159" i="13" s="1"/>
  <c r="G159" i="13"/>
  <c r="AA158" i="13"/>
  <c r="N158" i="13"/>
  <c r="G158" i="13"/>
  <c r="H158" i="13" s="1"/>
  <c r="I158" i="13" s="1"/>
  <c r="AA157" i="13"/>
  <c r="N157" i="13"/>
  <c r="H157" i="13"/>
  <c r="I157" i="13" s="1"/>
  <c r="AA156" i="13"/>
  <c r="N156" i="13"/>
  <c r="H156" i="13"/>
  <c r="I156" i="13" s="1"/>
  <c r="G156" i="13"/>
  <c r="AA155" i="13"/>
  <c r="N155" i="13"/>
  <c r="I155" i="13"/>
  <c r="G155" i="13"/>
  <c r="H155" i="13" s="1"/>
  <c r="AA154" i="13"/>
  <c r="N154" i="13"/>
  <c r="H154" i="13"/>
  <c r="I154" i="13" s="1"/>
  <c r="G154" i="13"/>
  <c r="AA153" i="13"/>
  <c r="H153" i="13"/>
  <c r="I153" i="13" s="1"/>
  <c r="G153" i="13"/>
  <c r="AA152" i="13"/>
  <c r="N152" i="13"/>
  <c r="O152" i="13" s="1"/>
  <c r="H152" i="13"/>
  <c r="I152" i="13" s="1"/>
  <c r="G152" i="13"/>
  <c r="AA151" i="13"/>
  <c r="H151" i="13"/>
  <c r="I151" i="13" s="1"/>
  <c r="G151" i="13"/>
  <c r="AA150" i="13"/>
  <c r="N150" i="13"/>
  <c r="G150" i="13"/>
  <c r="H150" i="13" s="1"/>
  <c r="I150" i="13" s="1"/>
  <c r="AA149" i="13"/>
  <c r="N149" i="13"/>
  <c r="H149" i="13"/>
  <c r="I149" i="13" s="1"/>
  <c r="G149" i="13"/>
  <c r="AA148" i="13"/>
  <c r="N148" i="13"/>
  <c r="G148" i="13"/>
  <c r="H148" i="13" s="1"/>
  <c r="I148" i="13" s="1"/>
  <c r="H147" i="13"/>
  <c r="I147" i="13" s="1"/>
  <c r="G147" i="13"/>
  <c r="N146" i="13"/>
  <c r="H146" i="13"/>
  <c r="I146" i="13" s="1"/>
  <c r="G146" i="13"/>
  <c r="N145" i="13"/>
  <c r="H145" i="13"/>
  <c r="I145" i="13" s="1"/>
  <c r="G145" i="13"/>
  <c r="N144" i="13"/>
  <c r="H144" i="13"/>
  <c r="I144" i="13" s="1"/>
  <c r="G144" i="13"/>
  <c r="G143" i="13"/>
  <c r="H143" i="13" s="1"/>
  <c r="I143" i="13" s="1"/>
  <c r="N142" i="13"/>
  <c r="O142" i="13" s="1"/>
  <c r="H142" i="13"/>
  <c r="I142" i="13" s="1"/>
  <c r="G142" i="13"/>
  <c r="G141" i="13"/>
  <c r="H141" i="13" s="1"/>
  <c r="I141" i="13" s="1"/>
  <c r="N140" i="13"/>
  <c r="G140" i="13"/>
  <c r="H140" i="13" s="1"/>
  <c r="I140" i="13" s="1"/>
  <c r="N139" i="13"/>
  <c r="G139" i="13"/>
  <c r="H139" i="13" s="1"/>
  <c r="I139" i="13" s="1"/>
  <c r="N138" i="13"/>
  <c r="G138" i="13"/>
  <c r="H138" i="13" s="1"/>
  <c r="I138" i="13" s="1"/>
  <c r="H137" i="13"/>
  <c r="I137" i="13" s="1"/>
  <c r="G137" i="13"/>
  <c r="I136" i="13"/>
  <c r="G136" i="13"/>
  <c r="H136" i="13" s="1"/>
  <c r="N135" i="13"/>
  <c r="O135" i="13" s="1"/>
  <c r="H135" i="13"/>
  <c r="I135" i="13" s="1"/>
  <c r="G135" i="13"/>
  <c r="G134" i="13"/>
  <c r="H134" i="13" s="1"/>
  <c r="I134" i="13" s="1"/>
  <c r="N133" i="13"/>
  <c r="G133" i="13"/>
  <c r="H133" i="13" s="1"/>
  <c r="I133" i="13" s="1"/>
  <c r="N132" i="13"/>
  <c r="I132" i="13"/>
  <c r="H132" i="13"/>
  <c r="N131" i="13"/>
  <c r="H131" i="13"/>
  <c r="I131" i="13" s="1"/>
  <c r="G131" i="13"/>
  <c r="N130" i="13"/>
  <c r="H130" i="13"/>
  <c r="I130" i="13" s="1"/>
  <c r="G130" i="13"/>
  <c r="H129" i="13"/>
  <c r="I129" i="13" s="1"/>
  <c r="G129" i="13"/>
  <c r="G128" i="13"/>
  <c r="H128" i="13" s="1"/>
  <c r="I128" i="13" s="1"/>
  <c r="N127" i="13"/>
  <c r="O127" i="13" s="1"/>
  <c r="H127" i="13"/>
  <c r="I127" i="13" s="1"/>
  <c r="G127" i="13"/>
  <c r="G126" i="13"/>
  <c r="H126" i="13" s="1"/>
  <c r="I126" i="13" s="1"/>
  <c r="AA125" i="13"/>
  <c r="N125" i="13"/>
  <c r="H125" i="13"/>
  <c r="I125" i="13" s="1"/>
  <c r="G125" i="13"/>
  <c r="I124" i="13"/>
  <c r="G124" i="13"/>
  <c r="H124" i="13" s="1"/>
  <c r="N123" i="13"/>
  <c r="I123" i="13"/>
  <c r="G123" i="13"/>
  <c r="H123" i="13" s="1"/>
  <c r="N122" i="13"/>
  <c r="G122" i="13"/>
  <c r="H122" i="13" s="1"/>
  <c r="I122" i="13" s="1"/>
  <c r="N121" i="13"/>
  <c r="G121" i="13"/>
  <c r="H121" i="13" s="1"/>
  <c r="I121" i="13" s="1"/>
  <c r="N120" i="13"/>
  <c r="O120" i="13" s="1"/>
  <c r="H120" i="13"/>
  <c r="I120" i="13" s="1"/>
  <c r="G120" i="13"/>
  <c r="G119" i="13"/>
  <c r="H119" i="13" s="1"/>
  <c r="I119" i="13" s="1"/>
  <c r="AA118" i="13"/>
  <c r="G118" i="13"/>
  <c r="H118" i="13" s="1"/>
  <c r="I118" i="13" s="1"/>
  <c r="AA117" i="13"/>
  <c r="G117" i="13"/>
  <c r="H117" i="13" s="1"/>
  <c r="I117" i="13" s="1"/>
  <c r="AA116" i="13"/>
  <c r="I116" i="13"/>
  <c r="G116" i="13"/>
  <c r="H116" i="13" s="1"/>
  <c r="AA115" i="13"/>
  <c r="N115" i="13"/>
  <c r="H115" i="13"/>
  <c r="I115" i="13" s="1"/>
  <c r="AA114" i="13"/>
  <c r="N114" i="13"/>
  <c r="H114" i="13"/>
  <c r="I114" i="13" s="1"/>
  <c r="G114" i="13"/>
  <c r="AA113" i="13"/>
  <c r="N113" i="13"/>
  <c r="I113" i="13"/>
  <c r="H113" i="13"/>
  <c r="AA112" i="13"/>
  <c r="N112" i="13"/>
  <c r="I112" i="13"/>
  <c r="H112" i="13"/>
  <c r="AA111" i="13"/>
  <c r="H111" i="13"/>
  <c r="I111" i="13" s="1"/>
  <c r="G111" i="13"/>
  <c r="AA110" i="13"/>
  <c r="N110" i="13"/>
  <c r="I110" i="13"/>
  <c r="G110" i="13"/>
  <c r="H110" i="13" s="1"/>
  <c r="AA109" i="13"/>
  <c r="N109" i="13"/>
  <c r="H109" i="13"/>
  <c r="I109" i="13" s="1"/>
  <c r="G109" i="13"/>
  <c r="AA108" i="13"/>
  <c r="N108" i="13"/>
  <c r="I108" i="13"/>
  <c r="H108" i="13"/>
  <c r="AA107" i="13"/>
  <c r="N107" i="13"/>
  <c r="G107" i="13"/>
  <c r="H107" i="13" s="1"/>
  <c r="I107" i="13" s="1"/>
  <c r="AA106" i="13"/>
  <c r="I106" i="13"/>
  <c r="G106" i="13"/>
  <c r="H106" i="13" s="1"/>
  <c r="AA105" i="13"/>
  <c r="N105" i="13"/>
  <c r="H105" i="13"/>
  <c r="I105" i="13" s="1"/>
  <c r="G105" i="13"/>
  <c r="AA104" i="13"/>
  <c r="N104" i="13"/>
  <c r="G104" i="13"/>
  <c r="H104" i="13" s="1"/>
  <c r="I104" i="13" s="1"/>
  <c r="AA103" i="13"/>
  <c r="N103" i="13"/>
  <c r="H103" i="13"/>
  <c r="I103" i="13" s="1"/>
  <c r="G103" i="13"/>
  <c r="AA102" i="13"/>
  <c r="N102" i="13"/>
  <c r="I102" i="13"/>
  <c r="H102" i="13"/>
  <c r="AA101" i="13"/>
  <c r="N101" i="13"/>
  <c r="G101" i="13"/>
  <c r="H101" i="13" s="1"/>
  <c r="I101" i="13" s="1"/>
  <c r="AA100" i="13"/>
  <c r="G100" i="13"/>
  <c r="H100" i="13" s="1"/>
  <c r="I100" i="13" s="1"/>
  <c r="AA99" i="13"/>
  <c r="G99" i="13"/>
  <c r="H99" i="13" s="1"/>
  <c r="I99" i="13" s="1"/>
  <c r="AA98" i="13"/>
  <c r="N98" i="13"/>
  <c r="H98" i="13"/>
  <c r="I98" i="13" s="1"/>
  <c r="G98" i="13"/>
  <c r="AA97" i="13"/>
  <c r="N97" i="13"/>
  <c r="G97" i="13"/>
  <c r="H97" i="13" s="1"/>
  <c r="I97" i="13" s="1"/>
  <c r="AA96" i="13"/>
  <c r="N96" i="13"/>
  <c r="H96" i="13"/>
  <c r="I96" i="13" s="1"/>
  <c r="G96" i="13"/>
  <c r="AA95" i="13"/>
  <c r="N95" i="13"/>
  <c r="I95" i="13"/>
  <c r="G95" i="13"/>
  <c r="H95" i="13" s="1"/>
  <c r="AA94" i="13"/>
  <c r="N94" i="13"/>
  <c r="H94" i="13"/>
  <c r="I94" i="13" s="1"/>
  <c r="G94" i="13"/>
  <c r="AA93" i="13"/>
  <c r="H93" i="13"/>
  <c r="I93" i="13" s="1"/>
  <c r="G93" i="13"/>
  <c r="AA92" i="13"/>
  <c r="N92" i="13"/>
  <c r="G92" i="13"/>
  <c r="H92" i="13" s="1"/>
  <c r="I92" i="13" s="1"/>
  <c r="AA91" i="13"/>
  <c r="G91" i="13"/>
  <c r="H91" i="13" s="1"/>
  <c r="I91" i="13" s="1"/>
  <c r="AA90" i="13"/>
  <c r="N90" i="13"/>
  <c r="H90" i="13"/>
  <c r="I90" i="13" s="1"/>
  <c r="G90" i="13"/>
  <c r="AA89" i="13"/>
  <c r="N89" i="13"/>
  <c r="I89" i="13"/>
  <c r="H89" i="13"/>
  <c r="AA88" i="13"/>
  <c r="N88" i="13"/>
  <c r="G88" i="13"/>
  <c r="H88" i="13" s="1"/>
  <c r="I88" i="13" s="1"/>
  <c r="AA87" i="13"/>
  <c r="N87" i="13"/>
  <c r="I87" i="13"/>
  <c r="G87" i="13"/>
  <c r="AA86" i="13"/>
  <c r="G86" i="13"/>
  <c r="H86" i="13" s="1"/>
  <c r="I86" i="13" s="1"/>
  <c r="AA85" i="13"/>
  <c r="I85" i="13"/>
  <c r="G85" i="13"/>
  <c r="H85" i="13" s="1"/>
  <c r="AA84" i="13"/>
  <c r="G84" i="13"/>
  <c r="H84" i="13" s="1"/>
  <c r="I84" i="13" s="1"/>
  <c r="AA83" i="13"/>
  <c r="N83" i="13"/>
  <c r="H83" i="13"/>
  <c r="I83" i="13" s="1"/>
  <c r="G83" i="13"/>
  <c r="AA82" i="13"/>
  <c r="N82" i="13"/>
  <c r="G82" i="13"/>
  <c r="H82" i="13" s="1"/>
  <c r="I82" i="13" s="1"/>
  <c r="AA81" i="13"/>
  <c r="N81" i="13"/>
  <c r="H81" i="13"/>
  <c r="I81" i="13" s="1"/>
  <c r="G81" i="13"/>
  <c r="AA80" i="13"/>
  <c r="N80" i="13"/>
  <c r="G80" i="13"/>
  <c r="H80" i="13" s="1"/>
  <c r="I80" i="13" s="1"/>
  <c r="AA79" i="13"/>
  <c r="N79" i="13"/>
  <c r="H79" i="13"/>
  <c r="I79" i="13" s="1"/>
  <c r="G79" i="13"/>
  <c r="AA78" i="13"/>
  <c r="N78" i="13"/>
  <c r="G78" i="13"/>
  <c r="H78" i="13" s="1"/>
  <c r="I78" i="13" s="1"/>
  <c r="AA77" i="13"/>
  <c r="N77" i="13"/>
  <c r="H77" i="13"/>
  <c r="I77" i="13" s="1"/>
  <c r="G77" i="13"/>
  <c r="AA76" i="13"/>
  <c r="N76" i="13"/>
  <c r="G76" i="13"/>
  <c r="H76" i="13" s="1"/>
  <c r="I76" i="13" s="1"/>
  <c r="AA75" i="13"/>
  <c r="N75" i="13"/>
  <c r="H75" i="13"/>
  <c r="I75" i="13" s="1"/>
  <c r="G75" i="13"/>
  <c r="AA74" i="13"/>
  <c r="N74" i="13"/>
  <c r="O74" i="13" s="1"/>
  <c r="H74" i="13"/>
  <c r="I74" i="13" s="1"/>
  <c r="G74" i="13"/>
  <c r="AA73" i="13"/>
  <c r="H73" i="13"/>
  <c r="I73" i="13" s="1"/>
  <c r="G73" i="13"/>
  <c r="AA72" i="13"/>
  <c r="N72" i="13"/>
  <c r="I72" i="13"/>
  <c r="G72" i="13"/>
  <c r="H72" i="13" s="1"/>
  <c r="AA71" i="13"/>
  <c r="N71" i="13"/>
  <c r="H71" i="13"/>
  <c r="I71" i="13" s="1"/>
  <c r="AA70" i="13"/>
  <c r="N70" i="13"/>
  <c r="H70" i="13"/>
  <c r="I70" i="13" s="1"/>
  <c r="G70" i="13"/>
  <c r="AA69" i="13"/>
  <c r="U69" i="13"/>
  <c r="N221" i="13" s="1"/>
  <c r="O221" i="13" s="1"/>
  <c r="N69" i="13"/>
  <c r="H69" i="13"/>
  <c r="I69" i="13" s="1"/>
  <c r="G69" i="13"/>
  <c r="AA68" i="13"/>
  <c r="U68" i="13"/>
  <c r="N68" i="13"/>
  <c r="H68" i="13"/>
  <c r="I68" i="13" s="1"/>
  <c r="G68" i="13"/>
  <c r="AA67" i="13"/>
  <c r="U67" i="13"/>
  <c r="N67" i="13"/>
  <c r="H67" i="13"/>
  <c r="I67" i="13" s="1"/>
  <c r="G67" i="13"/>
  <c r="AA66" i="13"/>
  <c r="U66" i="13"/>
  <c r="N66" i="13"/>
  <c r="H66" i="13"/>
  <c r="I66" i="13" s="1"/>
  <c r="G66" i="13"/>
  <c r="AA65" i="13"/>
  <c r="U65" i="13"/>
  <c r="N65" i="13"/>
  <c r="H65" i="13"/>
  <c r="I65" i="13" s="1"/>
  <c r="G65" i="13"/>
  <c r="AA64" i="13"/>
  <c r="U64" i="13"/>
  <c r="H64" i="13"/>
  <c r="I64" i="13" s="1"/>
  <c r="G64" i="13"/>
  <c r="AA63" i="13"/>
  <c r="U63" i="13"/>
  <c r="G63" i="13"/>
  <c r="H63" i="13" s="1"/>
  <c r="I63" i="13" s="1"/>
  <c r="AA62" i="13"/>
  <c r="U62" i="13"/>
  <c r="H62" i="13"/>
  <c r="I62" i="13" s="1"/>
  <c r="G62" i="13"/>
  <c r="AA61" i="13"/>
  <c r="U61" i="13"/>
  <c r="I61" i="13"/>
  <c r="G61" i="13"/>
  <c r="H61" i="13" s="1"/>
  <c r="AA60" i="13"/>
  <c r="U60" i="13"/>
  <c r="H60" i="13"/>
  <c r="I60" i="13" s="1"/>
  <c r="G60" i="13"/>
  <c r="AA59" i="13"/>
  <c r="U59" i="13"/>
  <c r="G59" i="13"/>
  <c r="H59" i="13" s="1"/>
  <c r="I59" i="13" s="1"/>
  <c r="AA58" i="13"/>
  <c r="U58" i="13"/>
  <c r="N58" i="13"/>
  <c r="O58" i="13" s="1"/>
  <c r="H58" i="13"/>
  <c r="I58" i="13" s="1"/>
  <c r="G58" i="13"/>
  <c r="AA57" i="13"/>
  <c r="U57" i="13"/>
  <c r="G57" i="13"/>
  <c r="H57" i="13" s="1"/>
  <c r="I57" i="13" s="1"/>
  <c r="AA56" i="13"/>
  <c r="U56" i="13"/>
  <c r="H56" i="13"/>
  <c r="I56" i="13" s="1"/>
  <c r="G56" i="13"/>
  <c r="AA55" i="13"/>
  <c r="U55" i="13"/>
  <c r="N143" i="13" s="1"/>
  <c r="O143" i="13" s="1"/>
  <c r="G55" i="13"/>
  <c r="H55" i="13" s="1"/>
  <c r="I55" i="13" s="1"/>
  <c r="AA54" i="13"/>
  <c r="U54" i="13"/>
  <c r="N54" i="13"/>
  <c r="I54" i="13"/>
  <c r="H54" i="13"/>
  <c r="AA53" i="13"/>
  <c r="U53" i="13"/>
  <c r="N53" i="13"/>
  <c r="H53" i="13"/>
  <c r="I53" i="13" s="1"/>
  <c r="G53" i="13"/>
  <c r="AA52" i="13"/>
  <c r="U52" i="13"/>
  <c r="N52" i="13"/>
  <c r="H52" i="13"/>
  <c r="I52" i="13" s="1"/>
  <c r="G52" i="13"/>
  <c r="AA51" i="13"/>
  <c r="U51" i="13"/>
  <c r="N51" i="13"/>
  <c r="H51" i="13"/>
  <c r="I51" i="13" s="1"/>
  <c r="G51" i="13"/>
  <c r="AA50" i="13"/>
  <c r="U50" i="13"/>
  <c r="G50" i="13"/>
  <c r="H50" i="13" s="1"/>
  <c r="I50" i="13" s="1"/>
  <c r="AA49" i="13"/>
  <c r="U49" i="13"/>
  <c r="H49" i="13"/>
  <c r="I49" i="13" s="1"/>
  <c r="G49" i="13"/>
  <c r="AA48" i="13"/>
  <c r="U48" i="13"/>
  <c r="G48" i="13"/>
  <c r="H48" i="13" s="1"/>
  <c r="I48" i="13" s="1"/>
  <c r="AA47" i="13"/>
  <c r="U47" i="13"/>
  <c r="N47" i="13"/>
  <c r="I47" i="13"/>
  <c r="G47" i="13"/>
  <c r="H47" i="13" s="1"/>
  <c r="AA46" i="13"/>
  <c r="U46" i="13"/>
  <c r="N63" i="13" s="1"/>
  <c r="O63" i="13" s="1"/>
  <c r="N46" i="13"/>
  <c r="G46" i="13"/>
  <c r="H46" i="13" s="1"/>
  <c r="I46" i="13" s="1"/>
  <c r="AA45" i="13"/>
  <c r="U45" i="13"/>
  <c r="N45" i="13"/>
  <c r="O45" i="13" s="1"/>
  <c r="H45" i="13"/>
  <c r="I45" i="13" s="1"/>
  <c r="G45" i="13"/>
  <c r="AA44" i="13"/>
  <c r="U44" i="13"/>
  <c r="G44" i="13"/>
  <c r="H44" i="13" s="1"/>
  <c r="I44" i="13" s="1"/>
  <c r="AA43" i="13"/>
  <c r="U43" i="13"/>
  <c r="N43" i="13"/>
  <c r="G43" i="13"/>
  <c r="H43" i="13" s="1"/>
  <c r="I43" i="13" s="1"/>
  <c r="AA42" i="13"/>
  <c r="U42" i="13"/>
  <c r="N49" i="13" s="1"/>
  <c r="O49" i="13" s="1"/>
  <c r="H42" i="13"/>
  <c r="I42" i="13" s="1"/>
  <c r="G42" i="13"/>
  <c r="AA41" i="13"/>
  <c r="U41" i="13"/>
  <c r="I41" i="13"/>
  <c r="G41" i="13"/>
  <c r="H41" i="13" s="1"/>
  <c r="AA40" i="13"/>
  <c r="U40" i="13"/>
  <c r="N126" i="13" s="1"/>
  <c r="O126" i="13" s="1"/>
  <c r="H40" i="13"/>
  <c r="I40" i="13" s="1"/>
  <c r="G40" i="13"/>
  <c r="AA39" i="13"/>
  <c r="U39" i="13"/>
  <c r="O39" i="13"/>
  <c r="G39" i="13"/>
  <c r="H39" i="13" s="1"/>
  <c r="I39" i="13" s="1"/>
  <c r="AA38" i="13"/>
  <c r="U38" i="13"/>
  <c r="N137" i="13" s="1"/>
  <c r="O137" i="13" s="1"/>
  <c r="N38" i="13"/>
  <c r="O38" i="13" s="1"/>
  <c r="H38" i="13"/>
  <c r="I38" i="13" s="1"/>
  <c r="G38" i="13"/>
  <c r="AA37" i="13"/>
  <c r="U37" i="13"/>
  <c r="N37" i="13"/>
  <c r="H37" i="13"/>
  <c r="I37" i="13" s="1"/>
  <c r="G37" i="13"/>
  <c r="AA36" i="13"/>
  <c r="U36" i="13"/>
  <c r="N36" i="13"/>
  <c r="H36" i="13"/>
  <c r="I36" i="13" s="1"/>
  <c r="G36" i="13"/>
  <c r="AA35" i="13"/>
  <c r="U35" i="13"/>
  <c r="N35" i="13"/>
  <c r="H35" i="13"/>
  <c r="I35" i="13" s="1"/>
  <c r="G35" i="13"/>
  <c r="AA34" i="13"/>
  <c r="U34" i="13"/>
  <c r="N39" i="13" s="1"/>
  <c r="G34" i="13"/>
  <c r="H34" i="13" s="1"/>
  <c r="I34" i="13" s="1"/>
  <c r="AA33" i="13"/>
  <c r="U33" i="13"/>
  <c r="N33" i="13"/>
  <c r="O33" i="13" s="1"/>
  <c r="H33" i="13"/>
  <c r="I33" i="13" s="1"/>
  <c r="G33" i="13"/>
  <c r="AA32" i="13"/>
  <c r="U32" i="13"/>
  <c r="G32" i="13"/>
  <c r="H32" i="13" s="1"/>
  <c r="I32" i="13" s="1"/>
  <c r="AA31" i="13"/>
  <c r="U31" i="13"/>
  <c r="N31" i="13"/>
  <c r="G31" i="13"/>
  <c r="H31" i="13" s="1"/>
  <c r="I31" i="13" s="1"/>
  <c r="AA30" i="13"/>
  <c r="U30" i="13"/>
  <c r="N30" i="13"/>
  <c r="I30" i="13"/>
  <c r="G30" i="13"/>
  <c r="H30" i="13" s="1"/>
  <c r="AA29" i="13"/>
  <c r="U29" i="13"/>
  <c r="N29" i="13"/>
  <c r="G29" i="13"/>
  <c r="H29" i="13" s="1"/>
  <c r="I29" i="13" s="1"/>
  <c r="AA28" i="13"/>
  <c r="U28" i="13"/>
  <c r="N28" i="13"/>
  <c r="G28" i="13"/>
  <c r="H28" i="13" s="1"/>
  <c r="I28" i="13" s="1"/>
  <c r="AA27" i="13"/>
  <c r="U27" i="13"/>
  <c r="N27" i="13"/>
  <c r="G27" i="13"/>
  <c r="H27" i="13" s="1"/>
  <c r="I27" i="13" s="1"/>
  <c r="AA26" i="13"/>
  <c r="U26" i="13"/>
  <c r="N26" i="13"/>
  <c r="I26" i="13"/>
  <c r="G26" i="13"/>
  <c r="H26" i="13" s="1"/>
  <c r="AA25" i="13"/>
  <c r="U25" i="13"/>
  <c r="N25" i="13"/>
  <c r="O25" i="13" s="1"/>
  <c r="H25" i="13"/>
  <c r="I25" i="13" s="1"/>
  <c r="G25" i="13"/>
  <c r="AA24" i="13"/>
  <c r="U24" i="13"/>
  <c r="N48" i="13" s="1"/>
  <c r="O48" i="13" s="1"/>
  <c r="G24" i="13"/>
  <c r="H24" i="13" s="1"/>
  <c r="I24" i="13" s="1"/>
  <c r="AA23" i="13"/>
  <c r="U23" i="13"/>
  <c r="N23" i="13"/>
  <c r="O23" i="13" s="1"/>
  <c r="H23" i="13"/>
  <c r="I23" i="13" s="1"/>
  <c r="G23" i="13"/>
  <c r="AA22" i="13"/>
  <c r="U22" i="13"/>
  <c r="I22" i="13"/>
  <c r="G22" i="13"/>
  <c r="H22" i="13" s="1"/>
  <c r="AA21" i="13"/>
  <c r="U21" i="13"/>
  <c r="N21" i="13"/>
  <c r="O21" i="13" s="1"/>
  <c r="H21" i="13"/>
  <c r="I21" i="13" s="1"/>
  <c r="G21" i="13"/>
  <c r="AA20" i="13"/>
  <c r="U20" i="13"/>
  <c r="N20" i="13"/>
  <c r="H20" i="13"/>
  <c r="I20" i="13" s="1"/>
  <c r="G20" i="13"/>
  <c r="AA19" i="13"/>
  <c r="U19" i="13"/>
  <c r="O19" i="13"/>
  <c r="N19" i="13"/>
  <c r="I19" i="13"/>
  <c r="G19" i="13"/>
  <c r="H19" i="13" s="1"/>
  <c r="AA18" i="13"/>
  <c r="U18" i="13"/>
  <c r="N18" i="13"/>
  <c r="O18" i="13" s="1"/>
  <c r="H18" i="13"/>
  <c r="I18" i="13" s="1"/>
  <c r="G18" i="13"/>
  <c r="AA17" i="13"/>
  <c r="U17" i="13"/>
  <c r="N17" i="13"/>
  <c r="H17" i="13"/>
  <c r="I17" i="13" s="1"/>
  <c r="G17" i="13"/>
  <c r="AA16" i="13"/>
  <c r="U16" i="13"/>
  <c r="N100" i="13" s="1"/>
  <c r="O100" i="13" s="1"/>
  <c r="N16" i="13"/>
  <c r="H16" i="13"/>
  <c r="I16" i="13" s="1"/>
  <c r="G16" i="13"/>
  <c r="AA15" i="13"/>
  <c r="U15" i="13"/>
  <c r="N15" i="13"/>
  <c r="H15" i="13"/>
  <c r="I15" i="13" s="1"/>
  <c r="G15" i="13"/>
  <c r="AA14" i="13"/>
  <c r="U14" i="13"/>
  <c r="N166" i="13" s="1"/>
  <c r="N14" i="13"/>
  <c r="H14" i="13"/>
  <c r="I14" i="13" s="1"/>
  <c r="AA13" i="13"/>
  <c r="U13" i="13"/>
  <c r="N13" i="13"/>
  <c r="O13" i="13" s="1"/>
  <c r="H13" i="13"/>
  <c r="I13" i="13" s="1"/>
  <c r="AA12" i="13"/>
  <c r="U12" i="13"/>
  <c r="H12" i="13"/>
  <c r="AA11" i="13"/>
  <c r="U11" i="13"/>
  <c r="N34" i="13" s="1"/>
  <c r="O34" i="13" s="1"/>
  <c r="N11" i="13"/>
  <c r="O11" i="13" s="1"/>
  <c r="H11" i="13"/>
  <c r="I11" i="13" s="1"/>
  <c r="G11" i="13"/>
  <c r="AA10" i="13"/>
  <c r="U10" i="13"/>
  <c r="O10" i="13"/>
  <c r="N10" i="13"/>
  <c r="I10" i="13"/>
  <c r="G10" i="13"/>
  <c r="H10" i="13" s="1"/>
  <c r="AA9" i="13"/>
  <c r="U9" i="13"/>
  <c r="N9" i="13"/>
  <c r="O9" i="13" s="1"/>
  <c r="H9" i="13"/>
  <c r="I9" i="13" s="1"/>
  <c r="G9" i="13"/>
  <c r="AA8" i="13"/>
  <c r="U8" i="13"/>
  <c r="N8" i="13"/>
  <c r="H8" i="13"/>
  <c r="I8" i="13" s="1"/>
  <c r="AA7" i="13"/>
  <c r="U7" i="13"/>
  <c r="N57" i="13" s="1"/>
  <c r="O57" i="13" s="1"/>
  <c r="N7" i="13"/>
  <c r="G7" i="13"/>
  <c r="H7" i="13" s="1"/>
  <c r="I7" i="13" s="1"/>
  <c r="AA6" i="13"/>
  <c r="U6" i="13"/>
  <c r="N6" i="13"/>
  <c r="I6" i="13"/>
  <c r="H6" i="13"/>
  <c r="AA5" i="13"/>
  <c r="U5" i="13"/>
  <c r="N151" i="13" s="1"/>
  <c r="O151" i="13" s="1"/>
  <c r="N5" i="13"/>
  <c r="H5" i="13"/>
  <c r="I5" i="13" s="1"/>
  <c r="G5" i="13"/>
  <c r="AA4" i="13"/>
  <c r="U4" i="13"/>
  <c r="N215" i="13" s="1"/>
  <c r="O215" i="13" s="1"/>
  <c r="N4" i="13"/>
  <c r="H4" i="13"/>
  <c r="I4" i="13" s="1"/>
  <c r="G4" i="13"/>
  <c r="AA3" i="13"/>
  <c r="U3" i="13"/>
  <c r="N201" i="13" s="1"/>
  <c r="O201" i="13" s="1"/>
  <c r="O3" i="13"/>
  <c r="N3" i="13"/>
  <c r="G3" i="13"/>
  <c r="H3" i="13" s="1"/>
  <c r="O373" i="12"/>
  <c r="N373" i="12"/>
  <c r="I373" i="12"/>
  <c r="G373" i="12"/>
  <c r="H373" i="12" s="1"/>
  <c r="N372" i="12"/>
  <c r="O372" i="12" s="1"/>
  <c r="I372" i="12"/>
  <c r="H372" i="12"/>
  <c r="G372" i="12"/>
  <c r="O371" i="12"/>
  <c r="N371" i="12"/>
  <c r="I371" i="12"/>
  <c r="G371" i="12"/>
  <c r="H371" i="12" s="1"/>
  <c r="N370" i="12"/>
  <c r="O370" i="12" s="1"/>
  <c r="I370" i="12"/>
  <c r="H370" i="12"/>
  <c r="G370" i="12"/>
  <c r="O369" i="12"/>
  <c r="N369" i="12"/>
  <c r="I369" i="12"/>
  <c r="G369" i="12"/>
  <c r="H369" i="12" s="1"/>
  <c r="N368" i="12"/>
  <c r="O368" i="12" s="1"/>
  <c r="I368" i="12"/>
  <c r="H368" i="12"/>
  <c r="G368" i="12"/>
  <c r="O367" i="12"/>
  <c r="N367" i="12"/>
  <c r="I367" i="12"/>
  <c r="G367" i="12"/>
  <c r="H367" i="12" s="1"/>
  <c r="N366" i="12"/>
  <c r="O366" i="12" s="1"/>
  <c r="I366" i="12"/>
  <c r="H366" i="12"/>
  <c r="G366" i="12"/>
  <c r="O365" i="12"/>
  <c r="N365" i="12"/>
  <c r="I365" i="12"/>
  <c r="G365" i="12"/>
  <c r="H365" i="12" s="1"/>
  <c r="N364" i="12"/>
  <c r="O364" i="12" s="1"/>
  <c r="I364" i="12"/>
  <c r="H364" i="12"/>
  <c r="G364" i="12"/>
  <c r="O363" i="12"/>
  <c r="N363" i="12"/>
  <c r="I363" i="12"/>
  <c r="G363" i="12"/>
  <c r="H363" i="12" s="1"/>
  <c r="N362" i="12"/>
  <c r="O362" i="12" s="1"/>
  <c r="I362" i="12"/>
  <c r="H362" i="12"/>
  <c r="G362" i="12"/>
  <c r="O361" i="12"/>
  <c r="N361" i="12"/>
  <c r="I361" i="12"/>
  <c r="G361" i="12"/>
  <c r="H361" i="12" s="1"/>
  <c r="N360" i="12"/>
  <c r="O360" i="12" s="1"/>
  <c r="I360" i="12"/>
  <c r="H360" i="12"/>
  <c r="G360" i="12"/>
  <c r="O359" i="12"/>
  <c r="N359" i="12"/>
  <c r="I359" i="12"/>
  <c r="G359" i="12"/>
  <c r="H359" i="12" s="1"/>
  <c r="N358" i="12"/>
  <c r="O358" i="12" s="1"/>
  <c r="I358" i="12"/>
  <c r="H358" i="12"/>
  <c r="G358" i="12"/>
  <c r="O357" i="12"/>
  <c r="N357" i="12"/>
  <c r="I357" i="12"/>
  <c r="G357" i="12"/>
  <c r="H357" i="12" s="1"/>
  <c r="N356" i="12"/>
  <c r="O356" i="12" s="1"/>
  <c r="I356" i="12"/>
  <c r="H356" i="12"/>
  <c r="G356" i="12"/>
  <c r="O355" i="12"/>
  <c r="N355" i="12"/>
  <c r="I355" i="12"/>
  <c r="G355" i="12"/>
  <c r="H355" i="12" s="1"/>
  <c r="N354" i="12"/>
  <c r="O354" i="12" s="1"/>
  <c r="I354" i="12"/>
  <c r="H354" i="12"/>
  <c r="G354" i="12"/>
  <c r="O353" i="12"/>
  <c r="N353" i="12"/>
  <c r="I353" i="12"/>
  <c r="G353" i="12"/>
  <c r="H353" i="12" s="1"/>
  <c r="N352" i="12"/>
  <c r="O352" i="12" s="1"/>
  <c r="I352" i="12"/>
  <c r="H352" i="12"/>
  <c r="G352" i="12"/>
  <c r="O351" i="12"/>
  <c r="N351" i="12"/>
  <c r="I351" i="12"/>
  <c r="G351" i="12"/>
  <c r="H351" i="12" s="1"/>
  <c r="O350" i="12"/>
  <c r="N350" i="12"/>
  <c r="I350" i="12"/>
  <c r="H350" i="12"/>
  <c r="G350" i="12"/>
  <c r="O349" i="12"/>
  <c r="N349" i="12"/>
  <c r="I349" i="12"/>
  <c r="H349" i="12"/>
  <c r="G349" i="12"/>
  <c r="N348" i="12"/>
  <c r="O348" i="12" s="1"/>
  <c r="I348" i="12"/>
  <c r="H348" i="12"/>
  <c r="G348" i="12"/>
  <c r="O347" i="12"/>
  <c r="N347" i="12"/>
  <c r="I347" i="12"/>
  <c r="G347" i="12"/>
  <c r="H347" i="12" s="1"/>
  <c r="O346" i="12"/>
  <c r="N346" i="12"/>
  <c r="I346" i="12"/>
  <c r="H346" i="12"/>
  <c r="G346" i="12"/>
  <c r="O345" i="12"/>
  <c r="N345" i="12"/>
  <c r="I345" i="12"/>
  <c r="H345" i="12"/>
  <c r="G345" i="12"/>
  <c r="N344" i="12"/>
  <c r="O344" i="12" s="1"/>
  <c r="I344" i="12"/>
  <c r="H344" i="12"/>
  <c r="G344" i="12"/>
  <c r="O343" i="12"/>
  <c r="N343" i="12"/>
  <c r="I343" i="12"/>
  <c r="G343" i="12"/>
  <c r="H343" i="12" s="1"/>
  <c r="O342" i="12"/>
  <c r="N342" i="12"/>
  <c r="I342" i="12"/>
  <c r="H342" i="12"/>
  <c r="G342" i="12"/>
  <c r="O341" i="12"/>
  <c r="N341" i="12"/>
  <c r="I341" i="12"/>
  <c r="H341" i="12"/>
  <c r="G341" i="12"/>
  <c r="N340" i="12"/>
  <c r="O340" i="12" s="1"/>
  <c r="I340" i="12"/>
  <c r="H340" i="12"/>
  <c r="G340" i="12"/>
  <c r="O339" i="12"/>
  <c r="N339" i="12"/>
  <c r="I339" i="12"/>
  <c r="G339" i="12"/>
  <c r="H339" i="12" s="1"/>
  <c r="O338" i="12"/>
  <c r="N338" i="12"/>
  <c r="I338" i="12"/>
  <c r="H338" i="12"/>
  <c r="G338" i="12"/>
  <c r="O337" i="12"/>
  <c r="N337" i="12"/>
  <c r="I337" i="12"/>
  <c r="H337" i="12"/>
  <c r="G337" i="12"/>
  <c r="N336" i="12"/>
  <c r="O336" i="12" s="1"/>
  <c r="I336" i="12"/>
  <c r="H336" i="12"/>
  <c r="G336" i="12"/>
  <c r="O335" i="12"/>
  <c r="N335" i="12"/>
  <c r="I335" i="12"/>
  <c r="G335" i="12"/>
  <c r="H335" i="12" s="1"/>
  <c r="N334" i="12"/>
  <c r="O334" i="12" s="1"/>
  <c r="I334" i="12"/>
  <c r="H334" i="12"/>
  <c r="G334" i="12"/>
  <c r="O333" i="12"/>
  <c r="N333" i="12"/>
  <c r="I333" i="12"/>
  <c r="G333" i="12"/>
  <c r="H333" i="12" s="1"/>
  <c r="N332" i="12"/>
  <c r="O332" i="12" s="1"/>
  <c r="I332" i="12"/>
  <c r="H332" i="12"/>
  <c r="G332" i="12"/>
  <c r="O331" i="12"/>
  <c r="N331" i="12"/>
  <c r="I331" i="12"/>
  <c r="G331" i="12"/>
  <c r="H331" i="12" s="1"/>
  <c r="N330" i="12"/>
  <c r="O330" i="12" s="1"/>
  <c r="I330" i="12"/>
  <c r="H330" i="12"/>
  <c r="G330" i="12"/>
  <c r="O329" i="12"/>
  <c r="N329" i="12"/>
  <c r="I329" i="12"/>
  <c r="H329" i="12"/>
  <c r="G329" i="12"/>
  <c r="N328" i="12"/>
  <c r="O328" i="12" s="1"/>
  <c r="I328" i="12"/>
  <c r="H328" i="12"/>
  <c r="G328" i="12"/>
  <c r="N327" i="12"/>
  <c r="O327" i="12" s="1"/>
  <c r="I327" i="12"/>
  <c r="G327" i="12"/>
  <c r="H327" i="12" s="1"/>
  <c r="N326" i="12"/>
  <c r="O326" i="12" s="1"/>
  <c r="I326" i="12"/>
  <c r="H326" i="12"/>
  <c r="G326" i="12"/>
  <c r="O325" i="12"/>
  <c r="N325" i="12"/>
  <c r="I325" i="12"/>
  <c r="G325" i="12"/>
  <c r="H325" i="12" s="1"/>
  <c r="N324" i="12"/>
  <c r="O324" i="12" s="1"/>
  <c r="I324" i="12"/>
  <c r="H324" i="12"/>
  <c r="G324" i="12"/>
  <c r="N323" i="12"/>
  <c r="O323" i="12" s="1"/>
  <c r="I323" i="12"/>
  <c r="G323" i="12"/>
  <c r="H323" i="12" s="1"/>
  <c r="N322" i="12"/>
  <c r="O322" i="12" s="1"/>
  <c r="I322" i="12"/>
  <c r="H322" i="12"/>
  <c r="G322" i="12"/>
  <c r="O321" i="12"/>
  <c r="N321" i="12"/>
  <c r="I321" i="12"/>
  <c r="G321" i="12"/>
  <c r="H321" i="12" s="1"/>
  <c r="N320" i="12"/>
  <c r="O320" i="12" s="1"/>
  <c r="I320" i="12"/>
  <c r="H320" i="12"/>
  <c r="G320" i="12"/>
  <c r="N319" i="12"/>
  <c r="O319" i="12" s="1"/>
  <c r="I319" i="12"/>
  <c r="G319" i="12"/>
  <c r="H319" i="12" s="1"/>
  <c r="N318" i="12"/>
  <c r="O318" i="12" s="1"/>
  <c r="I318" i="12"/>
  <c r="H318" i="12"/>
  <c r="G318" i="12"/>
  <c r="O317" i="12"/>
  <c r="N317" i="12"/>
  <c r="I317" i="12"/>
  <c r="G317" i="12"/>
  <c r="H317" i="12" s="1"/>
  <c r="N316" i="12"/>
  <c r="O316" i="12" s="1"/>
  <c r="I316" i="12"/>
  <c r="G316" i="12"/>
  <c r="H316" i="12" s="1"/>
  <c r="N315" i="12"/>
  <c r="O315" i="12" s="1"/>
  <c r="I315" i="12"/>
  <c r="H315" i="12"/>
  <c r="G315" i="12"/>
  <c r="O314" i="12"/>
  <c r="N314" i="12"/>
  <c r="I314" i="12"/>
  <c r="G314" i="12"/>
  <c r="H314" i="12" s="1"/>
  <c r="N313" i="12"/>
  <c r="O313" i="12" s="1"/>
  <c r="I313" i="12"/>
  <c r="H313" i="12"/>
  <c r="G313" i="12"/>
  <c r="O312" i="12"/>
  <c r="N312" i="12"/>
  <c r="I312" i="12"/>
  <c r="G312" i="12"/>
  <c r="H312" i="12" s="1"/>
  <c r="N311" i="12"/>
  <c r="O311" i="12" s="1"/>
  <c r="I311" i="12"/>
  <c r="H311" i="12"/>
  <c r="G311" i="12"/>
  <c r="O310" i="12"/>
  <c r="N310" i="12"/>
  <c r="I310" i="12"/>
  <c r="G310" i="12"/>
  <c r="H310" i="12" s="1"/>
  <c r="N309" i="12"/>
  <c r="O309" i="12" s="1"/>
  <c r="I309" i="12"/>
  <c r="H309" i="12"/>
  <c r="G309" i="12"/>
  <c r="O308" i="12"/>
  <c r="N308" i="12"/>
  <c r="I308" i="12"/>
  <c r="G308" i="12"/>
  <c r="H308" i="12" s="1"/>
  <c r="N307" i="12"/>
  <c r="O307" i="12" s="1"/>
  <c r="I307" i="12"/>
  <c r="H307" i="12"/>
  <c r="G307" i="12"/>
  <c r="O306" i="12"/>
  <c r="N306" i="12"/>
  <c r="I306" i="12"/>
  <c r="G306" i="12"/>
  <c r="H306" i="12" s="1"/>
  <c r="N305" i="12"/>
  <c r="O305" i="12" s="1"/>
  <c r="I305" i="12"/>
  <c r="H305" i="12"/>
  <c r="G305" i="12"/>
  <c r="O304" i="12"/>
  <c r="N304" i="12"/>
  <c r="I304" i="12"/>
  <c r="G304" i="12"/>
  <c r="H304" i="12" s="1"/>
  <c r="N303" i="12"/>
  <c r="O303" i="12" s="1"/>
  <c r="I303" i="12"/>
  <c r="H303" i="12"/>
  <c r="G303" i="12"/>
  <c r="O302" i="12"/>
  <c r="N302" i="12"/>
  <c r="I302" i="12"/>
  <c r="G302" i="12"/>
  <c r="H302" i="12" s="1"/>
  <c r="N301" i="12"/>
  <c r="O301" i="12" s="1"/>
  <c r="I301" i="12"/>
  <c r="H301" i="12"/>
  <c r="G301" i="12"/>
  <c r="O300" i="12"/>
  <c r="N300" i="12"/>
  <c r="I300" i="12"/>
  <c r="G300" i="12"/>
  <c r="H300" i="12" s="1"/>
  <c r="N299" i="12"/>
  <c r="O299" i="12" s="1"/>
  <c r="I299" i="12"/>
  <c r="H299" i="12"/>
  <c r="G299" i="12"/>
  <c r="O298" i="12"/>
  <c r="N298" i="12"/>
  <c r="I298" i="12"/>
  <c r="G298" i="12"/>
  <c r="H298" i="12" s="1"/>
  <c r="N297" i="12"/>
  <c r="O297" i="12" s="1"/>
  <c r="I297" i="12"/>
  <c r="H297" i="12"/>
  <c r="G297" i="12"/>
  <c r="O296" i="12"/>
  <c r="N296" i="12"/>
  <c r="I296" i="12"/>
  <c r="G296" i="12"/>
  <c r="H296" i="12" s="1"/>
  <c r="N295" i="12"/>
  <c r="O295" i="12" s="1"/>
  <c r="I295" i="12"/>
  <c r="H295" i="12"/>
  <c r="G295" i="12"/>
  <c r="O294" i="12"/>
  <c r="N294" i="12"/>
  <c r="I294" i="12"/>
  <c r="G294" i="12"/>
  <c r="H294" i="12" s="1"/>
  <c r="N293" i="12"/>
  <c r="O293" i="12" s="1"/>
  <c r="I293" i="12"/>
  <c r="H293" i="12"/>
  <c r="G293" i="12"/>
  <c r="O292" i="12"/>
  <c r="N292" i="12"/>
  <c r="I292" i="12"/>
  <c r="G292" i="12"/>
  <c r="H292" i="12" s="1"/>
  <c r="N291" i="12"/>
  <c r="O291" i="12" s="1"/>
  <c r="I291" i="12"/>
  <c r="H291" i="12"/>
  <c r="G291" i="12"/>
  <c r="O290" i="12"/>
  <c r="N290" i="12"/>
  <c r="I290" i="12"/>
  <c r="G290" i="12"/>
  <c r="H290" i="12" s="1"/>
  <c r="N289" i="12"/>
  <c r="O289" i="12" s="1"/>
  <c r="I289" i="12"/>
  <c r="H289" i="12"/>
  <c r="G289" i="12"/>
  <c r="O288" i="12"/>
  <c r="N288" i="12"/>
  <c r="I288" i="12"/>
  <c r="G288" i="12"/>
  <c r="H288" i="12" s="1"/>
  <c r="N287" i="12"/>
  <c r="O287" i="12" s="1"/>
  <c r="I287" i="12"/>
  <c r="H287" i="12"/>
  <c r="G287" i="12"/>
  <c r="O286" i="12"/>
  <c r="N286" i="12"/>
  <c r="I286" i="12"/>
  <c r="G286" i="12"/>
  <c r="H286" i="12" s="1"/>
  <c r="N285" i="12"/>
  <c r="O285" i="12" s="1"/>
  <c r="I285" i="12"/>
  <c r="H285" i="12"/>
  <c r="G285" i="12"/>
  <c r="O284" i="12"/>
  <c r="N284" i="12"/>
  <c r="I284" i="12"/>
  <c r="G284" i="12"/>
  <c r="H284" i="12" s="1"/>
  <c r="N283" i="12"/>
  <c r="O283" i="12" s="1"/>
  <c r="I283" i="12"/>
  <c r="H283" i="12"/>
  <c r="G283" i="12"/>
  <c r="O282" i="12"/>
  <c r="N282" i="12"/>
  <c r="I282" i="12"/>
  <c r="G282" i="12"/>
  <c r="H282" i="12" s="1"/>
  <c r="N281" i="12"/>
  <c r="O281" i="12" s="1"/>
  <c r="I281" i="12"/>
  <c r="H281" i="12"/>
  <c r="G281" i="12"/>
  <c r="O280" i="12"/>
  <c r="N280" i="12"/>
  <c r="I280" i="12"/>
  <c r="G280" i="12"/>
  <c r="H280" i="12" s="1"/>
  <c r="N279" i="12"/>
  <c r="O279" i="12" s="1"/>
  <c r="I279" i="12"/>
  <c r="H279" i="12"/>
  <c r="G279" i="12"/>
  <c r="O278" i="12"/>
  <c r="N278" i="12"/>
  <c r="I278" i="12"/>
  <c r="G278" i="12"/>
  <c r="H278" i="12" s="1"/>
  <c r="N277" i="12"/>
  <c r="O277" i="12" s="1"/>
  <c r="I277" i="12"/>
  <c r="H277" i="12"/>
  <c r="G277" i="12"/>
  <c r="O276" i="12"/>
  <c r="N276" i="12"/>
  <c r="I276" i="12"/>
  <c r="G276" i="12"/>
  <c r="H276" i="12" s="1"/>
  <c r="N275" i="12"/>
  <c r="O275" i="12" s="1"/>
  <c r="I275" i="12"/>
  <c r="H275" i="12"/>
  <c r="G275" i="12"/>
  <c r="O274" i="12"/>
  <c r="N274" i="12"/>
  <c r="I274" i="12"/>
  <c r="G274" i="12"/>
  <c r="H274" i="12" s="1"/>
  <c r="N273" i="12"/>
  <c r="O273" i="12" s="1"/>
  <c r="I273" i="12"/>
  <c r="H273" i="12"/>
  <c r="G273" i="12"/>
  <c r="O272" i="12"/>
  <c r="N272" i="12"/>
  <c r="I272" i="12"/>
  <c r="G272" i="12"/>
  <c r="H272" i="12" s="1"/>
  <c r="N271" i="12"/>
  <c r="O271" i="12" s="1"/>
  <c r="I271" i="12"/>
  <c r="H271" i="12"/>
  <c r="G271" i="12"/>
  <c r="O270" i="12"/>
  <c r="N270" i="12"/>
  <c r="I270" i="12"/>
  <c r="G270" i="12"/>
  <c r="H270" i="12" s="1"/>
  <c r="N269" i="12"/>
  <c r="O269" i="12" s="1"/>
  <c r="I269" i="12"/>
  <c r="H269" i="12"/>
  <c r="G269" i="12"/>
  <c r="O268" i="12"/>
  <c r="N268" i="12"/>
  <c r="I268" i="12"/>
  <c r="G268" i="12"/>
  <c r="H268" i="12" s="1"/>
  <c r="N267" i="12"/>
  <c r="O267" i="12" s="1"/>
  <c r="I267" i="12"/>
  <c r="H267" i="12"/>
  <c r="G267" i="12"/>
  <c r="O266" i="12"/>
  <c r="N266" i="12"/>
  <c r="I266" i="12"/>
  <c r="G266" i="12"/>
  <c r="H266" i="12" s="1"/>
  <c r="N265" i="12"/>
  <c r="O265" i="12" s="1"/>
  <c r="I265" i="12"/>
  <c r="H265" i="12"/>
  <c r="G265" i="12"/>
  <c r="O264" i="12"/>
  <c r="N264" i="12"/>
  <c r="I264" i="12"/>
  <c r="G264" i="12"/>
  <c r="H264" i="12" s="1"/>
  <c r="H263" i="12"/>
  <c r="I263" i="12" s="1"/>
  <c r="G263" i="12"/>
  <c r="N262" i="12"/>
  <c r="H262" i="12"/>
  <c r="I262" i="12" s="1"/>
  <c r="N261" i="12"/>
  <c r="G261" i="12"/>
  <c r="H261" i="12" s="1"/>
  <c r="I261" i="12" s="1"/>
  <c r="N260" i="12"/>
  <c r="G260" i="12"/>
  <c r="H260" i="12" s="1"/>
  <c r="I260" i="12" s="1"/>
  <c r="N259" i="12"/>
  <c r="G259" i="12"/>
  <c r="H259" i="12" s="1"/>
  <c r="I259" i="12" s="1"/>
  <c r="N258" i="12"/>
  <c r="G258" i="12"/>
  <c r="H258" i="12" s="1"/>
  <c r="I258" i="12" s="1"/>
  <c r="N257" i="12"/>
  <c r="G257" i="12"/>
  <c r="H257" i="12" s="1"/>
  <c r="I257" i="12" s="1"/>
  <c r="N256" i="12"/>
  <c r="I256" i="12"/>
  <c r="H256" i="12"/>
  <c r="N255" i="12"/>
  <c r="H255" i="12"/>
  <c r="I255" i="12" s="1"/>
  <c r="N254" i="12"/>
  <c r="G254" i="12"/>
  <c r="H254" i="12" s="1"/>
  <c r="I254" i="12" s="1"/>
  <c r="H253" i="12"/>
  <c r="I253" i="12" s="1"/>
  <c r="G253" i="12"/>
  <c r="G252" i="12"/>
  <c r="H252" i="12" s="1"/>
  <c r="I252" i="12" s="1"/>
  <c r="H251" i="12"/>
  <c r="I251" i="12" s="1"/>
  <c r="G251" i="12"/>
  <c r="G250" i="12"/>
  <c r="H250" i="12" s="1"/>
  <c r="I250" i="12" s="1"/>
  <c r="H249" i="12"/>
  <c r="I249" i="12" s="1"/>
  <c r="G249" i="12"/>
  <c r="G248" i="12"/>
  <c r="H248" i="12" s="1"/>
  <c r="I248" i="12" s="1"/>
  <c r="H247" i="12"/>
  <c r="I247" i="12" s="1"/>
  <c r="H246" i="12"/>
  <c r="I246" i="12" s="1"/>
  <c r="G246" i="12"/>
  <c r="G245" i="12"/>
  <c r="H245" i="12" s="1"/>
  <c r="I245" i="12" s="1"/>
  <c r="H244" i="12"/>
  <c r="I244" i="12" s="1"/>
  <c r="G244" i="12"/>
  <c r="G243" i="12"/>
  <c r="H243" i="12" s="1"/>
  <c r="I243" i="12" s="1"/>
  <c r="H242" i="12"/>
  <c r="I242" i="12" s="1"/>
  <c r="G242" i="12"/>
  <c r="N241" i="12"/>
  <c r="H241" i="12"/>
  <c r="I241" i="12" s="1"/>
  <c r="G241" i="12"/>
  <c r="N240" i="12"/>
  <c r="H240" i="12"/>
  <c r="I240" i="12" s="1"/>
  <c r="G240" i="12"/>
  <c r="N239" i="12"/>
  <c r="H239" i="12"/>
  <c r="I239" i="12" s="1"/>
  <c r="G239" i="12"/>
  <c r="N238" i="12"/>
  <c r="H238" i="12"/>
  <c r="I238" i="12" s="1"/>
  <c r="G238" i="12"/>
  <c r="N237" i="12"/>
  <c r="H237" i="12"/>
  <c r="I237" i="12" s="1"/>
  <c r="G237" i="12"/>
  <c r="N236" i="12"/>
  <c r="H236" i="12"/>
  <c r="I236" i="12" s="1"/>
  <c r="G236" i="12"/>
  <c r="N235" i="12"/>
  <c r="H235" i="12"/>
  <c r="I235" i="12" s="1"/>
  <c r="G235" i="12"/>
  <c r="N234" i="12"/>
  <c r="H234" i="12"/>
  <c r="I234" i="12" s="1"/>
  <c r="G234" i="12"/>
  <c r="N233" i="12"/>
  <c r="H233" i="12"/>
  <c r="I233" i="12" s="1"/>
  <c r="G233" i="12"/>
  <c r="N232" i="12"/>
  <c r="H232" i="12"/>
  <c r="I232" i="12" s="1"/>
  <c r="G232" i="12"/>
  <c r="G231" i="12"/>
  <c r="H231" i="12" s="1"/>
  <c r="I231" i="12" s="1"/>
  <c r="H230" i="12"/>
  <c r="I230" i="12" s="1"/>
  <c r="G230" i="12"/>
  <c r="G229" i="12"/>
  <c r="H229" i="12" s="1"/>
  <c r="I229" i="12" s="1"/>
  <c r="H228" i="12"/>
  <c r="I228" i="12" s="1"/>
  <c r="G228" i="12"/>
  <c r="G227" i="12"/>
  <c r="H227" i="12" s="1"/>
  <c r="I227" i="12" s="1"/>
  <c r="N226" i="12"/>
  <c r="G226" i="12"/>
  <c r="H226" i="12" s="1"/>
  <c r="I226" i="12" s="1"/>
  <c r="N225" i="12"/>
  <c r="I225" i="12"/>
  <c r="H225" i="12"/>
  <c r="N224" i="12"/>
  <c r="H224" i="12"/>
  <c r="I224" i="12" s="1"/>
  <c r="G224" i="12"/>
  <c r="N223" i="12"/>
  <c r="H223" i="12"/>
  <c r="I223" i="12" s="1"/>
  <c r="G223" i="12"/>
  <c r="N222" i="12"/>
  <c r="H222" i="12"/>
  <c r="I222" i="12" s="1"/>
  <c r="G222" i="12"/>
  <c r="N221" i="12"/>
  <c r="H221" i="12"/>
  <c r="I221" i="12" s="1"/>
  <c r="G221" i="12"/>
  <c r="G220" i="12"/>
  <c r="H220" i="12" s="1"/>
  <c r="I220" i="12" s="1"/>
  <c r="N219" i="12"/>
  <c r="G219" i="12"/>
  <c r="H219" i="12" s="1"/>
  <c r="I219" i="12" s="1"/>
  <c r="H218" i="12"/>
  <c r="I218" i="12" s="1"/>
  <c r="G218" i="12"/>
  <c r="G217" i="12"/>
  <c r="H217" i="12" s="1"/>
  <c r="I217" i="12" s="1"/>
  <c r="N216" i="12"/>
  <c r="O216" i="12" s="1"/>
  <c r="H216" i="12"/>
  <c r="I216" i="12" s="1"/>
  <c r="H215" i="12"/>
  <c r="I215" i="12" s="1"/>
  <c r="G215" i="12"/>
  <c r="G214" i="12"/>
  <c r="H214" i="12" s="1"/>
  <c r="I214" i="12" s="1"/>
  <c r="N213" i="12"/>
  <c r="G213" i="12"/>
  <c r="H213" i="12" s="1"/>
  <c r="I213" i="12" s="1"/>
  <c r="N212" i="12"/>
  <c r="G212" i="12"/>
  <c r="H212" i="12" s="1"/>
  <c r="I212" i="12" s="1"/>
  <c r="N211" i="12"/>
  <c r="G211" i="12"/>
  <c r="H211" i="12" s="1"/>
  <c r="I211" i="12" s="1"/>
  <c r="H210" i="12"/>
  <c r="I210" i="12" s="1"/>
  <c r="G210" i="12"/>
  <c r="G209" i="12"/>
  <c r="H209" i="12" s="1"/>
  <c r="I209" i="12" s="1"/>
  <c r="H208" i="12"/>
  <c r="I208" i="12" s="1"/>
  <c r="G208" i="12"/>
  <c r="G207" i="12"/>
  <c r="H207" i="12" s="1"/>
  <c r="I207" i="12" s="1"/>
  <c r="H206" i="12"/>
  <c r="I206" i="12" s="1"/>
  <c r="G206" i="12"/>
  <c r="N205" i="12"/>
  <c r="H205" i="12"/>
  <c r="I205" i="12" s="1"/>
  <c r="N204" i="12"/>
  <c r="G204" i="12"/>
  <c r="H204" i="12" s="1"/>
  <c r="I204" i="12" s="1"/>
  <c r="N203" i="12"/>
  <c r="O203" i="12" s="1"/>
  <c r="H203" i="12"/>
  <c r="I203" i="12" s="1"/>
  <c r="N202" i="12"/>
  <c r="G202" i="12"/>
  <c r="H202" i="12" s="1"/>
  <c r="I202" i="12" s="1"/>
  <c r="G201" i="12"/>
  <c r="H201" i="12" s="1"/>
  <c r="I201" i="12" s="1"/>
  <c r="H200" i="12"/>
  <c r="I200" i="12" s="1"/>
  <c r="G200" i="12"/>
  <c r="G199" i="12"/>
  <c r="H199" i="12" s="1"/>
  <c r="I199" i="12" s="1"/>
  <c r="H198" i="12"/>
  <c r="I198" i="12" s="1"/>
  <c r="G198" i="12"/>
  <c r="G197" i="12"/>
  <c r="H197" i="12" s="1"/>
  <c r="I197" i="12" s="1"/>
  <c r="N196" i="12"/>
  <c r="G196" i="12"/>
  <c r="H196" i="12" s="1"/>
  <c r="I196" i="12" s="1"/>
  <c r="N195" i="12"/>
  <c r="G195" i="12"/>
  <c r="H195" i="12" s="1"/>
  <c r="I195" i="12" s="1"/>
  <c r="N194" i="12"/>
  <c r="G194" i="12"/>
  <c r="H194" i="12" s="1"/>
  <c r="I194" i="12" s="1"/>
  <c r="N193" i="12"/>
  <c r="G193" i="12"/>
  <c r="H193" i="12" s="1"/>
  <c r="I193" i="12" s="1"/>
  <c r="N192" i="12"/>
  <c r="G192" i="12"/>
  <c r="H192" i="12" s="1"/>
  <c r="I192" i="12" s="1"/>
  <c r="N191" i="12"/>
  <c r="G191" i="12"/>
  <c r="H191" i="12" s="1"/>
  <c r="I191" i="12" s="1"/>
  <c r="N190" i="12"/>
  <c r="G190" i="12"/>
  <c r="H190" i="12" s="1"/>
  <c r="I190" i="12" s="1"/>
  <c r="AA189" i="12"/>
  <c r="G189" i="12"/>
  <c r="H189" i="12" s="1"/>
  <c r="I189" i="12" s="1"/>
  <c r="AA188" i="12"/>
  <c r="G188" i="12"/>
  <c r="H188" i="12" s="1"/>
  <c r="I188" i="12" s="1"/>
  <c r="AA187" i="12"/>
  <c r="G187" i="12"/>
  <c r="H187" i="12" s="1"/>
  <c r="I187" i="12" s="1"/>
  <c r="AA186" i="12"/>
  <c r="N186" i="12"/>
  <c r="H186" i="12"/>
  <c r="I186" i="12" s="1"/>
  <c r="G186" i="12"/>
  <c r="AA185" i="12"/>
  <c r="N185" i="12"/>
  <c r="I185" i="12"/>
  <c r="H185" i="12"/>
  <c r="AA184" i="12"/>
  <c r="N184" i="12"/>
  <c r="G184" i="12"/>
  <c r="H184" i="12" s="1"/>
  <c r="I184" i="12" s="1"/>
  <c r="AA183" i="12"/>
  <c r="N183" i="12"/>
  <c r="G183" i="12"/>
  <c r="H183" i="12" s="1"/>
  <c r="I183" i="12" s="1"/>
  <c r="AA182" i="12"/>
  <c r="H182" i="12"/>
  <c r="I182" i="12" s="1"/>
  <c r="G182" i="12"/>
  <c r="AA181" i="12"/>
  <c r="N181" i="12"/>
  <c r="G181" i="12"/>
  <c r="H181" i="12" s="1"/>
  <c r="I181" i="12" s="1"/>
  <c r="AA180" i="12"/>
  <c r="N180" i="12"/>
  <c r="G180" i="12"/>
  <c r="H180" i="12" s="1"/>
  <c r="I180" i="12" s="1"/>
  <c r="AA179" i="12"/>
  <c r="H179" i="12"/>
  <c r="I179" i="12" s="1"/>
  <c r="G179" i="12"/>
  <c r="AA178" i="12"/>
  <c r="N178" i="12"/>
  <c r="O178" i="12" s="1"/>
  <c r="G178" i="12"/>
  <c r="H178" i="12" s="1"/>
  <c r="I178" i="12" s="1"/>
  <c r="AA177" i="12"/>
  <c r="N177" i="12"/>
  <c r="H177" i="12"/>
  <c r="I177" i="12" s="1"/>
  <c r="AA176" i="12"/>
  <c r="N176" i="12"/>
  <c r="G176" i="12"/>
  <c r="H176" i="12" s="1"/>
  <c r="I176" i="12" s="1"/>
  <c r="AA175" i="12"/>
  <c r="N175" i="12"/>
  <c r="H175" i="12"/>
  <c r="I175" i="12" s="1"/>
  <c r="G175" i="12"/>
  <c r="AA174" i="12"/>
  <c r="N174" i="12"/>
  <c r="G174" i="12"/>
  <c r="H174" i="12" s="1"/>
  <c r="I174" i="12" s="1"/>
  <c r="AA173" i="12"/>
  <c r="G173" i="12"/>
  <c r="H173" i="12" s="1"/>
  <c r="I173" i="12" s="1"/>
  <c r="AA172" i="12"/>
  <c r="G172" i="12"/>
  <c r="H172" i="12" s="1"/>
  <c r="I172" i="12" s="1"/>
  <c r="AA171" i="12"/>
  <c r="G171" i="12"/>
  <c r="H171" i="12" s="1"/>
  <c r="I171" i="12" s="1"/>
  <c r="AA170" i="12"/>
  <c r="N170" i="12"/>
  <c r="H170" i="12"/>
  <c r="I170" i="12" s="1"/>
  <c r="G170" i="12"/>
  <c r="AA169" i="12"/>
  <c r="N169" i="12"/>
  <c r="O169" i="12" s="1"/>
  <c r="H169" i="12"/>
  <c r="I169" i="12" s="1"/>
  <c r="G169" i="12"/>
  <c r="AA168" i="12"/>
  <c r="N168" i="12"/>
  <c r="G168" i="12"/>
  <c r="H168" i="12" s="1"/>
  <c r="I168" i="12" s="1"/>
  <c r="AA167" i="12"/>
  <c r="N167" i="12"/>
  <c r="H167" i="12"/>
  <c r="I167" i="12" s="1"/>
  <c r="G167" i="12"/>
  <c r="AA166" i="12"/>
  <c r="N166" i="12"/>
  <c r="G166" i="12"/>
  <c r="H166" i="12" s="1"/>
  <c r="I166" i="12" s="1"/>
  <c r="AA165" i="12"/>
  <c r="N165" i="12"/>
  <c r="H165" i="12"/>
  <c r="I165" i="12" s="1"/>
  <c r="G165" i="12"/>
  <c r="AA164" i="12"/>
  <c r="H164" i="12"/>
  <c r="I164" i="12" s="1"/>
  <c r="G164" i="12"/>
  <c r="AA163" i="12"/>
  <c r="N163" i="12"/>
  <c r="G163" i="12"/>
  <c r="H163" i="12" s="1"/>
  <c r="I163" i="12" s="1"/>
  <c r="AA162" i="12"/>
  <c r="N162" i="12"/>
  <c r="G162" i="12"/>
  <c r="H162" i="12" s="1"/>
  <c r="I162" i="12" s="1"/>
  <c r="AA161" i="12"/>
  <c r="N161" i="12"/>
  <c r="G161" i="12"/>
  <c r="H161" i="12" s="1"/>
  <c r="I161" i="12" s="1"/>
  <c r="AA160" i="12"/>
  <c r="G160" i="12"/>
  <c r="H160" i="12" s="1"/>
  <c r="I160" i="12" s="1"/>
  <c r="AA159" i="12"/>
  <c r="G159" i="12"/>
  <c r="H159" i="12" s="1"/>
  <c r="I159" i="12" s="1"/>
  <c r="AA158" i="12"/>
  <c r="N158" i="12"/>
  <c r="H158" i="12"/>
  <c r="I158" i="12" s="1"/>
  <c r="G158" i="12"/>
  <c r="AA157" i="12"/>
  <c r="N157" i="12"/>
  <c r="G157" i="12"/>
  <c r="H157" i="12" s="1"/>
  <c r="I157" i="12" s="1"/>
  <c r="AA156" i="12"/>
  <c r="N156" i="12"/>
  <c r="H156" i="12"/>
  <c r="I156" i="12" s="1"/>
  <c r="AA155" i="12"/>
  <c r="N155" i="12"/>
  <c r="G155" i="12"/>
  <c r="H155" i="12" s="1"/>
  <c r="I155" i="12" s="1"/>
  <c r="AA154" i="12"/>
  <c r="N154" i="12"/>
  <c r="G154" i="12"/>
  <c r="H154" i="12" s="1"/>
  <c r="I154" i="12" s="1"/>
  <c r="AA153" i="12"/>
  <c r="N153" i="12"/>
  <c r="H153" i="12"/>
  <c r="I153" i="12" s="1"/>
  <c r="G153" i="12"/>
  <c r="AA152" i="12"/>
  <c r="N152" i="12"/>
  <c r="G152" i="12"/>
  <c r="H152" i="12" s="1"/>
  <c r="I152" i="12" s="1"/>
  <c r="AA151" i="12"/>
  <c r="G151" i="12"/>
  <c r="H151" i="12" s="1"/>
  <c r="I151" i="12" s="1"/>
  <c r="AA150" i="12"/>
  <c r="N150" i="12"/>
  <c r="H150" i="12"/>
  <c r="I150" i="12" s="1"/>
  <c r="G150" i="12"/>
  <c r="AA149" i="12"/>
  <c r="N149" i="12"/>
  <c r="G149" i="12"/>
  <c r="H149" i="12" s="1"/>
  <c r="I149" i="12" s="1"/>
  <c r="AA148" i="12"/>
  <c r="N148" i="12"/>
  <c r="H148" i="12"/>
  <c r="I148" i="12" s="1"/>
  <c r="G148" i="12"/>
  <c r="H147" i="12"/>
  <c r="I147" i="12" s="1"/>
  <c r="G147" i="12"/>
  <c r="G146" i="12"/>
  <c r="H146" i="12" s="1"/>
  <c r="I146" i="12" s="1"/>
  <c r="N145" i="12"/>
  <c r="O145" i="12" s="1"/>
  <c r="G145" i="12"/>
  <c r="H145" i="12" s="1"/>
  <c r="I145" i="12" s="1"/>
  <c r="N144" i="12"/>
  <c r="G144" i="12"/>
  <c r="H144" i="12" s="1"/>
  <c r="I144" i="12" s="1"/>
  <c r="N143" i="12"/>
  <c r="G143" i="12"/>
  <c r="H143" i="12" s="1"/>
  <c r="I143" i="12" s="1"/>
  <c r="N142" i="12"/>
  <c r="G142" i="12"/>
  <c r="H142" i="12" s="1"/>
  <c r="I142" i="12" s="1"/>
  <c r="N141" i="12"/>
  <c r="G141" i="12"/>
  <c r="H141" i="12" s="1"/>
  <c r="I141" i="12" s="1"/>
  <c r="G140" i="12"/>
  <c r="H140" i="12" s="1"/>
  <c r="I140" i="12" s="1"/>
  <c r="H139" i="12"/>
  <c r="I139" i="12" s="1"/>
  <c r="G139" i="12"/>
  <c r="G138" i="12"/>
  <c r="H138" i="12" s="1"/>
  <c r="I138" i="12" s="1"/>
  <c r="N137" i="12"/>
  <c r="O137" i="12" s="1"/>
  <c r="H137" i="12"/>
  <c r="I137" i="12" s="1"/>
  <c r="G136" i="12"/>
  <c r="H136" i="12" s="1"/>
  <c r="G135" i="12"/>
  <c r="H135" i="12" s="1"/>
  <c r="I135" i="12" s="1"/>
  <c r="H134" i="12"/>
  <c r="I134" i="12" s="1"/>
  <c r="G134" i="12"/>
  <c r="G133" i="12"/>
  <c r="H133" i="12" s="1"/>
  <c r="I133" i="12" s="1"/>
  <c r="N132" i="12"/>
  <c r="G132" i="12"/>
  <c r="H132" i="12" s="1"/>
  <c r="I132" i="12" s="1"/>
  <c r="N131" i="12"/>
  <c r="G131" i="12"/>
  <c r="H131" i="12" s="1"/>
  <c r="I131" i="12" s="1"/>
  <c r="N130" i="12"/>
  <c r="G130" i="12"/>
  <c r="H130" i="12" s="1"/>
  <c r="I130" i="12" s="1"/>
  <c r="N129" i="12"/>
  <c r="G129" i="12"/>
  <c r="H129" i="12" s="1"/>
  <c r="I129" i="12" s="1"/>
  <c r="N128" i="12"/>
  <c r="G128" i="12"/>
  <c r="H128" i="12" s="1"/>
  <c r="I128" i="12" s="1"/>
  <c r="N127" i="12"/>
  <c r="O127" i="12" s="1"/>
  <c r="G127" i="12"/>
  <c r="H127" i="12" s="1"/>
  <c r="I127" i="12" s="1"/>
  <c r="N126" i="12"/>
  <c r="G126" i="12"/>
  <c r="H126" i="12" s="1"/>
  <c r="I126" i="12" s="1"/>
  <c r="AA125" i="12"/>
  <c r="N125" i="12"/>
  <c r="G125" i="12"/>
  <c r="H125" i="12" s="1"/>
  <c r="I125" i="12" s="1"/>
  <c r="N124" i="12"/>
  <c r="G124" i="12"/>
  <c r="H124" i="12" s="1"/>
  <c r="I124" i="12" s="1"/>
  <c r="N123" i="12"/>
  <c r="G123" i="12"/>
  <c r="H123" i="12" s="1"/>
  <c r="I123" i="12" s="1"/>
  <c r="N122" i="12"/>
  <c r="G122" i="12"/>
  <c r="H122" i="12" s="1"/>
  <c r="I122" i="12" s="1"/>
  <c r="N121" i="12"/>
  <c r="G121" i="12"/>
  <c r="H121" i="12" s="1"/>
  <c r="I121" i="12" s="1"/>
  <c r="N120" i="12"/>
  <c r="G120" i="12"/>
  <c r="H120" i="12" s="1"/>
  <c r="I120" i="12" s="1"/>
  <c r="N119" i="12"/>
  <c r="G119" i="12"/>
  <c r="H119" i="12" s="1"/>
  <c r="I119" i="12" s="1"/>
  <c r="AA118" i="12"/>
  <c r="G118" i="12"/>
  <c r="H118" i="12" s="1"/>
  <c r="I118" i="12" s="1"/>
  <c r="AA117" i="12"/>
  <c r="G117" i="12"/>
  <c r="H117" i="12" s="1"/>
  <c r="I117" i="12" s="1"/>
  <c r="AA116" i="12"/>
  <c r="G116" i="12"/>
  <c r="H116" i="12" s="1"/>
  <c r="I116" i="12" s="1"/>
  <c r="AA115" i="12"/>
  <c r="G115" i="12"/>
  <c r="H115" i="12" s="1"/>
  <c r="I115" i="12" s="1"/>
  <c r="AA114" i="12"/>
  <c r="G114" i="12"/>
  <c r="H114" i="12" s="1"/>
  <c r="I114" i="12" s="1"/>
  <c r="AA113" i="12"/>
  <c r="G113" i="12"/>
  <c r="H113" i="12" s="1"/>
  <c r="I113" i="12" s="1"/>
  <c r="AA112" i="12"/>
  <c r="G112" i="12"/>
  <c r="H112" i="12" s="1"/>
  <c r="I112" i="12" s="1"/>
  <c r="AA111" i="12"/>
  <c r="N111" i="12"/>
  <c r="G111" i="12"/>
  <c r="H111" i="12" s="1"/>
  <c r="I111" i="12" s="1"/>
  <c r="AA110" i="12"/>
  <c r="N110" i="12"/>
  <c r="G110" i="12"/>
  <c r="H110" i="12" s="1"/>
  <c r="I110" i="12" s="1"/>
  <c r="AA109" i="12"/>
  <c r="N109" i="12"/>
  <c r="H109" i="12"/>
  <c r="I109" i="12" s="1"/>
  <c r="G109" i="12"/>
  <c r="AA108" i="12"/>
  <c r="N108" i="12"/>
  <c r="G108" i="12"/>
  <c r="H108" i="12" s="1"/>
  <c r="I108" i="12" s="1"/>
  <c r="AA107" i="12"/>
  <c r="G107" i="12"/>
  <c r="H107" i="12" s="1"/>
  <c r="I107" i="12" s="1"/>
  <c r="AA106" i="12"/>
  <c r="G106" i="12"/>
  <c r="H106" i="12" s="1"/>
  <c r="I106" i="12" s="1"/>
  <c r="AA105" i="12"/>
  <c r="N105" i="12"/>
  <c r="G105" i="12"/>
  <c r="H105" i="12" s="1"/>
  <c r="I105" i="12" s="1"/>
  <c r="AA104" i="12"/>
  <c r="H104" i="12"/>
  <c r="I104" i="12" s="1"/>
  <c r="G104" i="12"/>
  <c r="AA103" i="12"/>
  <c r="N103" i="12"/>
  <c r="G103" i="12"/>
  <c r="H103" i="12" s="1"/>
  <c r="I103" i="12" s="1"/>
  <c r="AA102" i="12"/>
  <c r="N102" i="12"/>
  <c r="G102" i="12"/>
  <c r="H102" i="12" s="1"/>
  <c r="I102" i="12" s="1"/>
  <c r="AA101" i="12"/>
  <c r="H101" i="12"/>
  <c r="I101" i="12" s="1"/>
  <c r="G101" i="12"/>
  <c r="AA100" i="12"/>
  <c r="G100" i="12"/>
  <c r="H100" i="12" s="1"/>
  <c r="I100" i="12" s="1"/>
  <c r="AA99" i="12"/>
  <c r="N99" i="12"/>
  <c r="G99" i="12"/>
  <c r="H99" i="12" s="1"/>
  <c r="I99" i="12" s="1"/>
  <c r="AA98" i="12"/>
  <c r="G98" i="12"/>
  <c r="H98" i="12" s="1"/>
  <c r="I98" i="12" s="1"/>
  <c r="AA97" i="12"/>
  <c r="N97" i="12"/>
  <c r="I97" i="12"/>
  <c r="G97" i="12"/>
  <c r="AA96" i="12"/>
  <c r="N96" i="12"/>
  <c r="G96" i="12"/>
  <c r="H96" i="12" s="1"/>
  <c r="I96" i="12" s="1"/>
  <c r="AA95" i="12"/>
  <c r="N95" i="12"/>
  <c r="G95" i="12"/>
  <c r="H95" i="12" s="1"/>
  <c r="I95" i="12" s="1"/>
  <c r="AA94" i="12"/>
  <c r="N94" i="12"/>
  <c r="H94" i="12"/>
  <c r="I94" i="12" s="1"/>
  <c r="G94" i="12"/>
  <c r="AA93" i="12"/>
  <c r="N93" i="12"/>
  <c r="G93" i="12"/>
  <c r="H93" i="12" s="1"/>
  <c r="I93" i="12" s="1"/>
  <c r="AA92" i="12"/>
  <c r="G92" i="12"/>
  <c r="H92" i="12" s="1"/>
  <c r="I92" i="12" s="1"/>
  <c r="AA91" i="12"/>
  <c r="G91" i="12"/>
  <c r="H91" i="12" s="1"/>
  <c r="I91" i="12" s="1"/>
  <c r="AA90" i="12"/>
  <c r="N90" i="12"/>
  <c r="G90" i="12"/>
  <c r="H90" i="12" s="1"/>
  <c r="I90" i="12" s="1"/>
  <c r="AA89" i="12"/>
  <c r="G89" i="12"/>
  <c r="H89" i="12" s="1"/>
  <c r="I89" i="12" s="1"/>
  <c r="AA88" i="12"/>
  <c r="G88" i="12"/>
  <c r="H88" i="12" s="1"/>
  <c r="I88" i="12" s="1"/>
  <c r="AA87" i="12"/>
  <c r="G87" i="12"/>
  <c r="H87" i="12" s="1"/>
  <c r="I87" i="12" s="1"/>
  <c r="AA86" i="12"/>
  <c r="G86" i="12"/>
  <c r="H86" i="12" s="1"/>
  <c r="I86" i="12" s="1"/>
  <c r="AA85" i="12"/>
  <c r="G85" i="12"/>
  <c r="H85" i="12" s="1"/>
  <c r="I85" i="12" s="1"/>
  <c r="AA84" i="12"/>
  <c r="N84" i="12"/>
  <c r="G84" i="12"/>
  <c r="H84" i="12" s="1"/>
  <c r="I84" i="12" s="1"/>
  <c r="AA83" i="12"/>
  <c r="N83" i="12"/>
  <c r="G83" i="12"/>
  <c r="H83" i="12" s="1"/>
  <c r="I83" i="12" s="1"/>
  <c r="AA82" i="12"/>
  <c r="N82" i="12"/>
  <c r="H82" i="12"/>
  <c r="I82" i="12" s="1"/>
  <c r="G82" i="12"/>
  <c r="AA81" i="12"/>
  <c r="N81" i="12"/>
  <c r="G81" i="12"/>
  <c r="H81" i="12" s="1"/>
  <c r="I81" i="12" s="1"/>
  <c r="AA80" i="12"/>
  <c r="N80" i="12"/>
  <c r="G80" i="12"/>
  <c r="H80" i="12" s="1"/>
  <c r="I80" i="12" s="1"/>
  <c r="AA79" i="12"/>
  <c r="N79" i="12"/>
  <c r="G79" i="12"/>
  <c r="H79" i="12" s="1"/>
  <c r="I79" i="12" s="1"/>
  <c r="AA78" i="12"/>
  <c r="N78" i="12"/>
  <c r="H78" i="12"/>
  <c r="I78" i="12" s="1"/>
  <c r="G78" i="12"/>
  <c r="AA77" i="12"/>
  <c r="N77" i="12"/>
  <c r="G77" i="12"/>
  <c r="H77" i="12" s="1"/>
  <c r="I77" i="12" s="1"/>
  <c r="AA76" i="12"/>
  <c r="N76" i="12"/>
  <c r="G76" i="12"/>
  <c r="H76" i="12" s="1"/>
  <c r="I76" i="12" s="1"/>
  <c r="AA75" i="12"/>
  <c r="N75" i="12"/>
  <c r="G75" i="12"/>
  <c r="H75" i="12" s="1"/>
  <c r="I75" i="12" s="1"/>
  <c r="AA74" i="12"/>
  <c r="G74" i="12"/>
  <c r="H74" i="12" s="1"/>
  <c r="I74" i="12" s="1"/>
  <c r="AA73" i="12"/>
  <c r="G73" i="12"/>
  <c r="H73" i="12" s="1"/>
  <c r="I73" i="12" s="1"/>
  <c r="AA72" i="12"/>
  <c r="N72" i="12"/>
  <c r="H72" i="12"/>
  <c r="I72" i="12" s="1"/>
  <c r="G72" i="12"/>
  <c r="AA71" i="12"/>
  <c r="N71" i="12"/>
  <c r="G71" i="12"/>
  <c r="H71" i="12" s="1"/>
  <c r="I71" i="12" s="1"/>
  <c r="AA70" i="12"/>
  <c r="N70" i="12"/>
  <c r="G70" i="12"/>
  <c r="H70" i="12" s="1"/>
  <c r="I70" i="12" s="1"/>
  <c r="AA69" i="12"/>
  <c r="N69" i="12"/>
  <c r="G69" i="12"/>
  <c r="H69" i="12" s="1"/>
  <c r="I69" i="12" s="1"/>
  <c r="AA68" i="12"/>
  <c r="G68" i="12"/>
  <c r="H68" i="12" s="1"/>
  <c r="I68" i="12" s="1"/>
  <c r="AA67" i="12"/>
  <c r="G67" i="12"/>
  <c r="H67" i="12" s="1"/>
  <c r="I67" i="12" s="1"/>
  <c r="AA66" i="12"/>
  <c r="G66" i="12"/>
  <c r="H66" i="12" s="1"/>
  <c r="I66" i="12" s="1"/>
  <c r="AA65" i="12"/>
  <c r="N65" i="12"/>
  <c r="H65" i="12"/>
  <c r="I65" i="12" s="1"/>
  <c r="AA64" i="12"/>
  <c r="U64" i="12"/>
  <c r="G64" i="12"/>
  <c r="N64" i="12" s="1"/>
  <c r="AA63" i="12"/>
  <c r="U63" i="12"/>
  <c r="N63" i="12"/>
  <c r="G63" i="12"/>
  <c r="H63" i="12" s="1"/>
  <c r="I63" i="12" s="1"/>
  <c r="AA62" i="12"/>
  <c r="U62" i="12"/>
  <c r="N62" i="12"/>
  <c r="G62" i="12"/>
  <c r="H62" i="12" s="1"/>
  <c r="I62" i="12" s="1"/>
  <c r="AA61" i="12"/>
  <c r="U61" i="12"/>
  <c r="N61" i="12"/>
  <c r="G61" i="12"/>
  <c r="H61" i="12" s="1"/>
  <c r="I61" i="12" s="1"/>
  <c r="AA60" i="12"/>
  <c r="U60" i="12"/>
  <c r="N60" i="12"/>
  <c r="G60" i="12"/>
  <c r="H60" i="12" s="1"/>
  <c r="I60" i="12" s="1"/>
  <c r="AA59" i="12"/>
  <c r="U59" i="12"/>
  <c r="N59" i="12"/>
  <c r="G59" i="12"/>
  <c r="H59" i="12" s="1"/>
  <c r="I59" i="12" s="1"/>
  <c r="AA58" i="12"/>
  <c r="U58" i="12"/>
  <c r="N58" i="12"/>
  <c r="G58" i="12"/>
  <c r="H58" i="12" s="1"/>
  <c r="I58" i="12" s="1"/>
  <c r="AA57" i="12"/>
  <c r="U57" i="12"/>
  <c r="N57" i="12"/>
  <c r="G57" i="12"/>
  <c r="H57" i="12" s="1"/>
  <c r="I57" i="12" s="1"/>
  <c r="AA56" i="12"/>
  <c r="U56" i="12"/>
  <c r="H56" i="12"/>
  <c r="I56" i="12" s="1"/>
  <c r="G56" i="12"/>
  <c r="AA55" i="12"/>
  <c r="U55" i="12"/>
  <c r="G55" i="12"/>
  <c r="H55" i="12" s="1"/>
  <c r="I55" i="12" s="1"/>
  <c r="AA54" i="12"/>
  <c r="U54" i="12"/>
  <c r="N54" i="12"/>
  <c r="O54" i="12" s="1"/>
  <c r="G54" i="12"/>
  <c r="H54" i="12" s="1"/>
  <c r="I54" i="12" s="1"/>
  <c r="AA53" i="12"/>
  <c r="U53" i="12"/>
  <c r="N217" i="12" s="1"/>
  <c r="O217" i="12" s="1"/>
  <c r="N53" i="12"/>
  <c r="H53" i="12"/>
  <c r="I53" i="12" s="1"/>
  <c r="G53" i="12"/>
  <c r="AA52" i="12"/>
  <c r="U52" i="12"/>
  <c r="N52" i="12"/>
  <c r="G52" i="12"/>
  <c r="H52" i="12" s="1"/>
  <c r="I52" i="12" s="1"/>
  <c r="AA51" i="12"/>
  <c r="U51" i="12"/>
  <c r="N51" i="12"/>
  <c r="H51" i="12"/>
  <c r="I51" i="12" s="1"/>
  <c r="AA50" i="12"/>
  <c r="U50" i="12"/>
  <c r="N50" i="12"/>
  <c r="I50" i="12"/>
  <c r="H50" i="12"/>
  <c r="AA49" i="12"/>
  <c r="U49" i="12"/>
  <c r="N49" i="12"/>
  <c r="G49" i="12"/>
  <c r="H49" i="12" s="1"/>
  <c r="I49" i="12" s="1"/>
  <c r="AA48" i="12"/>
  <c r="U48" i="12"/>
  <c r="N48" i="12"/>
  <c r="O48" i="12" s="1"/>
  <c r="G48" i="12"/>
  <c r="H48" i="12" s="1"/>
  <c r="I48" i="12" s="1"/>
  <c r="AA47" i="12"/>
  <c r="U47" i="12"/>
  <c r="H47" i="12"/>
  <c r="I47" i="12" s="1"/>
  <c r="G47" i="12"/>
  <c r="AA46" i="12"/>
  <c r="U46" i="12"/>
  <c r="G46" i="12"/>
  <c r="H46" i="12" s="1"/>
  <c r="I46" i="12" s="1"/>
  <c r="AA45" i="12"/>
  <c r="U45" i="12"/>
  <c r="N45" i="12"/>
  <c r="G45" i="12"/>
  <c r="H45" i="12" s="1"/>
  <c r="I45" i="12" s="1"/>
  <c r="AA44" i="12"/>
  <c r="U44" i="12"/>
  <c r="N247" i="12" s="1"/>
  <c r="O247" i="12" s="1"/>
  <c r="N44" i="12"/>
  <c r="G44" i="12"/>
  <c r="H44" i="12" s="1"/>
  <c r="I44" i="12" s="1"/>
  <c r="AA43" i="12"/>
  <c r="U43" i="12"/>
  <c r="G43" i="12"/>
  <c r="H43" i="12" s="1"/>
  <c r="I43" i="12" s="1"/>
  <c r="AA42" i="12"/>
  <c r="U42" i="12"/>
  <c r="G42" i="12"/>
  <c r="H42" i="12" s="1"/>
  <c r="I42" i="12" s="1"/>
  <c r="AA41" i="12"/>
  <c r="U41" i="12"/>
  <c r="H41" i="12"/>
  <c r="I41" i="12" s="1"/>
  <c r="G41" i="12"/>
  <c r="AA40" i="12"/>
  <c r="U40" i="12"/>
  <c r="N107" i="12" s="1"/>
  <c r="O107" i="12" s="1"/>
  <c r="G40" i="12"/>
  <c r="H40" i="12" s="1"/>
  <c r="I40" i="12" s="1"/>
  <c r="AA39" i="12"/>
  <c r="U39" i="12"/>
  <c r="N138" i="12" s="1"/>
  <c r="O138" i="12" s="1"/>
  <c r="N39" i="12"/>
  <c r="G39" i="12"/>
  <c r="H39" i="12" s="1"/>
  <c r="I39" i="12" s="1"/>
  <c r="AA38" i="12"/>
  <c r="U38" i="12"/>
  <c r="N246" i="12" s="1"/>
  <c r="O246" i="12" s="1"/>
  <c r="N38" i="12"/>
  <c r="G38" i="12"/>
  <c r="H38" i="12" s="1"/>
  <c r="I38" i="12" s="1"/>
  <c r="AA37" i="12"/>
  <c r="U37" i="12"/>
  <c r="N37" i="12"/>
  <c r="G37" i="12"/>
  <c r="H37" i="12" s="1"/>
  <c r="I37" i="12" s="1"/>
  <c r="AA36" i="12"/>
  <c r="U36" i="12"/>
  <c r="N36" i="12"/>
  <c r="H36" i="12"/>
  <c r="I36" i="12" s="1"/>
  <c r="AA35" i="12"/>
  <c r="U35" i="12"/>
  <c r="N35" i="12"/>
  <c r="H35" i="12"/>
  <c r="I35" i="12" s="1"/>
  <c r="AA34" i="12"/>
  <c r="U34" i="12"/>
  <c r="N34" i="12"/>
  <c r="O34" i="12" s="1"/>
  <c r="G34" i="12"/>
  <c r="H34" i="12" s="1"/>
  <c r="I34" i="12" s="1"/>
  <c r="AA33" i="12"/>
  <c r="U33" i="12"/>
  <c r="N33" i="12"/>
  <c r="H33" i="12"/>
  <c r="I33" i="12" s="1"/>
  <c r="G33" i="12"/>
  <c r="AA32" i="12"/>
  <c r="U32" i="12"/>
  <c r="N32" i="12"/>
  <c r="G32" i="12"/>
  <c r="H32" i="12" s="1"/>
  <c r="I32" i="12" s="1"/>
  <c r="AA31" i="12"/>
  <c r="U31" i="12"/>
  <c r="N31" i="12"/>
  <c r="O31" i="12" s="1"/>
  <c r="G31" i="12"/>
  <c r="H31" i="12" s="1"/>
  <c r="I31" i="12" s="1"/>
  <c r="AA30" i="12"/>
  <c r="U30" i="12"/>
  <c r="N30" i="12"/>
  <c r="H30" i="12"/>
  <c r="I30" i="12" s="1"/>
  <c r="G30" i="12"/>
  <c r="AA29" i="12"/>
  <c r="U29" i="12"/>
  <c r="N29" i="12"/>
  <c r="G29" i="12"/>
  <c r="H29" i="12" s="1"/>
  <c r="I29" i="12" s="1"/>
  <c r="AA28" i="12"/>
  <c r="U28" i="12"/>
  <c r="N172" i="12" s="1"/>
  <c r="O172" i="12" s="1"/>
  <c r="N28" i="12"/>
  <c r="H28" i="12"/>
  <c r="I28" i="12" s="1"/>
  <c r="G28" i="12"/>
  <c r="AA27" i="12"/>
  <c r="U27" i="12"/>
  <c r="G27" i="12"/>
  <c r="H27" i="12" s="1"/>
  <c r="I27" i="12" s="1"/>
  <c r="AA26" i="12"/>
  <c r="U26" i="12"/>
  <c r="N26" i="12"/>
  <c r="G26" i="12"/>
  <c r="H26" i="12" s="1"/>
  <c r="I26" i="12" s="1"/>
  <c r="AA25" i="12"/>
  <c r="U25" i="12"/>
  <c r="N25" i="12"/>
  <c r="G25" i="12"/>
  <c r="H25" i="12" s="1"/>
  <c r="I25" i="12" s="1"/>
  <c r="AA24" i="12"/>
  <c r="U24" i="12"/>
  <c r="N242" i="12" s="1"/>
  <c r="O242" i="12" s="1"/>
  <c r="N24" i="12"/>
  <c r="I24" i="12"/>
  <c r="G24" i="12"/>
  <c r="H24" i="12" s="1"/>
  <c r="AA23" i="12"/>
  <c r="U23" i="12"/>
  <c r="N23" i="12"/>
  <c r="G23" i="12"/>
  <c r="H23" i="12" s="1"/>
  <c r="I23" i="12" s="1"/>
  <c r="AA22" i="12"/>
  <c r="U22" i="12"/>
  <c r="N22" i="12"/>
  <c r="O22" i="12" s="1"/>
  <c r="G22" i="12"/>
  <c r="H22" i="12" s="1"/>
  <c r="I22" i="12" s="1"/>
  <c r="AA21" i="12"/>
  <c r="U21" i="12"/>
  <c r="I21" i="12"/>
  <c r="G21" i="12"/>
  <c r="H21" i="12" s="1"/>
  <c r="AA20" i="12"/>
  <c r="U20" i="12"/>
  <c r="N20" i="12"/>
  <c r="G20" i="12"/>
  <c r="H20" i="12" s="1"/>
  <c r="I20" i="12" s="1"/>
  <c r="AA19" i="12"/>
  <c r="U19" i="12"/>
  <c r="N19" i="12"/>
  <c r="I19" i="12"/>
  <c r="G19" i="12"/>
  <c r="H19" i="12" s="1"/>
  <c r="AA18" i="12"/>
  <c r="U18" i="12"/>
  <c r="N18" i="12"/>
  <c r="G18" i="12"/>
  <c r="H18" i="12" s="1"/>
  <c r="I18" i="12" s="1"/>
  <c r="AA17" i="12"/>
  <c r="U17" i="12"/>
  <c r="N17" i="12"/>
  <c r="G17" i="12"/>
  <c r="H17" i="12" s="1"/>
  <c r="I17" i="12" s="1"/>
  <c r="AA16" i="12"/>
  <c r="U16" i="12"/>
  <c r="N16" i="12"/>
  <c r="G16" i="12"/>
  <c r="H16" i="12" s="1"/>
  <c r="I16" i="12" s="1"/>
  <c r="AA15" i="12"/>
  <c r="U15" i="12"/>
  <c r="N42" i="12" s="1"/>
  <c r="O42" i="12" s="1"/>
  <c r="N15" i="12"/>
  <c r="G15" i="12"/>
  <c r="H15" i="12" s="1"/>
  <c r="I15" i="12" s="1"/>
  <c r="AA14" i="12"/>
  <c r="U14" i="12"/>
  <c r="N14" i="12"/>
  <c r="G14" i="12"/>
  <c r="H14" i="12" s="1"/>
  <c r="I14" i="12" s="1"/>
  <c r="AA13" i="12"/>
  <c r="U13" i="12"/>
  <c r="N13" i="12"/>
  <c r="O13" i="12" s="1"/>
  <c r="G13" i="12"/>
  <c r="H13" i="12" s="1"/>
  <c r="I13" i="12" s="1"/>
  <c r="AA12" i="12"/>
  <c r="U12" i="12"/>
  <c r="N12" i="12"/>
  <c r="O12" i="12" s="1"/>
  <c r="I12" i="12"/>
  <c r="G12" i="12"/>
  <c r="H12" i="12" s="1"/>
  <c r="AA11" i="12"/>
  <c r="U11" i="12"/>
  <c r="H11" i="12"/>
  <c r="I11" i="12" s="1"/>
  <c r="G11" i="12"/>
  <c r="AA10" i="12"/>
  <c r="U10" i="12"/>
  <c r="G10" i="12"/>
  <c r="H10" i="12" s="1"/>
  <c r="I10" i="12" s="1"/>
  <c r="AA9" i="12"/>
  <c r="U9" i="12"/>
  <c r="N189" i="12" s="1"/>
  <c r="O189" i="12" s="1"/>
  <c r="N9" i="12"/>
  <c r="O9" i="12" s="1"/>
  <c r="H9" i="12"/>
  <c r="I9" i="12" s="1"/>
  <c r="AA8" i="12"/>
  <c r="U8" i="12"/>
  <c r="O8" i="12"/>
  <c r="H8" i="12"/>
  <c r="I8" i="12" s="1"/>
  <c r="AA7" i="12"/>
  <c r="U7" i="12"/>
  <c r="N245" i="12" s="1"/>
  <c r="O245" i="12" s="1"/>
  <c r="O7" i="12"/>
  <c r="H7" i="12"/>
  <c r="I7" i="12" s="1"/>
  <c r="AA6" i="12"/>
  <c r="U6" i="12"/>
  <c r="N6" i="12"/>
  <c r="O6" i="12" s="1"/>
  <c r="G6" i="12"/>
  <c r="H6" i="12" s="1"/>
  <c r="I6" i="12" s="1"/>
  <c r="AA5" i="12"/>
  <c r="U5" i="12"/>
  <c r="N46" i="12" s="1"/>
  <c r="O46" i="12" s="1"/>
  <c r="N5" i="12"/>
  <c r="O5" i="12" s="1"/>
  <c r="I5" i="12"/>
  <c r="G5" i="12"/>
  <c r="H5" i="12" s="1"/>
  <c r="AA4" i="12"/>
  <c r="U4" i="12"/>
  <c r="N4" i="12"/>
  <c r="O4" i="12" s="1"/>
  <c r="H4" i="12"/>
  <c r="I4" i="12" s="1"/>
  <c r="G4" i="12"/>
  <c r="AA3" i="12"/>
  <c r="U3" i="12"/>
  <c r="N231" i="12" s="1"/>
  <c r="O231" i="12" s="1"/>
  <c r="G3" i="12"/>
  <c r="H3" i="12" s="1"/>
  <c r="N373" i="11"/>
  <c r="O373" i="11" s="1"/>
  <c r="I373" i="11"/>
  <c r="G373" i="11"/>
  <c r="H373" i="11" s="1"/>
  <c r="N372" i="11"/>
  <c r="O372" i="11" s="1"/>
  <c r="I372" i="11"/>
  <c r="G372" i="11"/>
  <c r="H372" i="11" s="1"/>
  <c r="O371" i="11"/>
  <c r="N371" i="11"/>
  <c r="I371" i="11"/>
  <c r="G371" i="11"/>
  <c r="H371" i="11" s="1"/>
  <c r="N370" i="11"/>
  <c r="O370" i="11" s="1"/>
  <c r="I370" i="11"/>
  <c r="H370" i="11"/>
  <c r="G370" i="11"/>
  <c r="N369" i="11"/>
  <c r="O369" i="11" s="1"/>
  <c r="I369" i="11"/>
  <c r="G369" i="11"/>
  <c r="H369" i="11" s="1"/>
  <c r="N368" i="11"/>
  <c r="O368" i="11" s="1"/>
  <c r="I368" i="11"/>
  <c r="G368" i="11"/>
  <c r="H368" i="11" s="1"/>
  <c r="O367" i="11"/>
  <c r="N367" i="11"/>
  <c r="I367" i="11"/>
  <c r="G367" i="11"/>
  <c r="H367" i="11" s="1"/>
  <c r="N366" i="11"/>
  <c r="O366" i="11" s="1"/>
  <c r="I366" i="11"/>
  <c r="H366" i="11"/>
  <c r="G366" i="11"/>
  <c r="N365" i="11"/>
  <c r="O365" i="11" s="1"/>
  <c r="I365" i="11"/>
  <c r="G365" i="11"/>
  <c r="H365" i="11" s="1"/>
  <c r="N364" i="11"/>
  <c r="O364" i="11" s="1"/>
  <c r="I364" i="11"/>
  <c r="G364" i="11"/>
  <c r="H364" i="11" s="1"/>
  <c r="O363" i="11"/>
  <c r="N363" i="11"/>
  <c r="I363" i="11"/>
  <c r="G363" i="11"/>
  <c r="H363" i="11" s="1"/>
  <c r="N362" i="11"/>
  <c r="O362" i="11" s="1"/>
  <c r="I362" i="11"/>
  <c r="H362" i="11"/>
  <c r="G362" i="11"/>
  <c r="N361" i="11"/>
  <c r="O361" i="11" s="1"/>
  <c r="I361" i="11"/>
  <c r="G361" i="11"/>
  <c r="H361" i="11" s="1"/>
  <c r="N360" i="11"/>
  <c r="O360" i="11" s="1"/>
  <c r="I360" i="11"/>
  <c r="G360" i="11"/>
  <c r="H360" i="11" s="1"/>
  <c r="O359" i="11"/>
  <c r="N359" i="11"/>
  <c r="I359" i="11"/>
  <c r="G359" i="11"/>
  <c r="H359" i="11" s="1"/>
  <c r="N358" i="11"/>
  <c r="O358" i="11" s="1"/>
  <c r="I358" i="11"/>
  <c r="H358" i="11"/>
  <c r="G358" i="11"/>
  <c r="N357" i="11"/>
  <c r="O357" i="11" s="1"/>
  <c r="I357" i="11"/>
  <c r="G357" i="11"/>
  <c r="H357" i="11" s="1"/>
  <c r="N356" i="11"/>
  <c r="O356" i="11" s="1"/>
  <c r="I356" i="11"/>
  <c r="G356" i="11"/>
  <c r="H356" i="11" s="1"/>
  <c r="O355" i="11"/>
  <c r="N355" i="11"/>
  <c r="I355" i="11"/>
  <c r="G355" i="11"/>
  <c r="H355" i="11" s="1"/>
  <c r="N354" i="11"/>
  <c r="O354" i="11" s="1"/>
  <c r="I354" i="11"/>
  <c r="H354" i="11"/>
  <c r="G354" i="11"/>
  <c r="N353" i="11"/>
  <c r="O353" i="11" s="1"/>
  <c r="I353" i="11"/>
  <c r="G353" i="11"/>
  <c r="H353" i="11" s="1"/>
  <c r="N352" i="11"/>
  <c r="O352" i="11" s="1"/>
  <c r="I352" i="11"/>
  <c r="G352" i="11"/>
  <c r="H352" i="11" s="1"/>
  <c r="O351" i="11"/>
  <c r="N351" i="11"/>
  <c r="I351" i="11"/>
  <c r="G351" i="11"/>
  <c r="H351" i="11" s="1"/>
  <c r="N350" i="11"/>
  <c r="O350" i="11" s="1"/>
  <c r="I350" i="11"/>
  <c r="H350" i="11"/>
  <c r="G350" i="11"/>
  <c r="N349" i="11"/>
  <c r="O349" i="11" s="1"/>
  <c r="I349" i="11"/>
  <c r="G349" i="11"/>
  <c r="H349" i="11" s="1"/>
  <c r="N348" i="11"/>
  <c r="O348" i="11" s="1"/>
  <c r="I348" i="11"/>
  <c r="G348" i="11"/>
  <c r="H348" i="11" s="1"/>
  <c r="O347" i="11"/>
  <c r="N347" i="11"/>
  <c r="I347" i="11"/>
  <c r="G347" i="11"/>
  <c r="H347" i="11" s="1"/>
  <c r="N346" i="11"/>
  <c r="O346" i="11" s="1"/>
  <c r="I346" i="11"/>
  <c r="H346" i="11"/>
  <c r="G346" i="11"/>
  <c r="N345" i="11"/>
  <c r="O345" i="11" s="1"/>
  <c r="I345" i="11"/>
  <c r="G345" i="11"/>
  <c r="H345" i="11" s="1"/>
  <c r="N344" i="11"/>
  <c r="O344" i="11" s="1"/>
  <c r="I344" i="11"/>
  <c r="G344" i="11"/>
  <c r="H344" i="11" s="1"/>
  <c r="O343" i="11"/>
  <c r="N343" i="11"/>
  <c r="I343" i="11"/>
  <c r="G343" i="11"/>
  <c r="H343" i="11" s="1"/>
  <c r="N342" i="11"/>
  <c r="O342" i="11" s="1"/>
  <c r="I342" i="11"/>
  <c r="H342" i="11"/>
  <c r="G342" i="11"/>
  <c r="N341" i="11"/>
  <c r="O341" i="11" s="1"/>
  <c r="I341" i="11"/>
  <c r="G341" i="11"/>
  <c r="H341" i="11" s="1"/>
  <c r="N340" i="11"/>
  <c r="O340" i="11" s="1"/>
  <c r="I340" i="11"/>
  <c r="G340" i="11"/>
  <c r="H340" i="11" s="1"/>
  <c r="O339" i="11"/>
  <c r="N339" i="11"/>
  <c r="I339" i="11"/>
  <c r="G339" i="11"/>
  <c r="H339" i="11" s="1"/>
  <c r="N338" i="11"/>
  <c r="O338" i="11" s="1"/>
  <c r="I338" i="11"/>
  <c r="H338" i="11"/>
  <c r="G338" i="11"/>
  <c r="N337" i="11"/>
  <c r="O337" i="11" s="1"/>
  <c r="I337" i="11"/>
  <c r="G337" i="11"/>
  <c r="H337" i="11" s="1"/>
  <c r="N336" i="11"/>
  <c r="O336" i="11" s="1"/>
  <c r="I336" i="11"/>
  <c r="G336" i="11"/>
  <c r="H336" i="11" s="1"/>
  <c r="O335" i="11"/>
  <c r="N335" i="11"/>
  <c r="I335" i="11"/>
  <c r="G335" i="11"/>
  <c r="H335" i="11" s="1"/>
  <c r="N334" i="11"/>
  <c r="O334" i="11" s="1"/>
  <c r="I334" i="11"/>
  <c r="H334" i="11"/>
  <c r="G334" i="11"/>
  <c r="N333" i="11"/>
  <c r="O333" i="11" s="1"/>
  <c r="I333" i="11"/>
  <c r="G333" i="11"/>
  <c r="H333" i="11" s="1"/>
  <c r="N332" i="11"/>
  <c r="O332" i="11" s="1"/>
  <c r="I332" i="11"/>
  <c r="G332" i="11"/>
  <c r="H332" i="11" s="1"/>
  <c r="O331" i="11"/>
  <c r="N331" i="11"/>
  <c r="I331" i="11"/>
  <c r="G331" i="11"/>
  <c r="H331" i="11" s="1"/>
  <c r="N330" i="11"/>
  <c r="O330" i="11" s="1"/>
  <c r="I330" i="11"/>
  <c r="H330" i="11"/>
  <c r="G330" i="11"/>
  <c r="N329" i="11"/>
  <c r="O329" i="11" s="1"/>
  <c r="I329" i="11"/>
  <c r="G329" i="11"/>
  <c r="H329" i="11" s="1"/>
  <c r="N328" i="11"/>
  <c r="O328" i="11" s="1"/>
  <c r="I328" i="11"/>
  <c r="G328" i="11"/>
  <c r="H328" i="11" s="1"/>
  <c r="O327" i="11"/>
  <c r="N327" i="11"/>
  <c r="I327" i="11"/>
  <c r="G327" i="11"/>
  <c r="H327" i="11" s="1"/>
  <c r="N326" i="11"/>
  <c r="O326" i="11" s="1"/>
  <c r="I326" i="11"/>
  <c r="H326" i="11"/>
  <c r="G326" i="11"/>
  <c r="N325" i="11"/>
  <c r="O325" i="11" s="1"/>
  <c r="I325" i="11"/>
  <c r="G325" i="11"/>
  <c r="H325" i="11" s="1"/>
  <c r="N324" i="11"/>
  <c r="O324" i="11" s="1"/>
  <c r="I324" i="11"/>
  <c r="G324" i="11"/>
  <c r="H324" i="11" s="1"/>
  <c r="O323" i="11"/>
  <c r="N323" i="11"/>
  <c r="I323" i="11"/>
  <c r="G323" i="11"/>
  <c r="H323" i="11" s="1"/>
  <c r="N322" i="11"/>
  <c r="O322" i="11" s="1"/>
  <c r="I322" i="11"/>
  <c r="H322" i="11"/>
  <c r="G322" i="11"/>
  <c r="N321" i="11"/>
  <c r="O321" i="11" s="1"/>
  <c r="I321" i="11"/>
  <c r="G321" i="11"/>
  <c r="H321" i="11" s="1"/>
  <c r="N320" i="11"/>
  <c r="O320" i="11" s="1"/>
  <c r="I320" i="11"/>
  <c r="G320" i="11"/>
  <c r="H320" i="11" s="1"/>
  <c r="O319" i="11"/>
  <c r="N319" i="11"/>
  <c r="I319" i="11"/>
  <c r="G319" i="11"/>
  <c r="H319" i="11" s="1"/>
  <c r="N318" i="11"/>
  <c r="O318" i="11" s="1"/>
  <c r="I318" i="11"/>
  <c r="H318" i="11"/>
  <c r="G318" i="11"/>
  <c r="N317" i="11"/>
  <c r="O317" i="11" s="1"/>
  <c r="I317" i="11"/>
  <c r="G317" i="11"/>
  <c r="H317" i="11" s="1"/>
  <c r="N316" i="11"/>
  <c r="O316" i="11" s="1"/>
  <c r="I316" i="11"/>
  <c r="G316" i="11"/>
  <c r="H316" i="11" s="1"/>
  <c r="O315" i="11"/>
  <c r="N315" i="11"/>
  <c r="I315" i="11"/>
  <c r="G315" i="11"/>
  <c r="H315" i="11" s="1"/>
  <c r="N314" i="11"/>
  <c r="O314" i="11" s="1"/>
  <c r="I314" i="11"/>
  <c r="H314" i="11"/>
  <c r="G314" i="11"/>
  <c r="N313" i="11"/>
  <c r="O313" i="11" s="1"/>
  <c r="I313" i="11"/>
  <c r="G313" i="11"/>
  <c r="H313" i="11" s="1"/>
  <c r="N312" i="11"/>
  <c r="O312" i="11" s="1"/>
  <c r="I312" i="11"/>
  <c r="G312" i="11"/>
  <c r="H312" i="11" s="1"/>
  <c r="O311" i="11"/>
  <c r="N311" i="11"/>
  <c r="I311" i="11"/>
  <c r="G311" i="11"/>
  <c r="H311" i="11" s="1"/>
  <c r="N310" i="11"/>
  <c r="O310" i="11" s="1"/>
  <c r="I310" i="11"/>
  <c r="H310" i="11"/>
  <c r="G310" i="11"/>
  <c r="N309" i="11"/>
  <c r="O309" i="11" s="1"/>
  <c r="I309" i="11"/>
  <c r="G309" i="11"/>
  <c r="H309" i="11" s="1"/>
  <c r="N308" i="11"/>
  <c r="O308" i="11" s="1"/>
  <c r="I308" i="11"/>
  <c r="G308" i="11"/>
  <c r="H308" i="11" s="1"/>
  <c r="O307" i="11"/>
  <c r="N307" i="11"/>
  <c r="I307" i="11"/>
  <c r="G307" i="11"/>
  <c r="H307" i="11" s="1"/>
  <c r="N306" i="11"/>
  <c r="O306" i="11" s="1"/>
  <c r="I306" i="11"/>
  <c r="H306" i="11"/>
  <c r="G306" i="11"/>
  <c r="N305" i="11"/>
  <c r="O305" i="11" s="1"/>
  <c r="I305" i="11"/>
  <c r="G305" i="11"/>
  <c r="H305" i="11" s="1"/>
  <c r="N304" i="11"/>
  <c r="O304" i="11" s="1"/>
  <c r="I304" i="11"/>
  <c r="G304" i="11"/>
  <c r="H304" i="11" s="1"/>
  <c r="O303" i="11"/>
  <c r="N303" i="11"/>
  <c r="I303" i="11"/>
  <c r="G303" i="11"/>
  <c r="H303" i="11" s="1"/>
  <c r="N302" i="11"/>
  <c r="O302" i="11" s="1"/>
  <c r="I302" i="11"/>
  <c r="H302" i="11"/>
  <c r="G302" i="11"/>
  <c r="N301" i="11"/>
  <c r="O301" i="11" s="1"/>
  <c r="I301" i="11"/>
  <c r="G301" i="11"/>
  <c r="H301" i="11" s="1"/>
  <c r="N300" i="11"/>
  <c r="O300" i="11" s="1"/>
  <c r="I300" i="11"/>
  <c r="G300" i="11"/>
  <c r="H300" i="11" s="1"/>
  <c r="O299" i="11"/>
  <c r="N299" i="11"/>
  <c r="I299" i="11"/>
  <c r="G299" i="11"/>
  <c r="H299" i="11" s="1"/>
  <c r="N298" i="11"/>
  <c r="O298" i="11" s="1"/>
  <c r="I298" i="11"/>
  <c r="H298" i="11"/>
  <c r="G298" i="11"/>
  <c r="N297" i="11"/>
  <c r="O297" i="11" s="1"/>
  <c r="I297" i="11"/>
  <c r="G297" i="11"/>
  <c r="H297" i="11" s="1"/>
  <c r="N296" i="11"/>
  <c r="O296" i="11" s="1"/>
  <c r="I296" i="11"/>
  <c r="G296" i="11"/>
  <c r="H296" i="11" s="1"/>
  <c r="O295" i="11"/>
  <c r="N295" i="11"/>
  <c r="I295" i="11"/>
  <c r="G295" i="11"/>
  <c r="H295" i="11" s="1"/>
  <c r="N294" i="11"/>
  <c r="O294" i="11" s="1"/>
  <c r="I294" i="11"/>
  <c r="H294" i="11"/>
  <c r="G294" i="11"/>
  <c r="N293" i="11"/>
  <c r="O293" i="11" s="1"/>
  <c r="I293" i="11"/>
  <c r="G293" i="11"/>
  <c r="H293" i="11" s="1"/>
  <c r="N292" i="11"/>
  <c r="O292" i="11" s="1"/>
  <c r="I292" i="11"/>
  <c r="G292" i="11"/>
  <c r="H292" i="11" s="1"/>
  <c r="O291" i="11"/>
  <c r="N291" i="11"/>
  <c r="I291" i="11"/>
  <c r="G291" i="11"/>
  <c r="H291" i="11" s="1"/>
  <c r="N290" i="11"/>
  <c r="O290" i="11" s="1"/>
  <c r="I290" i="11"/>
  <c r="H290" i="11"/>
  <c r="G290" i="11"/>
  <c r="N289" i="11"/>
  <c r="O289" i="11" s="1"/>
  <c r="I289" i="11"/>
  <c r="G289" i="11"/>
  <c r="H289" i="11" s="1"/>
  <c r="N288" i="11"/>
  <c r="O288" i="11" s="1"/>
  <c r="I288" i="11"/>
  <c r="G288" i="11"/>
  <c r="H288" i="11" s="1"/>
  <c r="O287" i="11"/>
  <c r="N287" i="11"/>
  <c r="I287" i="11"/>
  <c r="G287" i="11"/>
  <c r="H287" i="11" s="1"/>
  <c r="N286" i="11"/>
  <c r="O286" i="11" s="1"/>
  <c r="I286" i="11"/>
  <c r="H286" i="11"/>
  <c r="G286" i="11"/>
  <c r="N285" i="11"/>
  <c r="O285" i="11" s="1"/>
  <c r="I285" i="11"/>
  <c r="G285" i="11"/>
  <c r="H285" i="11" s="1"/>
  <c r="N284" i="11"/>
  <c r="O284" i="11" s="1"/>
  <c r="I284" i="11"/>
  <c r="G284" i="11"/>
  <c r="H284" i="11" s="1"/>
  <c r="O283" i="11"/>
  <c r="N283" i="11"/>
  <c r="I283" i="11"/>
  <c r="G283" i="11"/>
  <c r="H283" i="11" s="1"/>
  <c r="N282" i="11"/>
  <c r="O282" i="11" s="1"/>
  <c r="I282" i="11"/>
  <c r="H282" i="11"/>
  <c r="G282" i="11"/>
  <c r="N281" i="11"/>
  <c r="O281" i="11" s="1"/>
  <c r="I281" i="11"/>
  <c r="G281" i="11"/>
  <c r="H281" i="11" s="1"/>
  <c r="N280" i="11"/>
  <c r="O280" i="11" s="1"/>
  <c r="I280" i="11"/>
  <c r="G280" i="11"/>
  <c r="H280" i="11" s="1"/>
  <c r="O279" i="11"/>
  <c r="N279" i="11"/>
  <c r="I279" i="11"/>
  <c r="G279" i="11"/>
  <c r="H279" i="11" s="1"/>
  <c r="N278" i="11"/>
  <c r="O278" i="11" s="1"/>
  <c r="I278" i="11"/>
  <c r="H278" i="11"/>
  <c r="G278" i="11"/>
  <c r="N277" i="11"/>
  <c r="O277" i="11" s="1"/>
  <c r="I277" i="11"/>
  <c r="G277" i="11"/>
  <c r="H277" i="11" s="1"/>
  <c r="N276" i="11"/>
  <c r="O276" i="11" s="1"/>
  <c r="I276" i="11"/>
  <c r="G276" i="11"/>
  <c r="H276" i="11" s="1"/>
  <c r="O275" i="11"/>
  <c r="N275" i="11"/>
  <c r="I275" i="11"/>
  <c r="G275" i="11"/>
  <c r="H275" i="11" s="1"/>
  <c r="N274" i="11"/>
  <c r="O274" i="11" s="1"/>
  <c r="I274" i="11"/>
  <c r="H274" i="11"/>
  <c r="G274" i="11"/>
  <c r="N273" i="11"/>
  <c r="O273" i="11" s="1"/>
  <c r="I273" i="11"/>
  <c r="G273" i="11"/>
  <c r="H273" i="11" s="1"/>
  <c r="N272" i="11"/>
  <c r="O272" i="11" s="1"/>
  <c r="I272" i="11"/>
  <c r="G272" i="11"/>
  <c r="H272" i="11" s="1"/>
  <c r="O271" i="11"/>
  <c r="N271" i="11"/>
  <c r="I271" i="11"/>
  <c r="G271" i="11"/>
  <c r="H271" i="11" s="1"/>
  <c r="N270" i="11"/>
  <c r="O270" i="11" s="1"/>
  <c r="I270" i="11"/>
  <c r="H270" i="11"/>
  <c r="G270" i="11"/>
  <c r="N269" i="11"/>
  <c r="O269" i="11" s="1"/>
  <c r="I269" i="11"/>
  <c r="G269" i="11"/>
  <c r="H269" i="11" s="1"/>
  <c r="N268" i="11"/>
  <c r="O268" i="11" s="1"/>
  <c r="I268" i="11"/>
  <c r="G268" i="11"/>
  <c r="H268" i="11" s="1"/>
  <c r="O267" i="11"/>
  <c r="N267" i="11"/>
  <c r="I267" i="11"/>
  <c r="G267" i="11"/>
  <c r="H267" i="11" s="1"/>
  <c r="N266" i="11"/>
  <c r="O266" i="11" s="1"/>
  <c r="I266" i="11"/>
  <c r="H266" i="11"/>
  <c r="G266" i="11"/>
  <c r="N265" i="11"/>
  <c r="O265" i="11" s="1"/>
  <c r="I265" i="11"/>
  <c r="G265" i="11"/>
  <c r="H265" i="11" s="1"/>
  <c r="N264" i="11"/>
  <c r="O264" i="11" s="1"/>
  <c r="I264" i="11"/>
  <c r="G264" i="11"/>
  <c r="H264" i="11" s="1"/>
  <c r="O263" i="11"/>
  <c r="N263" i="11"/>
  <c r="I263" i="11"/>
  <c r="G263" i="11"/>
  <c r="H263" i="11" s="1"/>
  <c r="N262" i="11"/>
  <c r="O262" i="11" s="1"/>
  <c r="I262" i="11"/>
  <c r="H262" i="11"/>
  <c r="G262" i="11"/>
  <c r="N261" i="11"/>
  <c r="O261" i="11" s="1"/>
  <c r="I261" i="11"/>
  <c r="G261" i="11"/>
  <c r="H261" i="11" s="1"/>
  <c r="N260" i="11"/>
  <c r="O260" i="11" s="1"/>
  <c r="I260" i="11"/>
  <c r="G260" i="11"/>
  <c r="H260" i="11" s="1"/>
  <c r="O259" i="11"/>
  <c r="N259" i="11"/>
  <c r="I259" i="11"/>
  <c r="G259" i="11"/>
  <c r="H259" i="11" s="1"/>
  <c r="N258" i="11"/>
  <c r="O258" i="11" s="1"/>
  <c r="I258" i="11"/>
  <c r="H258" i="11"/>
  <c r="G258" i="11"/>
  <c r="N257" i="11"/>
  <c r="O257" i="11" s="1"/>
  <c r="I257" i="11"/>
  <c r="G257" i="11"/>
  <c r="H257" i="11" s="1"/>
  <c r="N256" i="11"/>
  <c r="O256" i="11" s="1"/>
  <c r="I256" i="11"/>
  <c r="G256" i="11"/>
  <c r="H256" i="11" s="1"/>
  <c r="O255" i="11"/>
  <c r="N255" i="11"/>
  <c r="I255" i="11"/>
  <c r="G255" i="11"/>
  <c r="H255" i="11" s="1"/>
  <c r="N254" i="11"/>
  <c r="O254" i="11" s="1"/>
  <c r="I254" i="11"/>
  <c r="H254" i="11"/>
  <c r="G254" i="11"/>
  <c r="N253" i="11"/>
  <c r="O253" i="11" s="1"/>
  <c r="I253" i="11"/>
  <c r="G253" i="11"/>
  <c r="H253" i="11" s="1"/>
  <c r="N252" i="11"/>
  <c r="O252" i="11" s="1"/>
  <c r="I252" i="11"/>
  <c r="G252" i="11"/>
  <c r="H252" i="11" s="1"/>
  <c r="O251" i="11"/>
  <c r="N251" i="11"/>
  <c r="I251" i="11"/>
  <c r="G251" i="11"/>
  <c r="H251" i="11" s="1"/>
  <c r="N250" i="11"/>
  <c r="O250" i="11" s="1"/>
  <c r="I250" i="11"/>
  <c r="H250" i="11"/>
  <c r="G250" i="11"/>
  <c r="N249" i="11"/>
  <c r="O249" i="11" s="1"/>
  <c r="I249" i="11"/>
  <c r="G249" i="11"/>
  <c r="H249" i="11" s="1"/>
  <c r="N248" i="11"/>
  <c r="O248" i="11" s="1"/>
  <c r="I248" i="11"/>
  <c r="G248" i="11"/>
  <c r="H248" i="11" s="1"/>
  <c r="O247" i="11"/>
  <c r="N247" i="11"/>
  <c r="I247" i="11"/>
  <c r="G247" i="11"/>
  <c r="H247" i="11" s="1"/>
  <c r="N246" i="11"/>
  <c r="O246" i="11" s="1"/>
  <c r="I246" i="11"/>
  <c r="H246" i="11"/>
  <c r="G246" i="11"/>
  <c r="N245" i="11"/>
  <c r="O245" i="11" s="1"/>
  <c r="I245" i="11"/>
  <c r="G245" i="11"/>
  <c r="H245" i="11" s="1"/>
  <c r="N244" i="11"/>
  <c r="O244" i="11" s="1"/>
  <c r="I244" i="11"/>
  <c r="G244" i="11"/>
  <c r="H244" i="11" s="1"/>
  <c r="O243" i="11"/>
  <c r="N243" i="11"/>
  <c r="I243" i="11"/>
  <c r="H243" i="11"/>
  <c r="G243" i="11"/>
  <c r="N242" i="11"/>
  <c r="O242" i="11" s="1"/>
  <c r="I242" i="11"/>
  <c r="H242" i="11"/>
  <c r="G242" i="11"/>
  <c r="N241" i="11"/>
  <c r="O241" i="11" s="1"/>
  <c r="I241" i="11"/>
  <c r="G241" i="11"/>
  <c r="H241" i="11" s="1"/>
  <c r="N240" i="11"/>
  <c r="O240" i="11" s="1"/>
  <c r="I240" i="11"/>
  <c r="G240" i="11"/>
  <c r="H240" i="11" s="1"/>
  <c r="O239" i="11"/>
  <c r="N239" i="11"/>
  <c r="I239" i="11"/>
  <c r="H239" i="11"/>
  <c r="G239" i="11"/>
  <c r="N238" i="11"/>
  <c r="O238" i="11" s="1"/>
  <c r="I238" i="11"/>
  <c r="H238" i="11"/>
  <c r="G238" i="11"/>
  <c r="N237" i="11"/>
  <c r="O237" i="11" s="1"/>
  <c r="I237" i="11"/>
  <c r="G237" i="11"/>
  <c r="H237" i="11" s="1"/>
  <c r="N236" i="11"/>
  <c r="O236" i="11" s="1"/>
  <c r="I236" i="11"/>
  <c r="G236" i="11"/>
  <c r="H236" i="11" s="1"/>
  <c r="O235" i="11"/>
  <c r="N235" i="11"/>
  <c r="I235" i="11"/>
  <c r="H235" i="11"/>
  <c r="G235" i="11"/>
  <c r="N234" i="11"/>
  <c r="O234" i="11" s="1"/>
  <c r="I234" i="11"/>
  <c r="H234" i="11"/>
  <c r="G234" i="11"/>
  <c r="N233" i="11"/>
  <c r="O233" i="11" s="1"/>
  <c r="I233" i="11"/>
  <c r="G233" i="11"/>
  <c r="H233" i="11" s="1"/>
  <c r="N232" i="11"/>
  <c r="O232" i="11" s="1"/>
  <c r="I232" i="11"/>
  <c r="G232" i="11"/>
  <c r="H232" i="11" s="1"/>
  <c r="O231" i="11"/>
  <c r="N231" i="11"/>
  <c r="I231" i="11"/>
  <c r="H231" i="11"/>
  <c r="G231" i="11"/>
  <c r="N230" i="11"/>
  <c r="O230" i="11" s="1"/>
  <c r="I230" i="11"/>
  <c r="H230" i="11"/>
  <c r="G230" i="11"/>
  <c r="N229" i="11"/>
  <c r="O229" i="11" s="1"/>
  <c r="I229" i="11"/>
  <c r="G229" i="11"/>
  <c r="H229" i="11" s="1"/>
  <c r="N228" i="11"/>
  <c r="O228" i="11" s="1"/>
  <c r="I228" i="11"/>
  <c r="G228" i="11"/>
  <c r="H228" i="11" s="1"/>
  <c r="O227" i="11"/>
  <c r="N227" i="11"/>
  <c r="I227" i="11"/>
  <c r="H227" i="11"/>
  <c r="G227" i="11"/>
  <c r="G226" i="11"/>
  <c r="H226" i="11" s="1"/>
  <c r="I226" i="11" s="1"/>
  <c r="G225" i="11"/>
  <c r="H225" i="11" s="1"/>
  <c r="I225" i="11" s="1"/>
  <c r="G224" i="11"/>
  <c r="H224" i="11" s="1"/>
  <c r="I224" i="11" s="1"/>
  <c r="H223" i="11"/>
  <c r="I223" i="11" s="1"/>
  <c r="G223" i="11"/>
  <c r="G222" i="11"/>
  <c r="H222" i="11" s="1"/>
  <c r="I222" i="11" s="1"/>
  <c r="G221" i="11"/>
  <c r="H221" i="11" s="1"/>
  <c r="I221" i="11" s="1"/>
  <c r="G220" i="11"/>
  <c r="H220" i="11" s="1"/>
  <c r="I220" i="11" s="1"/>
  <c r="N219" i="11"/>
  <c r="O219" i="11" s="1"/>
  <c r="I219" i="11"/>
  <c r="H219" i="11"/>
  <c r="G219" i="11"/>
  <c r="I218" i="11"/>
  <c r="G218" i="11"/>
  <c r="H218" i="11" s="1"/>
  <c r="H217" i="11"/>
  <c r="I217" i="11" s="1"/>
  <c r="G217" i="11"/>
  <c r="H216" i="11"/>
  <c r="I216" i="11" s="1"/>
  <c r="G216" i="11"/>
  <c r="H215" i="11"/>
  <c r="I215" i="11" s="1"/>
  <c r="G215" i="11"/>
  <c r="I214" i="11"/>
  <c r="G214" i="11"/>
  <c r="H214" i="11" s="1"/>
  <c r="N213" i="11"/>
  <c r="G213" i="11"/>
  <c r="H213" i="11" s="1"/>
  <c r="I213" i="11" s="1"/>
  <c r="N212" i="11"/>
  <c r="I212" i="11"/>
  <c r="G212" i="11"/>
  <c r="H212" i="11" s="1"/>
  <c r="N211" i="11"/>
  <c r="G211" i="11"/>
  <c r="H211" i="11" s="1"/>
  <c r="I211" i="11" s="1"/>
  <c r="N210" i="11"/>
  <c r="I210" i="11"/>
  <c r="G210" i="11"/>
  <c r="H210" i="11" s="1"/>
  <c r="N209" i="11"/>
  <c r="G209" i="11"/>
  <c r="H209" i="11" s="1"/>
  <c r="I209" i="11" s="1"/>
  <c r="N208" i="11"/>
  <c r="I208" i="11"/>
  <c r="G208" i="11"/>
  <c r="H208" i="11" s="1"/>
  <c r="N207" i="11"/>
  <c r="G207" i="11"/>
  <c r="H207" i="11" s="1"/>
  <c r="I207" i="11" s="1"/>
  <c r="H206" i="11"/>
  <c r="I206" i="11" s="1"/>
  <c r="G206" i="11"/>
  <c r="H205" i="11"/>
  <c r="I205" i="11" s="1"/>
  <c r="G205" i="11"/>
  <c r="I204" i="11"/>
  <c r="G204" i="11"/>
  <c r="H204" i="11" s="1"/>
  <c r="G203" i="11"/>
  <c r="H203" i="11" s="1"/>
  <c r="I203" i="11" s="1"/>
  <c r="H202" i="11"/>
  <c r="I202" i="11" s="1"/>
  <c r="G202" i="11"/>
  <c r="G201" i="11"/>
  <c r="H201" i="11" s="1"/>
  <c r="I201" i="11" s="1"/>
  <c r="H200" i="11"/>
  <c r="I200" i="11" s="1"/>
  <c r="G200" i="11"/>
  <c r="G199" i="11"/>
  <c r="H199" i="11" s="1"/>
  <c r="I199" i="11" s="1"/>
  <c r="H198" i="11"/>
  <c r="I198" i="11" s="1"/>
  <c r="G198" i="11"/>
  <c r="N197" i="11"/>
  <c r="H197" i="11"/>
  <c r="I197" i="11" s="1"/>
  <c r="G197" i="11"/>
  <c r="N196" i="11"/>
  <c r="H196" i="11"/>
  <c r="I196" i="11" s="1"/>
  <c r="G196" i="11"/>
  <c r="N195" i="11"/>
  <c r="H195" i="11"/>
  <c r="I195" i="11" s="1"/>
  <c r="G195" i="11"/>
  <c r="N194" i="11"/>
  <c r="H194" i="11"/>
  <c r="I194" i="11" s="1"/>
  <c r="G194" i="11"/>
  <c r="N193" i="11"/>
  <c r="H193" i="11"/>
  <c r="I193" i="11" s="1"/>
  <c r="G193" i="11"/>
  <c r="G192" i="11"/>
  <c r="H192" i="11" s="1"/>
  <c r="I192" i="11" s="1"/>
  <c r="H191" i="11"/>
  <c r="I191" i="11" s="1"/>
  <c r="G191" i="11"/>
  <c r="G190" i="11"/>
  <c r="H190" i="11" s="1"/>
  <c r="I190" i="11" s="1"/>
  <c r="AA189" i="11"/>
  <c r="G189" i="11"/>
  <c r="H189" i="11" s="1"/>
  <c r="I189" i="11" s="1"/>
  <c r="AA188" i="11"/>
  <c r="G188" i="11"/>
  <c r="H188" i="11" s="1"/>
  <c r="I188" i="11" s="1"/>
  <c r="AA187" i="11"/>
  <c r="G187" i="11"/>
  <c r="H187" i="11" s="1"/>
  <c r="I187" i="11" s="1"/>
  <c r="AA186" i="11"/>
  <c r="N186" i="11"/>
  <c r="H186" i="11"/>
  <c r="I186" i="11" s="1"/>
  <c r="G186" i="11"/>
  <c r="AA185" i="11"/>
  <c r="N185" i="11"/>
  <c r="G185" i="11"/>
  <c r="H185" i="11" s="1"/>
  <c r="I185" i="11" s="1"/>
  <c r="AA184" i="11"/>
  <c r="N184" i="11"/>
  <c r="H184" i="11"/>
  <c r="I184" i="11" s="1"/>
  <c r="G184" i="11"/>
  <c r="AA183" i="11"/>
  <c r="N183" i="11"/>
  <c r="G183" i="11"/>
  <c r="H183" i="11" s="1"/>
  <c r="I183" i="11" s="1"/>
  <c r="AA182" i="11"/>
  <c r="N182" i="11"/>
  <c r="H182" i="11"/>
  <c r="I182" i="11" s="1"/>
  <c r="G182" i="11"/>
  <c r="AA181" i="11"/>
  <c r="H181" i="11"/>
  <c r="I181" i="11" s="1"/>
  <c r="G181" i="11"/>
  <c r="AA180" i="11"/>
  <c r="N180" i="11"/>
  <c r="I180" i="11"/>
  <c r="H180" i="11"/>
  <c r="AA179" i="11"/>
  <c r="H179" i="11"/>
  <c r="I179" i="11" s="1"/>
  <c r="G179" i="11"/>
  <c r="AA178" i="11"/>
  <c r="H178" i="11"/>
  <c r="I178" i="11" s="1"/>
  <c r="G178" i="11"/>
  <c r="AA177" i="11"/>
  <c r="N177" i="11"/>
  <c r="G177" i="11"/>
  <c r="H177" i="11" s="1"/>
  <c r="I177" i="11" s="1"/>
  <c r="AA176" i="11"/>
  <c r="N176" i="11"/>
  <c r="H176" i="11"/>
  <c r="I176" i="11" s="1"/>
  <c r="G176" i="11"/>
  <c r="AA175" i="11"/>
  <c r="N175" i="11"/>
  <c r="G175" i="11"/>
  <c r="H175" i="11" s="1"/>
  <c r="I175" i="11" s="1"/>
  <c r="AA174" i="11"/>
  <c r="N174" i="11"/>
  <c r="H174" i="11"/>
  <c r="I174" i="11" s="1"/>
  <c r="G174" i="11"/>
  <c r="AA173" i="11"/>
  <c r="N173" i="11"/>
  <c r="G173" i="11"/>
  <c r="H173" i="11" s="1"/>
  <c r="I173" i="11" s="1"/>
  <c r="AA172" i="11"/>
  <c r="N172" i="11"/>
  <c r="H172" i="11"/>
  <c r="I172" i="11" s="1"/>
  <c r="G172" i="11"/>
  <c r="AA171" i="11"/>
  <c r="N171" i="11"/>
  <c r="G171" i="11"/>
  <c r="H171" i="11" s="1"/>
  <c r="I171" i="11" s="1"/>
  <c r="AA170" i="11"/>
  <c r="N170" i="11"/>
  <c r="H170" i="11"/>
  <c r="I170" i="11" s="1"/>
  <c r="AA169" i="11"/>
  <c r="N169" i="11"/>
  <c r="H169" i="11"/>
  <c r="I169" i="11" s="1"/>
  <c r="G169" i="11"/>
  <c r="AA168" i="11"/>
  <c r="H168" i="11"/>
  <c r="I168" i="11" s="1"/>
  <c r="G168" i="11"/>
  <c r="AA167" i="11"/>
  <c r="H167" i="11"/>
  <c r="I167" i="11" s="1"/>
  <c r="G167" i="11"/>
  <c r="AA166" i="11"/>
  <c r="N166" i="11"/>
  <c r="G166" i="11"/>
  <c r="H166" i="11" s="1"/>
  <c r="I166" i="11" s="1"/>
  <c r="AA165" i="11"/>
  <c r="N165" i="11"/>
  <c r="H165" i="11"/>
  <c r="I165" i="11" s="1"/>
  <c r="G165" i="11"/>
  <c r="AA164" i="11"/>
  <c r="N164" i="11"/>
  <c r="G164" i="11"/>
  <c r="H164" i="11" s="1"/>
  <c r="I164" i="11" s="1"/>
  <c r="AA163" i="11"/>
  <c r="N163" i="11"/>
  <c r="H163" i="11"/>
  <c r="I163" i="11" s="1"/>
  <c r="G163" i="11"/>
  <c r="AA162" i="11"/>
  <c r="N162" i="11"/>
  <c r="G162" i="11"/>
  <c r="H162" i="11" s="1"/>
  <c r="I162" i="11" s="1"/>
  <c r="AA161" i="11"/>
  <c r="G161" i="11"/>
  <c r="H161" i="11" s="1"/>
  <c r="I161" i="11" s="1"/>
  <c r="AA160" i="11"/>
  <c r="N160" i="11"/>
  <c r="H160" i="11"/>
  <c r="I160" i="11" s="1"/>
  <c r="G160" i="11"/>
  <c r="AA159" i="11"/>
  <c r="N159" i="11"/>
  <c r="G159" i="11"/>
  <c r="H159" i="11" s="1"/>
  <c r="I159" i="11" s="1"/>
  <c r="AA158" i="11"/>
  <c r="H158" i="11"/>
  <c r="I158" i="11" s="1"/>
  <c r="G158" i="11"/>
  <c r="AA157" i="11"/>
  <c r="N157" i="11"/>
  <c r="G157" i="11"/>
  <c r="H157" i="11" s="1"/>
  <c r="I157" i="11" s="1"/>
  <c r="AA156" i="11"/>
  <c r="N156" i="11"/>
  <c r="H156" i="11"/>
  <c r="I156" i="11" s="1"/>
  <c r="G156" i="11"/>
  <c r="AA155" i="11"/>
  <c r="N155" i="11"/>
  <c r="I155" i="11"/>
  <c r="H155" i="11"/>
  <c r="AA154" i="11"/>
  <c r="N154" i="11"/>
  <c r="G154" i="11"/>
  <c r="H154" i="11" s="1"/>
  <c r="I154" i="11" s="1"/>
  <c r="AA153" i="11"/>
  <c r="N153" i="11"/>
  <c r="H153" i="11"/>
  <c r="I153" i="11" s="1"/>
  <c r="G153" i="11"/>
  <c r="AA152" i="11"/>
  <c r="N152" i="11"/>
  <c r="G152" i="11"/>
  <c r="H152" i="11" s="1"/>
  <c r="I152" i="11" s="1"/>
  <c r="AA151" i="11"/>
  <c r="N151" i="11"/>
  <c r="H151" i="11"/>
  <c r="I151" i="11" s="1"/>
  <c r="G151" i="11"/>
  <c r="AA150" i="11"/>
  <c r="N150" i="11"/>
  <c r="G150" i="11"/>
  <c r="H150" i="11" s="1"/>
  <c r="I150" i="11" s="1"/>
  <c r="AA149" i="11"/>
  <c r="N149" i="11"/>
  <c r="H149" i="11"/>
  <c r="I149" i="11" s="1"/>
  <c r="G149" i="11"/>
  <c r="AA148" i="11"/>
  <c r="H148" i="11"/>
  <c r="I148" i="11" s="1"/>
  <c r="G148" i="11"/>
  <c r="G147" i="11"/>
  <c r="H147" i="11" s="1"/>
  <c r="I147" i="11" s="1"/>
  <c r="H146" i="11"/>
  <c r="I146" i="11" s="1"/>
  <c r="G146" i="11"/>
  <c r="G145" i="11"/>
  <c r="H145" i="11" s="1"/>
  <c r="I145" i="11" s="1"/>
  <c r="H144" i="11"/>
  <c r="I144" i="11" s="1"/>
  <c r="G144" i="11"/>
  <c r="N143" i="11"/>
  <c r="H143" i="11"/>
  <c r="I143" i="11" s="1"/>
  <c r="G143" i="11"/>
  <c r="G142" i="11"/>
  <c r="H142" i="11" s="1"/>
  <c r="I142" i="11" s="1"/>
  <c r="H141" i="11"/>
  <c r="I141" i="11" s="1"/>
  <c r="G141" i="11"/>
  <c r="G140" i="11"/>
  <c r="H140" i="11" s="1"/>
  <c r="I140" i="11" s="1"/>
  <c r="N139" i="11"/>
  <c r="G139" i="11"/>
  <c r="H139" i="11" s="1"/>
  <c r="I139" i="11" s="1"/>
  <c r="H138" i="11"/>
  <c r="I138" i="11" s="1"/>
  <c r="G138" i="11"/>
  <c r="G137" i="11"/>
  <c r="H137" i="11" s="1"/>
  <c r="I137" i="11" s="1"/>
  <c r="H136" i="11"/>
  <c r="I136" i="11" s="1"/>
  <c r="G136" i="11"/>
  <c r="N135" i="11"/>
  <c r="H135" i="11"/>
  <c r="I135" i="11" s="1"/>
  <c r="N134" i="11"/>
  <c r="G134" i="11"/>
  <c r="H134" i="11" s="1"/>
  <c r="I134" i="11" s="1"/>
  <c r="N133" i="11"/>
  <c r="G133" i="11"/>
  <c r="H133" i="11" s="1"/>
  <c r="I133" i="11" s="1"/>
  <c r="N132" i="11"/>
  <c r="G132" i="11"/>
  <c r="H132" i="11" s="1"/>
  <c r="I132" i="11" s="1"/>
  <c r="N131" i="11"/>
  <c r="G131" i="11"/>
  <c r="H131" i="11" s="1"/>
  <c r="I131" i="11" s="1"/>
  <c r="H130" i="11"/>
  <c r="I130" i="11" s="1"/>
  <c r="G130" i="11"/>
  <c r="I129" i="11"/>
  <c r="H129" i="11"/>
  <c r="G128" i="11"/>
  <c r="H128" i="11" s="1"/>
  <c r="I128" i="11" s="1"/>
  <c r="H127" i="11"/>
  <c r="I127" i="11" s="1"/>
  <c r="G127" i="11"/>
  <c r="N126" i="11"/>
  <c r="H126" i="11"/>
  <c r="I126" i="11" s="1"/>
  <c r="G126" i="11"/>
  <c r="AA125" i="11"/>
  <c r="N125" i="11"/>
  <c r="G125" i="11"/>
  <c r="H125" i="11" s="1"/>
  <c r="I125" i="11" s="1"/>
  <c r="N124" i="11"/>
  <c r="G124" i="11"/>
  <c r="H124" i="11" s="1"/>
  <c r="I124" i="11" s="1"/>
  <c r="N123" i="11"/>
  <c r="G123" i="11"/>
  <c r="H123" i="11" s="1"/>
  <c r="I123" i="11" s="1"/>
  <c r="N122" i="11"/>
  <c r="G122" i="11"/>
  <c r="H122" i="11" s="1"/>
  <c r="I122" i="11" s="1"/>
  <c r="H121" i="11"/>
  <c r="I121" i="11" s="1"/>
  <c r="G121" i="11"/>
  <c r="G120" i="11"/>
  <c r="H120" i="11" s="1"/>
  <c r="I120" i="11" s="1"/>
  <c r="N119" i="11"/>
  <c r="G119" i="11"/>
  <c r="H119" i="11" s="1"/>
  <c r="I119" i="11" s="1"/>
  <c r="AA118" i="11"/>
  <c r="G118" i="11"/>
  <c r="H118" i="11" s="1"/>
  <c r="I118" i="11" s="1"/>
  <c r="AA117" i="11"/>
  <c r="G117" i="11"/>
  <c r="H117" i="11" s="1"/>
  <c r="I117" i="11" s="1"/>
  <c r="AA116" i="11"/>
  <c r="G116" i="11"/>
  <c r="H116" i="11" s="1"/>
  <c r="I116" i="11" s="1"/>
  <c r="AA115" i="11"/>
  <c r="N115" i="11"/>
  <c r="H115" i="11"/>
  <c r="I115" i="11" s="1"/>
  <c r="G115" i="11"/>
  <c r="AA114" i="11"/>
  <c r="N114" i="11"/>
  <c r="G114" i="11"/>
  <c r="H114" i="11" s="1"/>
  <c r="I114" i="11" s="1"/>
  <c r="AA113" i="11"/>
  <c r="N113" i="11"/>
  <c r="H113" i="11"/>
  <c r="I113" i="11" s="1"/>
  <c r="G113" i="11"/>
  <c r="AA112" i="11"/>
  <c r="N112" i="11"/>
  <c r="G112" i="11"/>
  <c r="H112" i="11" s="1"/>
  <c r="I112" i="11" s="1"/>
  <c r="AA111" i="11"/>
  <c r="N111" i="11"/>
  <c r="H111" i="11"/>
  <c r="I111" i="11" s="1"/>
  <c r="G111" i="11"/>
  <c r="AA110" i="11"/>
  <c r="H110" i="11"/>
  <c r="I110" i="11" s="1"/>
  <c r="G110" i="11"/>
  <c r="AA109" i="11"/>
  <c r="N109" i="11"/>
  <c r="O109" i="11" s="1"/>
  <c r="H109" i="11"/>
  <c r="I109" i="11" s="1"/>
  <c r="G109" i="11"/>
  <c r="AA108" i="11"/>
  <c r="H108" i="11"/>
  <c r="I108" i="11" s="1"/>
  <c r="G108" i="11"/>
  <c r="AA107" i="11"/>
  <c r="N107" i="11"/>
  <c r="G107" i="11"/>
  <c r="H107" i="11" s="1"/>
  <c r="I107" i="11" s="1"/>
  <c r="AA106" i="11"/>
  <c r="N106" i="11"/>
  <c r="H106" i="11"/>
  <c r="I106" i="11" s="1"/>
  <c r="G106" i="11"/>
  <c r="AA105" i="11"/>
  <c r="N105" i="11"/>
  <c r="G105" i="11"/>
  <c r="H105" i="11" s="1"/>
  <c r="I105" i="11" s="1"/>
  <c r="AA104" i="11"/>
  <c r="N104" i="11"/>
  <c r="H104" i="11"/>
  <c r="I104" i="11" s="1"/>
  <c r="G104" i="11"/>
  <c r="AA103" i="11"/>
  <c r="G103" i="11"/>
  <c r="H103" i="11" s="1"/>
  <c r="I103" i="11" s="1"/>
  <c r="AA102" i="11"/>
  <c r="G102" i="11"/>
  <c r="H102" i="11" s="1"/>
  <c r="I102" i="11" s="1"/>
  <c r="AA101" i="11"/>
  <c r="N101" i="11"/>
  <c r="H101" i="11"/>
  <c r="I101" i="11" s="1"/>
  <c r="G101" i="11"/>
  <c r="AA100" i="11"/>
  <c r="N100" i="11"/>
  <c r="G100" i="11"/>
  <c r="H100" i="11" s="1"/>
  <c r="I100" i="11" s="1"/>
  <c r="AA99" i="11"/>
  <c r="N99" i="11"/>
  <c r="H99" i="11"/>
  <c r="I99" i="11" s="1"/>
  <c r="G99" i="11"/>
  <c r="AA98" i="11"/>
  <c r="N98" i="11"/>
  <c r="G98" i="11"/>
  <c r="H98" i="11" s="1"/>
  <c r="I98" i="11" s="1"/>
  <c r="AA97" i="11"/>
  <c r="N97" i="11"/>
  <c r="H97" i="11"/>
  <c r="I97" i="11" s="1"/>
  <c r="G97" i="11"/>
  <c r="AA96" i="11"/>
  <c r="N96" i="11"/>
  <c r="G96" i="11"/>
  <c r="H96" i="11" s="1"/>
  <c r="I96" i="11" s="1"/>
  <c r="AA95" i="11"/>
  <c r="N95" i="11"/>
  <c r="H95" i="11"/>
  <c r="I95" i="11" s="1"/>
  <c r="G95" i="11"/>
  <c r="AA94" i="11"/>
  <c r="N94" i="11"/>
  <c r="G94" i="11"/>
  <c r="H94" i="11" s="1"/>
  <c r="I94" i="11" s="1"/>
  <c r="AA93" i="11"/>
  <c r="G93" i="11"/>
  <c r="H93" i="11" s="1"/>
  <c r="I93" i="11" s="1"/>
  <c r="AA92" i="11"/>
  <c r="G92" i="11"/>
  <c r="H92" i="11" s="1"/>
  <c r="I92" i="11" s="1"/>
  <c r="AA91" i="11"/>
  <c r="O91" i="11"/>
  <c r="N91" i="11"/>
  <c r="I91" i="11"/>
  <c r="H91" i="11"/>
  <c r="AA90" i="11"/>
  <c r="H90" i="11"/>
  <c r="I90" i="11" s="1"/>
  <c r="G90" i="11"/>
  <c r="AA89" i="11"/>
  <c r="N89" i="11"/>
  <c r="O89" i="11" s="1"/>
  <c r="H89" i="11"/>
  <c r="I89" i="11" s="1"/>
  <c r="G89" i="11"/>
  <c r="AA88" i="11"/>
  <c r="H88" i="11"/>
  <c r="I88" i="11" s="1"/>
  <c r="G88" i="11"/>
  <c r="AA87" i="11"/>
  <c r="N87" i="11"/>
  <c r="O87" i="11" s="1"/>
  <c r="H87" i="11"/>
  <c r="I87" i="11" s="1"/>
  <c r="G87" i="11"/>
  <c r="AA86" i="11"/>
  <c r="N86" i="11"/>
  <c r="G86" i="11"/>
  <c r="H86" i="11" s="1"/>
  <c r="I86" i="11" s="1"/>
  <c r="AA85" i="11"/>
  <c r="N85" i="11"/>
  <c r="H85" i="11"/>
  <c r="I85" i="11" s="1"/>
  <c r="G85" i="11"/>
  <c r="AA84" i="11"/>
  <c r="H84" i="11"/>
  <c r="I84" i="11" s="1"/>
  <c r="G84" i="11"/>
  <c r="AA83" i="11"/>
  <c r="N83" i="11"/>
  <c r="G83" i="11"/>
  <c r="H83" i="11" s="1"/>
  <c r="I83" i="11" s="1"/>
  <c r="AA82" i="11"/>
  <c r="N82" i="11"/>
  <c r="H82" i="11"/>
  <c r="I82" i="11" s="1"/>
  <c r="G82" i="11"/>
  <c r="AA81" i="11"/>
  <c r="N81" i="11"/>
  <c r="G81" i="11"/>
  <c r="H81" i="11" s="1"/>
  <c r="I81" i="11" s="1"/>
  <c r="AA80" i="11"/>
  <c r="N80" i="11"/>
  <c r="H80" i="11"/>
  <c r="I80" i="11" s="1"/>
  <c r="G80" i="11"/>
  <c r="AA79" i="11"/>
  <c r="N79" i="11"/>
  <c r="G79" i="11"/>
  <c r="H79" i="11" s="1"/>
  <c r="I79" i="11" s="1"/>
  <c r="AA78" i="11"/>
  <c r="N78" i="11"/>
  <c r="H78" i="11"/>
  <c r="I78" i="11" s="1"/>
  <c r="G78" i="11"/>
  <c r="AA77" i="11"/>
  <c r="N77" i="11"/>
  <c r="O77" i="11" s="1"/>
  <c r="H77" i="11"/>
  <c r="I77" i="11" s="1"/>
  <c r="G77" i="11"/>
  <c r="AA76" i="11"/>
  <c r="H76" i="11"/>
  <c r="I76" i="11" s="1"/>
  <c r="G76" i="11"/>
  <c r="AA75" i="11"/>
  <c r="N75" i="11"/>
  <c r="O75" i="11" s="1"/>
  <c r="H75" i="11"/>
  <c r="I75" i="11" s="1"/>
  <c r="G75" i="11"/>
  <c r="AA74" i="11"/>
  <c r="N74" i="11"/>
  <c r="G74" i="11"/>
  <c r="H74" i="11" s="1"/>
  <c r="I74" i="11" s="1"/>
  <c r="AA73" i="11"/>
  <c r="N73" i="11"/>
  <c r="H73" i="11"/>
  <c r="I73" i="11" s="1"/>
  <c r="AA72" i="11"/>
  <c r="O72" i="11"/>
  <c r="N72" i="11"/>
  <c r="I72" i="11"/>
  <c r="H72" i="11"/>
  <c r="AA71" i="11"/>
  <c r="N71" i="11"/>
  <c r="O71" i="11" s="1"/>
  <c r="H71" i="11"/>
  <c r="I71" i="11" s="1"/>
  <c r="G71" i="11"/>
  <c r="AA70" i="11"/>
  <c r="N70" i="11"/>
  <c r="I70" i="11"/>
  <c r="H70" i="11"/>
  <c r="AA69" i="11"/>
  <c r="N69" i="11"/>
  <c r="G69" i="11"/>
  <c r="H69" i="11" s="1"/>
  <c r="I69" i="11" s="1"/>
  <c r="AA68" i="11"/>
  <c r="N68" i="11"/>
  <c r="H68" i="11"/>
  <c r="I68" i="11" s="1"/>
  <c r="G68" i="11"/>
  <c r="AA67" i="11"/>
  <c r="N67" i="11"/>
  <c r="I67" i="11"/>
  <c r="H67" i="11"/>
  <c r="AA66" i="11"/>
  <c r="N66" i="11"/>
  <c r="G66" i="11"/>
  <c r="H66" i="11" s="1"/>
  <c r="I66" i="11" s="1"/>
  <c r="AA65" i="11"/>
  <c r="G65" i="11"/>
  <c r="H65" i="11" s="1"/>
  <c r="I65" i="11" s="1"/>
  <c r="AA64" i="11"/>
  <c r="U64" i="11"/>
  <c r="N64" i="11"/>
  <c r="O64" i="11" s="1"/>
  <c r="H64" i="11"/>
  <c r="I64" i="11" s="1"/>
  <c r="AA63" i="11"/>
  <c r="U63" i="11"/>
  <c r="N63" i="11"/>
  <c r="G63" i="11"/>
  <c r="H63" i="11" s="1"/>
  <c r="I63" i="11" s="1"/>
  <c r="AA62" i="11"/>
  <c r="U62" i="11"/>
  <c r="N62" i="11"/>
  <c r="G62" i="11"/>
  <c r="H62" i="11" s="1"/>
  <c r="I62" i="11" s="1"/>
  <c r="AA61" i="11"/>
  <c r="U61" i="11"/>
  <c r="N61" i="11"/>
  <c r="G61" i="11"/>
  <c r="H61" i="11" s="1"/>
  <c r="I61" i="11" s="1"/>
  <c r="AA60" i="11"/>
  <c r="U60" i="11"/>
  <c r="N60" i="11"/>
  <c r="G60" i="11"/>
  <c r="H60" i="11" s="1"/>
  <c r="I60" i="11" s="1"/>
  <c r="AA59" i="11"/>
  <c r="U59" i="11"/>
  <c r="N59" i="11"/>
  <c r="G59" i="11"/>
  <c r="H59" i="11" s="1"/>
  <c r="I59" i="11" s="1"/>
  <c r="AA58" i="11"/>
  <c r="U58" i="11"/>
  <c r="N58" i="11"/>
  <c r="G58" i="11"/>
  <c r="H58" i="11" s="1"/>
  <c r="I58" i="11" s="1"/>
  <c r="AA57" i="11"/>
  <c r="U57" i="11"/>
  <c r="N57" i="11"/>
  <c r="G57" i="11"/>
  <c r="H57" i="11" s="1"/>
  <c r="I57" i="11" s="1"/>
  <c r="AA56" i="11"/>
  <c r="U56" i="11"/>
  <c r="N56" i="11"/>
  <c r="O56" i="11" s="1"/>
  <c r="H56" i="11"/>
  <c r="I56" i="11" s="1"/>
  <c r="G56" i="11"/>
  <c r="AA55" i="11"/>
  <c r="U55" i="11"/>
  <c r="N55" i="11"/>
  <c r="H55" i="11"/>
  <c r="I55" i="11" s="1"/>
  <c r="G55" i="11"/>
  <c r="AA54" i="11"/>
  <c r="U54" i="11"/>
  <c r="N54" i="11"/>
  <c r="H54" i="11"/>
  <c r="I54" i="11" s="1"/>
  <c r="G54" i="11"/>
  <c r="AA53" i="11"/>
  <c r="U53" i="11"/>
  <c r="N190" i="11" s="1"/>
  <c r="O190" i="11" s="1"/>
  <c r="N53" i="11"/>
  <c r="H53" i="11"/>
  <c r="I53" i="11" s="1"/>
  <c r="G53" i="11"/>
  <c r="AA52" i="11"/>
  <c r="U52" i="11"/>
  <c r="N52" i="11"/>
  <c r="O52" i="11" s="1"/>
  <c r="H52" i="11"/>
  <c r="I52" i="11" s="1"/>
  <c r="G52" i="11"/>
  <c r="AA51" i="11"/>
  <c r="U51" i="11"/>
  <c r="G51" i="11"/>
  <c r="H51" i="11" s="1"/>
  <c r="I51" i="11" s="1"/>
  <c r="AA50" i="11"/>
  <c r="U50" i="11"/>
  <c r="N50" i="11"/>
  <c r="I50" i="11"/>
  <c r="H50" i="11"/>
  <c r="AA49" i="11"/>
  <c r="U49" i="11"/>
  <c r="N49" i="11"/>
  <c r="H49" i="11"/>
  <c r="I49" i="11" s="1"/>
  <c r="G49" i="11"/>
  <c r="AA48" i="11"/>
  <c r="U48" i="11"/>
  <c r="N48" i="11"/>
  <c r="H48" i="11"/>
  <c r="I48" i="11" s="1"/>
  <c r="G48" i="11"/>
  <c r="AA47" i="11"/>
  <c r="U47" i="11"/>
  <c r="N47" i="11"/>
  <c r="H47" i="11"/>
  <c r="I47" i="11" s="1"/>
  <c r="G47" i="11"/>
  <c r="AA46" i="11"/>
  <c r="U46" i="11"/>
  <c r="G46" i="11"/>
  <c r="H46" i="11" s="1"/>
  <c r="I46" i="11" s="1"/>
  <c r="AA45" i="11"/>
  <c r="U45" i="11"/>
  <c r="N45" i="11"/>
  <c r="G45" i="11"/>
  <c r="H45" i="11" s="1"/>
  <c r="I45" i="11" s="1"/>
  <c r="AA44" i="11"/>
  <c r="U44" i="11"/>
  <c r="N218" i="11" s="1"/>
  <c r="O218" i="11" s="1"/>
  <c r="N44" i="11"/>
  <c r="O44" i="11" s="1"/>
  <c r="H44" i="11"/>
  <c r="I44" i="11" s="1"/>
  <c r="G44" i="11"/>
  <c r="AA43" i="11"/>
  <c r="U43" i="11"/>
  <c r="O43" i="11"/>
  <c r="N43" i="11"/>
  <c r="G43" i="11"/>
  <c r="H43" i="11" s="1"/>
  <c r="I43" i="11" s="1"/>
  <c r="AA42" i="11"/>
  <c r="U42" i="11"/>
  <c r="N42" i="11"/>
  <c r="O42" i="11" s="1"/>
  <c r="H42" i="11"/>
  <c r="I42" i="11" s="1"/>
  <c r="G42" i="11"/>
  <c r="AA41" i="11"/>
  <c r="U41" i="11"/>
  <c r="N41" i="11"/>
  <c r="H41" i="11"/>
  <c r="I41" i="11" s="1"/>
  <c r="G41" i="11"/>
  <c r="AA40" i="11"/>
  <c r="U40" i="11"/>
  <c r="N40" i="11"/>
  <c r="H40" i="11"/>
  <c r="I40" i="11" s="1"/>
  <c r="G40" i="11"/>
  <c r="AA39" i="11"/>
  <c r="U39" i="11"/>
  <c r="N148" i="11" s="1"/>
  <c r="O148" i="11" s="1"/>
  <c r="G39" i="11"/>
  <c r="H39" i="11" s="1"/>
  <c r="I39" i="11" s="1"/>
  <c r="AA38" i="11"/>
  <c r="U38" i="11"/>
  <c r="N22" i="11" s="1"/>
  <c r="O22" i="11" s="1"/>
  <c r="N38" i="11"/>
  <c r="G38" i="11"/>
  <c r="H38" i="11" s="1"/>
  <c r="I38" i="11" s="1"/>
  <c r="AA37" i="11"/>
  <c r="U37" i="11"/>
  <c r="N216" i="11" s="1"/>
  <c r="O216" i="11" s="1"/>
  <c r="N37" i="11"/>
  <c r="G37" i="11"/>
  <c r="H37" i="11" s="1"/>
  <c r="I37" i="11" s="1"/>
  <c r="AA36" i="11"/>
  <c r="U36" i="11"/>
  <c r="N36" i="11"/>
  <c r="G36" i="11"/>
  <c r="H36" i="11" s="1"/>
  <c r="I36" i="11" s="1"/>
  <c r="AA35" i="11"/>
  <c r="U35" i="11"/>
  <c r="N35" i="11"/>
  <c r="G35" i="11"/>
  <c r="H35" i="11" s="1"/>
  <c r="I35" i="11" s="1"/>
  <c r="AA34" i="11"/>
  <c r="U34" i="11"/>
  <c r="N34" i="11"/>
  <c r="G34" i="11"/>
  <c r="H34" i="11" s="1"/>
  <c r="I34" i="11" s="1"/>
  <c r="AA33" i="11"/>
  <c r="U33" i="11"/>
  <c r="N33" i="11"/>
  <c r="G33" i="11"/>
  <c r="H33" i="11" s="1"/>
  <c r="I33" i="11" s="1"/>
  <c r="AA32" i="11"/>
  <c r="U32" i="11"/>
  <c r="N32" i="11"/>
  <c r="G32" i="11"/>
  <c r="H32" i="11" s="1"/>
  <c r="I32" i="11" s="1"/>
  <c r="AA31" i="11"/>
  <c r="U31" i="11"/>
  <c r="N31" i="11"/>
  <c r="O31" i="11" s="1"/>
  <c r="H31" i="11"/>
  <c r="I31" i="11" s="1"/>
  <c r="G31" i="11"/>
  <c r="AA30" i="11"/>
  <c r="U30" i="11"/>
  <c r="G30" i="11"/>
  <c r="H30" i="11" s="1"/>
  <c r="I30" i="11" s="1"/>
  <c r="AA29" i="11"/>
  <c r="U29" i="11"/>
  <c r="H29" i="11"/>
  <c r="I29" i="11" s="1"/>
  <c r="G29" i="11"/>
  <c r="AA28" i="11"/>
  <c r="U28" i="11"/>
  <c r="N137" i="11" s="1"/>
  <c r="O137" i="11" s="1"/>
  <c r="G28" i="11"/>
  <c r="H28" i="11" s="1"/>
  <c r="I28" i="11" s="1"/>
  <c r="AA27" i="11"/>
  <c r="U27" i="11"/>
  <c r="N29" i="11" s="1"/>
  <c r="O29" i="11" s="1"/>
  <c r="N27" i="11"/>
  <c r="G27" i="11"/>
  <c r="H27" i="11" s="1"/>
  <c r="I27" i="11" s="1"/>
  <c r="AA26" i="11"/>
  <c r="U26" i="11"/>
  <c r="N26" i="11"/>
  <c r="G26" i="11"/>
  <c r="H26" i="11" s="1"/>
  <c r="I26" i="11" s="1"/>
  <c r="AA25" i="11"/>
  <c r="U25" i="11"/>
  <c r="N25" i="11"/>
  <c r="G25" i="11"/>
  <c r="H25" i="11" s="1"/>
  <c r="I25" i="11" s="1"/>
  <c r="AA24" i="11"/>
  <c r="U24" i="11"/>
  <c r="N102" i="11" s="1"/>
  <c r="O102" i="11" s="1"/>
  <c r="N24" i="11"/>
  <c r="G24" i="11"/>
  <c r="H24" i="11" s="1"/>
  <c r="I24" i="11" s="1"/>
  <c r="AA23" i="11"/>
  <c r="U23" i="11"/>
  <c r="N23" i="11"/>
  <c r="G23" i="11"/>
  <c r="H23" i="11" s="1"/>
  <c r="I23" i="11" s="1"/>
  <c r="AA22" i="11"/>
  <c r="U22" i="11"/>
  <c r="H22" i="11"/>
  <c r="I22" i="11" s="1"/>
  <c r="G22" i="11"/>
  <c r="AA21" i="11"/>
  <c r="U21" i="11"/>
  <c r="G21" i="11"/>
  <c r="H21" i="11" s="1"/>
  <c r="I21" i="11" s="1"/>
  <c r="AA20" i="11"/>
  <c r="U20" i="11"/>
  <c r="N130" i="11" s="1"/>
  <c r="O130" i="11" s="1"/>
  <c r="N20" i="11"/>
  <c r="G20" i="11"/>
  <c r="H20" i="11" s="1"/>
  <c r="I20" i="11" s="1"/>
  <c r="AA19" i="11"/>
  <c r="U19" i="11"/>
  <c r="N19" i="11"/>
  <c r="I19" i="11"/>
  <c r="H19" i="11"/>
  <c r="AA18" i="11"/>
  <c r="U18" i="11"/>
  <c r="N18" i="11"/>
  <c r="H18" i="11"/>
  <c r="I18" i="11" s="1"/>
  <c r="G18" i="11"/>
  <c r="AA17" i="11"/>
  <c r="U17" i="11"/>
  <c r="N17" i="11"/>
  <c r="H17" i="11"/>
  <c r="I17" i="11" s="1"/>
  <c r="G17" i="11"/>
  <c r="AA16" i="11"/>
  <c r="U16" i="11"/>
  <c r="N136" i="11" s="1"/>
  <c r="O136" i="11" s="1"/>
  <c r="G16" i="11"/>
  <c r="H16" i="11" s="1"/>
  <c r="I16" i="11" s="1"/>
  <c r="AA15" i="11"/>
  <c r="U15" i="11"/>
  <c r="N121" i="11" s="1"/>
  <c r="O121" i="11" s="1"/>
  <c r="N15" i="11"/>
  <c r="O15" i="11" s="1"/>
  <c r="H15" i="11"/>
  <c r="I15" i="11" s="1"/>
  <c r="G15" i="11"/>
  <c r="AA14" i="11"/>
  <c r="U14" i="11"/>
  <c r="N215" i="11" s="1"/>
  <c r="O215" i="11" s="1"/>
  <c r="G14" i="11"/>
  <c r="H14" i="11" s="1"/>
  <c r="I14" i="11" s="1"/>
  <c r="AA13" i="11"/>
  <c r="U13" i="11"/>
  <c r="N13" i="11"/>
  <c r="G13" i="11"/>
  <c r="H13" i="11" s="1"/>
  <c r="I13" i="11" s="1"/>
  <c r="AA12" i="11"/>
  <c r="U12" i="11"/>
  <c r="N12" i="11"/>
  <c r="I12" i="11"/>
  <c r="H12" i="11"/>
  <c r="AA11" i="11"/>
  <c r="U11" i="11"/>
  <c r="N203" i="11" s="1"/>
  <c r="O203" i="11" s="1"/>
  <c r="G11" i="11"/>
  <c r="H11" i="11" s="1"/>
  <c r="I11" i="11" s="1"/>
  <c r="AA10" i="11"/>
  <c r="U10" i="11"/>
  <c r="N10" i="11"/>
  <c r="O10" i="11" s="1"/>
  <c r="H10" i="11"/>
  <c r="I10" i="11" s="1"/>
  <c r="G10" i="11"/>
  <c r="AA9" i="11"/>
  <c r="U9" i="11"/>
  <c r="N128" i="11" s="1"/>
  <c r="O128" i="11" s="1"/>
  <c r="G9" i="11"/>
  <c r="H9" i="11" s="1"/>
  <c r="I9" i="11" s="1"/>
  <c r="AA8" i="11"/>
  <c r="U8" i="11"/>
  <c r="N8" i="11"/>
  <c r="O8" i="11" s="1"/>
  <c r="H8" i="11"/>
  <c r="I8" i="11" s="1"/>
  <c r="G8" i="11"/>
  <c r="AA7" i="11"/>
  <c r="U7" i="11"/>
  <c r="N224" i="11" s="1"/>
  <c r="O224" i="11" s="1"/>
  <c r="G7" i="11"/>
  <c r="H7" i="11" s="1"/>
  <c r="I7" i="11" s="1"/>
  <c r="AA6" i="11"/>
  <c r="U6" i="11"/>
  <c r="N93" i="11" s="1"/>
  <c r="O93" i="11" s="1"/>
  <c r="N6" i="11"/>
  <c r="O6" i="11" s="1"/>
  <c r="H6" i="11"/>
  <c r="I6" i="11" s="1"/>
  <c r="G6" i="11"/>
  <c r="AA5" i="11"/>
  <c r="U5" i="11"/>
  <c r="N92" i="11" s="1"/>
  <c r="O92" i="11" s="1"/>
  <c r="O5" i="11"/>
  <c r="N5" i="11"/>
  <c r="G5" i="11"/>
  <c r="H5" i="11" s="1"/>
  <c r="I5" i="11" s="1"/>
  <c r="AA4" i="11"/>
  <c r="U4" i="11"/>
  <c r="N88" i="11" s="1"/>
  <c r="O88" i="11" s="1"/>
  <c r="N4" i="11"/>
  <c r="O4" i="11" s="1"/>
  <c r="H4" i="11"/>
  <c r="I4" i="11" s="1"/>
  <c r="G4" i="11"/>
  <c r="AA3" i="11"/>
  <c r="U3" i="11"/>
  <c r="N205" i="11" s="1"/>
  <c r="O205" i="11" s="1"/>
  <c r="O3" i="11"/>
  <c r="N3" i="11"/>
  <c r="G3" i="11"/>
  <c r="H3" i="11" s="1"/>
  <c r="O373" i="10"/>
  <c r="N373" i="10"/>
  <c r="I373" i="10"/>
  <c r="G373" i="10"/>
  <c r="H373" i="10" s="1"/>
  <c r="N372" i="10"/>
  <c r="O372" i="10" s="1"/>
  <c r="I372" i="10"/>
  <c r="H372" i="10"/>
  <c r="G372" i="10"/>
  <c r="O371" i="10"/>
  <c r="N371" i="10"/>
  <c r="I371" i="10"/>
  <c r="G371" i="10"/>
  <c r="H371" i="10" s="1"/>
  <c r="N370" i="10"/>
  <c r="O370" i="10" s="1"/>
  <c r="I370" i="10"/>
  <c r="H370" i="10"/>
  <c r="G370" i="10"/>
  <c r="O369" i="10"/>
  <c r="N369" i="10"/>
  <c r="I369" i="10"/>
  <c r="G369" i="10"/>
  <c r="H369" i="10" s="1"/>
  <c r="N368" i="10"/>
  <c r="O368" i="10" s="1"/>
  <c r="I368" i="10"/>
  <c r="H368" i="10"/>
  <c r="G368" i="10"/>
  <c r="O367" i="10"/>
  <c r="N367" i="10"/>
  <c r="I367" i="10"/>
  <c r="G367" i="10"/>
  <c r="H367" i="10" s="1"/>
  <c r="N366" i="10"/>
  <c r="O366" i="10" s="1"/>
  <c r="I366" i="10"/>
  <c r="H366" i="10"/>
  <c r="G366" i="10"/>
  <c r="O365" i="10"/>
  <c r="N365" i="10"/>
  <c r="I365" i="10"/>
  <c r="G365" i="10"/>
  <c r="H365" i="10" s="1"/>
  <c r="N364" i="10"/>
  <c r="O364" i="10" s="1"/>
  <c r="I364" i="10"/>
  <c r="H364" i="10"/>
  <c r="G364" i="10"/>
  <c r="O363" i="10"/>
  <c r="N363" i="10"/>
  <c r="I363" i="10"/>
  <c r="G363" i="10"/>
  <c r="H363" i="10" s="1"/>
  <c r="N362" i="10"/>
  <c r="O362" i="10" s="1"/>
  <c r="I362" i="10"/>
  <c r="H362" i="10"/>
  <c r="G362" i="10"/>
  <c r="O361" i="10"/>
  <c r="N361" i="10"/>
  <c r="I361" i="10"/>
  <c r="G361" i="10"/>
  <c r="H361" i="10" s="1"/>
  <c r="N360" i="10"/>
  <c r="O360" i="10" s="1"/>
  <c r="I360" i="10"/>
  <c r="H360" i="10"/>
  <c r="G360" i="10"/>
  <c r="O359" i="10"/>
  <c r="N359" i="10"/>
  <c r="I359" i="10"/>
  <c r="G359" i="10"/>
  <c r="H359" i="10" s="1"/>
  <c r="N358" i="10"/>
  <c r="O358" i="10" s="1"/>
  <c r="I358" i="10"/>
  <c r="H358" i="10"/>
  <c r="G358" i="10"/>
  <c r="O357" i="10"/>
  <c r="N357" i="10"/>
  <c r="I357" i="10"/>
  <c r="G357" i="10"/>
  <c r="H357" i="10" s="1"/>
  <c r="N356" i="10"/>
  <c r="O356" i="10" s="1"/>
  <c r="I356" i="10"/>
  <c r="H356" i="10"/>
  <c r="G356" i="10"/>
  <c r="O355" i="10"/>
  <c r="N355" i="10"/>
  <c r="I355" i="10"/>
  <c r="G355" i="10"/>
  <c r="H355" i="10" s="1"/>
  <c r="N354" i="10"/>
  <c r="O354" i="10" s="1"/>
  <c r="I354" i="10"/>
  <c r="H354" i="10"/>
  <c r="G354" i="10"/>
  <c r="O353" i="10"/>
  <c r="N353" i="10"/>
  <c r="I353" i="10"/>
  <c r="G353" i="10"/>
  <c r="H353" i="10" s="1"/>
  <c r="N352" i="10"/>
  <c r="O352" i="10" s="1"/>
  <c r="I352" i="10"/>
  <c r="H352" i="10"/>
  <c r="G352" i="10"/>
  <c r="O351" i="10"/>
  <c r="N351" i="10"/>
  <c r="I351" i="10"/>
  <c r="G351" i="10"/>
  <c r="H351" i="10" s="1"/>
  <c r="N350" i="10"/>
  <c r="O350" i="10" s="1"/>
  <c r="I350" i="10"/>
  <c r="H350" i="10"/>
  <c r="G350" i="10"/>
  <c r="O349" i="10"/>
  <c r="N349" i="10"/>
  <c r="I349" i="10"/>
  <c r="G349" i="10"/>
  <c r="H349" i="10" s="1"/>
  <c r="N348" i="10"/>
  <c r="O348" i="10" s="1"/>
  <c r="I348" i="10"/>
  <c r="H348" i="10"/>
  <c r="G348" i="10"/>
  <c r="O347" i="10"/>
  <c r="N347" i="10"/>
  <c r="I347" i="10"/>
  <c r="G347" i="10"/>
  <c r="H347" i="10" s="1"/>
  <c r="N346" i="10"/>
  <c r="O346" i="10" s="1"/>
  <c r="I346" i="10"/>
  <c r="H346" i="10"/>
  <c r="G346" i="10"/>
  <c r="O345" i="10"/>
  <c r="N345" i="10"/>
  <c r="I345" i="10"/>
  <c r="G345" i="10"/>
  <c r="H345" i="10" s="1"/>
  <c r="N344" i="10"/>
  <c r="O344" i="10" s="1"/>
  <c r="I344" i="10"/>
  <c r="H344" i="10"/>
  <c r="G344" i="10"/>
  <c r="O343" i="10"/>
  <c r="N343" i="10"/>
  <c r="I343" i="10"/>
  <c r="G343" i="10"/>
  <c r="H343" i="10" s="1"/>
  <c r="N342" i="10"/>
  <c r="O342" i="10" s="1"/>
  <c r="I342" i="10"/>
  <c r="H342" i="10"/>
  <c r="G342" i="10"/>
  <c r="O341" i="10"/>
  <c r="N341" i="10"/>
  <c r="I341" i="10"/>
  <c r="G341" i="10"/>
  <c r="H341" i="10" s="1"/>
  <c r="N340" i="10"/>
  <c r="O340" i="10" s="1"/>
  <c r="I340" i="10"/>
  <c r="H340" i="10"/>
  <c r="G340" i="10"/>
  <c r="O339" i="10"/>
  <c r="N339" i="10"/>
  <c r="I339" i="10"/>
  <c r="G339" i="10"/>
  <c r="H339" i="10" s="1"/>
  <c r="N338" i="10"/>
  <c r="O338" i="10" s="1"/>
  <c r="I338" i="10"/>
  <c r="H338" i="10"/>
  <c r="G338" i="10"/>
  <c r="O337" i="10"/>
  <c r="N337" i="10"/>
  <c r="I337" i="10"/>
  <c r="G337" i="10"/>
  <c r="H337" i="10" s="1"/>
  <c r="N336" i="10"/>
  <c r="O336" i="10" s="1"/>
  <c r="I336" i="10"/>
  <c r="H336" i="10"/>
  <c r="G336" i="10"/>
  <c r="O335" i="10"/>
  <c r="N335" i="10"/>
  <c r="I335" i="10"/>
  <c r="G335" i="10"/>
  <c r="H335" i="10" s="1"/>
  <c r="N334" i="10"/>
  <c r="O334" i="10" s="1"/>
  <c r="I334" i="10"/>
  <c r="H334" i="10"/>
  <c r="G334" i="10"/>
  <c r="O333" i="10"/>
  <c r="N333" i="10"/>
  <c r="I333" i="10"/>
  <c r="G333" i="10"/>
  <c r="H333" i="10" s="1"/>
  <c r="N332" i="10"/>
  <c r="O332" i="10" s="1"/>
  <c r="I332" i="10"/>
  <c r="H332" i="10"/>
  <c r="G332" i="10"/>
  <c r="O331" i="10"/>
  <c r="N331" i="10"/>
  <c r="I331" i="10"/>
  <c r="G331" i="10"/>
  <c r="H331" i="10" s="1"/>
  <c r="N330" i="10"/>
  <c r="O330" i="10" s="1"/>
  <c r="I330" i="10"/>
  <c r="H330" i="10"/>
  <c r="G330" i="10"/>
  <c r="O329" i="10"/>
  <c r="N329" i="10"/>
  <c r="I329" i="10"/>
  <c r="G329" i="10"/>
  <c r="H329" i="10" s="1"/>
  <c r="N328" i="10"/>
  <c r="O328" i="10" s="1"/>
  <c r="I328" i="10"/>
  <c r="H328" i="10"/>
  <c r="G328" i="10"/>
  <c r="O327" i="10"/>
  <c r="N327" i="10"/>
  <c r="I327" i="10"/>
  <c r="G327" i="10"/>
  <c r="H327" i="10" s="1"/>
  <c r="N326" i="10"/>
  <c r="O326" i="10" s="1"/>
  <c r="I326" i="10"/>
  <c r="H326" i="10"/>
  <c r="G326" i="10"/>
  <c r="O325" i="10"/>
  <c r="N325" i="10"/>
  <c r="I325" i="10"/>
  <c r="G325" i="10"/>
  <c r="H325" i="10" s="1"/>
  <c r="N324" i="10"/>
  <c r="O324" i="10" s="1"/>
  <c r="I324" i="10"/>
  <c r="H324" i="10"/>
  <c r="G324" i="10"/>
  <c r="O323" i="10"/>
  <c r="N323" i="10"/>
  <c r="I323" i="10"/>
  <c r="G323" i="10"/>
  <c r="H323" i="10" s="1"/>
  <c r="N322" i="10"/>
  <c r="O322" i="10" s="1"/>
  <c r="I322" i="10"/>
  <c r="H322" i="10"/>
  <c r="G322" i="10"/>
  <c r="O321" i="10"/>
  <c r="N321" i="10"/>
  <c r="I321" i="10"/>
  <c r="G321" i="10"/>
  <c r="H321" i="10" s="1"/>
  <c r="N320" i="10"/>
  <c r="O320" i="10" s="1"/>
  <c r="I320" i="10"/>
  <c r="H320" i="10"/>
  <c r="G320" i="10"/>
  <c r="O319" i="10"/>
  <c r="N319" i="10"/>
  <c r="I319" i="10"/>
  <c r="G319" i="10"/>
  <c r="H319" i="10" s="1"/>
  <c r="N318" i="10"/>
  <c r="O318" i="10" s="1"/>
  <c r="I318" i="10"/>
  <c r="H318" i="10"/>
  <c r="G318" i="10"/>
  <c r="O317" i="10"/>
  <c r="N317" i="10"/>
  <c r="I317" i="10"/>
  <c r="G317" i="10"/>
  <c r="H317" i="10" s="1"/>
  <c r="N316" i="10"/>
  <c r="O316" i="10" s="1"/>
  <c r="I316" i="10"/>
  <c r="H316" i="10"/>
  <c r="G316" i="10"/>
  <c r="O315" i="10"/>
  <c r="N315" i="10"/>
  <c r="I315" i="10"/>
  <c r="G315" i="10"/>
  <c r="H315" i="10" s="1"/>
  <c r="N314" i="10"/>
  <c r="O314" i="10" s="1"/>
  <c r="I314" i="10"/>
  <c r="H314" i="10"/>
  <c r="G314" i="10"/>
  <c r="O313" i="10"/>
  <c r="N313" i="10"/>
  <c r="I313" i="10"/>
  <c r="G313" i="10"/>
  <c r="H313" i="10" s="1"/>
  <c r="N312" i="10"/>
  <c r="O312" i="10" s="1"/>
  <c r="I312" i="10"/>
  <c r="H312" i="10"/>
  <c r="G312" i="10"/>
  <c r="O311" i="10"/>
  <c r="N311" i="10"/>
  <c r="I311" i="10"/>
  <c r="G311" i="10"/>
  <c r="H311" i="10" s="1"/>
  <c r="N310" i="10"/>
  <c r="O310" i="10" s="1"/>
  <c r="I310" i="10"/>
  <c r="H310" i="10"/>
  <c r="G310" i="10"/>
  <c r="O309" i="10"/>
  <c r="N309" i="10"/>
  <c r="I309" i="10"/>
  <c r="G309" i="10"/>
  <c r="H309" i="10" s="1"/>
  <c r="N308" i="10"/>
  <c r="O308" i="10" s="1"/>
  <c r="I308" i="10"/>
  <c r="H308" i="10"/>
  <c r="G308" i="10"/>
  <c r="O307" i="10"/>
  <c r="N307" i="10"/>
  <c r="I307" i="10"/>
  <c r="G307" i="10"/>
  <c r="H307" i="10" s="1"/>
  <c r="N306" i="10"/>
  <c r="O306" i="10" s="1"/>
  <c r="I306" i="10"/>
  <c r="H306" i="10"/>
  <c r="G306" i="10"/>
  <c r="O305" i="10"/>
  <c r="N305" i="10"/>
  <c r="I305" i="10"/>
  <c r="G305" i="10"/>
  <c r="H305" i="10" s="1"/>
  <c r="N304" i="10"/>
  <c r="O304" i="10" s="1"/>
  <c r="I304" i="10"/>
  <c r="H304" i="10"/>
  <c r="G304" i="10"/>
  <c r="O303" i="10"/>
  <c r="N303" i="10"/>
  <c r="I303" i="10"/>
  <c r="G303" i="10"/>
  <c r="H303" i="10" s="1"/>
  <c r="N302" i="10"/>
  <c r="O302" i="10" s="1"/>
  <c r="I302" i="10"/>
  <c r="H302" i="10"/>
  <c r="G302" i="10"/>
  <c r="O301" i="10"/>
  <c r="N301" i="10"/>
  <c r="I301" i="10"/>
  <c r="G301" i="10"/>
  <c r="H301" i="10" s="1"/>
  <c r="N300" i="10"/>
  <c r="O300" i="10" s="1"/>
  <c r="I300" i="10"/>
  <c r="H300" i="10"/>
  <c r="G300" i="10"/>
  <c r="O299" i="10"/>
  <c r="N299" i="10"/>
  <c r="I299" i="10"/>
  <c r="G299" i="10"/>
  <c r="H299" i="10" s="1"/>
  <c r="N298" i="10"/>
  <c r="O298" i="10" s="1"/>
  <c r="I298" i="10"/>
  <c r="H298" i="10"/>
  <c r="G298" i="10"/>
  <c r="O297" i="10"/>
  <c r="N297" i="10"/>
  <c r="I297" i="10"/>
  <c r="G297" i="10"/>
  <c r="H297" i="10" s="1"/>
  <c r="N296" i="10"/>
  <c r="O296" i="10" s="1"/>
  <c r="I296" i="10"/>
  <c r="H296" i="10"/>
  <c r="G296" i="10"/>
  <c r="O295" i="10"/>
  <c r="N295" i="10"/>
  <c r="I295" i="10"/>
  <c r="G295" i="10"/>
  <c r="H295" i="10" s="1"/>
  <c r="N294" i="10"/>
  <c r="O294" i="10" s="1"/>
  <c r="I294" i="10"/>
  <c r="H294" i="10"/>
  <c r="G294" i="10"/>
  <c r="O293" i="10"/>
  <c r="N293" i="10"/>
  <c r="I293" i="10"/>
  <c r="G293" i="10"/>
  <c r="H293" i="10" s="1"/>
  <c r="N292" i="10"/>
  <c r="O292" i="10" s="1"/>
  <c r="I292" i="10"/>
  <c r="H292" i="10"/>
  <c r="G292" i="10"/>
  <c r="O291" i="10"/>
  <c r="N291" i="10"/>
  <c r="I291" i="10"/>
  <c r="G291" i="10"/>
  <c r="H291" i="10" s="1"/>
  <c r="N290" i="10"/>
  <c r="O290" i="10" s="1"/>
  <c r="I290" i="10"/>
  <c r="H290" i="10"/>
  <c r="G290" i="10"/>
  <c r="O289" i="10"/>
  <c r="N289" i="10"/>
  <c r="I289" i="10"/>
  <c r="G289" i="10"/>
  <c r="H289" i="10" s="1"/>
  <c r="N288" i="10"/>
  <c r="O288" i="10" s="1"/>
  <c r="I288" i="10"/>
  <c r="H288" i="10"/>
  <c r="G288" i="10"/>
  <c r="O287" i="10"/>
  <c r="N287" i="10"/>
  <c r="I287" i="10"/>
  <c r="G287" i="10"/>
  <c r="H287" i="10" s="1"/>
  <c r="N286" i="10"/>
  <c r="O286" i="10" s="1"/>
  <c r="I286" i="10"/>
  <c r="H286" i="10"/>
  <c r="G286" i="10"/>
  <c r="O285" i="10"/>
  <c r="N285" i="10"/>
  <c r="I285" i="10"/>
  <c r="G285" i="10"/>
  <c r="H285" i="10" s="1"/>
  <c r="N284" i="10"/>
  <c r="O284" i="10" s="1"/>
  <c r="I284" i="10"/>
  <c r="H284" i="10"/>
  <c r="G284" i="10"/>
  <c r="O283" i="10"/>
  <c r="N283" i="10"/>
  <c r="I283" i="10"/>
  <c r="G283" i="10"/>
  <c r="H283" i="10" s="1"/>
  <c r="N282" i="10"/>
  <c r="O282" i="10" s="1"/>
  <c r="I282" i="10"/>
  <c r="H282" i="10"/>
  <c r="G282" i="10"/>
  <c r="O281" i="10"/>
  <c r="N281" i="10"/>
  <c r="I281" i="10"/>
  <c r="G281" i="10"/>
  <c r="H281" i="10" s="1"/>
  <c r="N280" i="10"/>
  <c r="O280" i="10" s="1"/>
  <c r="I280" i="10"/>
  <c r="H280" i="10"/>
  <c r="G280" i="10"/>
  <c r="O279" i="10"/>
  <c r="N279" i="10"/>
  <c r="I279" i="10"/>
  <c r="G279" i="10"/>
  <c r="H279" i="10" s="1"/>
  <c r="N278" i="10"/>
  <c r="O278" i="10" s="1"/>
  <c r="I278" i="10"/>
  <c r="H278" i="10"/>
  <c r="G278" i="10"/>
  <c r="O277" i="10"/>
  <c r="N277" i="10"/>
  <c r="I277" i="10"/>
  <c r="G277" i="10"/>
  <c r="H277" i="10" s="1"/>
  <c r="N276" i="10"/>
  <c r="O276" i="10" s="1"/>
  <c r="I276" i="10"/>
  <c r="H276" i="10"/>
  <c r="G276" i="10"/>
  <c r="O275" i="10"/>
  <c r="N275" i="10"/>
  <c r="I275" i="10"/>
  <c r="G275" i="10"/>
  <c r="H275" i="10" s="1"/>
  <c r="N274" i="10"/>
  <c r="O274" i="10" s="1"/>
  <c r="I274" i="10"/>
  <c r="H274" i="10"/>
  <c r="G274" i="10"/>
  <c r="O273" i="10"/>
  <c r="N273" i="10"/>
  <c r="I273" i="10"/>
  <c r="G273" i="10"/>
  <c r="H273" i="10" s="1"/>
  <c r="N272" i="10"/>
  <c r="O272" i="10" s="1"/>
  <c r="I272" i="10"/>
  <c r="H272" i="10"/>
  <c r="G272" i="10"/>
  <c r="O271" i="10"/>
  <c r="N271" i="10"/>
  <c r="I271" i="10"/>
  <c r="G271" i="10"/>
  <c r="H271" i="10" s="1"/>
  <c r="N270" i="10"/>
  <c r="O270" i="10" s="1"/>
  <c r="I270" i="10"/>
  <c r="H270" i="10"/>
  <c r="G270" i="10"/>
  <c r="O269" i="10"/>
  <c r="N269" i="10"/>
  <c r="I269" i="10"/>
  <c r="G269" i="10"/>
  <c r="H269" i="10" s="1"/>
  <c r="N268" i="10"/>
  <c r="O268" i="10" s="1"/>
  <c r="I268" i="10"/>
  <c r="H268" i="10"/>
  <c r="G268" i="10"/>
  <c r="O267" i="10"/>
  <c r="N267" i="10"/>
  <c r="I267" i="10"/>
  <c r="G267" i="10"/>
  <c r="H267" i="10" s="1"/>
  <c r="N266" i="10"/>
  <c r="O266" i="10" s="1"/>
  <c r="I266" i="10"/>
  <c r="H266" i="10"/>
  <c r="G266" i="10"/>
  <c r="O265" i="10"/>
  <c r="N265" i="10"/>
  <c r="I265" i="10"/>
  <c r="G265" i="10"/>
  <c r="H265" i="10" s="1"/>
  <c r="N264" i="10"/>
  <c r="O264" i="10" s="1"/>
  <c r="I264" i="10"/>
  <c r="H264" i="10"/>
  <c r="G264" i="10"/>
  <c r="O263" i="10"/>
  <c r="N263" i="10"/>
  <c r="I263" i="10"/>
  <c r="G263" i="10"/>
  <c r="H263" i="10" s="1"/>
  <c r="N262" i="10"/>
  <c r="O262" i="10" s="1"/>
  <c r="I262" i="10"/>
  <c r="H262" i="10"/>
  <c r="G262" i="10"/>
  <c r="O261" i="10"/>
  <c r="N261" i="10"/>
  <c r="I261" i="10"/>
  <c r="G261" i="10"/>
  <c r="H261" i="10" s="1"/>
  <c r="N260" i="10"/>
  <c r="O260" i="10" s="1"/>
  <c r="I260" i="10"/>
  <c r="H260" i="10"/>
  <c r="G260" i="10"/>
  <c r="O259" i="10"/>
  <c r="N259" i="10"/>
  <c r="I259" i="10"/>
  <c r="G259" i="10"/>
  <c r="H259" i="10" s="1"/>
  <c r="N258" i="10"/>
  <c r="O258" i="10" s="1"/>
  <c r="I258" i="10"/>
  <c r="H258" i="10"/>
  <c r="G258" i="10"/>
  <c r="O257" i="10"/>
  <c r="N257" i="10"/>
  <c r="I257" i="10"/>
  <c r="G257" i="10"/>
  <c r="H257" i="10" s="1"/>
  <c r="N256" i="10"/>
  <c r="O256" i="10" s="1"/>
  <c r="I256" i="10"/>
  <c r="H256" i="10"/>
  <c r="G256" i="10"/>
  <c r="O255" i="10"/>
  <c r="N255" i="10"/>
  <c r="I255" i="10"/>
  <c r="G255" i="10"/>
  <c r="H255" i="10" s="1"/>
  <c r="N254" i="10"/>
  <c r="O254" i="10" s="1"/>
  <c r="I254" i="10"/>
  <c r="H254" i="10"/>
  <c r="G254" i="10"/>
  <c r="O253" i="10"/>
  <c r="N253" i="10"/>
  <c r="I253" i="10"/>
  <c r="G253" i="10"/>
  <c r="H253" i="10" s="1"/>
  <c r="N252" i="10"/>
  <c r="O252" i="10" s="1"/>
  <c r="I252" i="10"/>
  <c r="H252" i="10"/>
  <c r="G252" i="10"/>
  <c r="O251" i="10"/>
  <c r="N251" i="10"/>
  <c r="I251" i="10"/>
  <c r="G251" i="10"/>
  <c r="H251" i="10" s="1"/>
  <c r="N250" i="10"/>
  <c r="O250" i="10" s="1"/>
  <c r="I250" i="10"/>
  <c r="H250" i="10"/>
  <c r="G250" i="10"/>
  <c r="O249" i="10"/>
  <c r="N249" i="10"/>
  <c r="I249" i="10"/>
  <c r="G249" i="10"/>
  <c r="H249" i="10" s="1"/>
  <c r="N248" i="10"/>
  <c r="O248" i="10" s="1"/>
  <c r="I248" i="10"/>
  <c r="H248" i="10"/>
  <c r="G248" i="10"/>
  <c r="O247" i="10"/>
  <c r="N247" i="10"/>
  <c r="I247" i="10"/>
  <c r="G247" i="10"/>
  <c r="H247" i="10" s="1"/>
  <c r="N246" i="10"/>
  <c r="O246" i="10" s="1"/>
  <c r="I246" i="10"/>
  <c r="H246" i="10"/>
  <c r="G246" i="10"/>
  <c r="O245" i="10"/>
  <c r="N245" i="10"/>
  <c r="I245" i="10"/>
  <c r="G245" i="10"/>
  <c r="H245" i="10" s="1"/>
  <c r="N244" i="10"/>
  <c r="O244" i="10" s="1"/>
  <c r="I244" i="10"/>
  <c r="H244" i="10"/>
  <c r="G244" i="10"/>
  <c r="O243" i="10"/>
  <c r="N243" i="10"/>
  <c r="I243" i="10"/>
  <c r="G243" i="10"/>
  <c r="H243" i="10" s="1"/>
  <c r="N242" i="10"/>
  <c r="O242" i="10" s="1"/>
  <c r="I242" i="10"/>
  <c r="H242" i="10"/>
  <c r="G242" i="10"/>
  <c r="O241" i="10"/>
  <c r="N241" i="10"/>
  <c r="I241" i="10"/>
  <c r="G241" i="10"/>
  <c r="H241" i="10" s="1"/>
  <c r="N240" i="10"/>
  <c r="O240" i="10" s="1"/>
  <c r="I240" i="10"/>
  <c r="H240" i="10"/>
  <c r="G240" i="10"/>
  <c r="O239" i="10"/>
  <c r="N239" i="10"/>
  <c r="I239" i="10"/>
  <c r="G239" i="10"/>
  <c r="H239" i="10" s="1"/>
  <c r="N238" i="10"/>
  <c r="O238" i="10" s="1"/>
  <c r="I238" i="10"/>
  <c r="H238" i="10"/>
  <c r="G238" i="10"/>
  <c r="O237" i="10"/>
  <c r="N237" i="10"/>
  <c r="I237" i="10"/>
  <c r="G237" i="10"/>
  <c r="H237" i="10" s="1"/>
  <c r="N236" i="10"/>
  <c r="O236" i="10" s="1"/>
  <c r="I236" i="10"/>
  <c r="H236" i="10"/>
  <c r="G236" i="10"/>
  <c r="O235" i="10"/>
  <c r="N235" i="10"/>
  <c r="G235" i="10"/>
  <c r="H235" i="10" s="1"/>
  <c r="I235" i="10" s="1"/>
  <c r="N234" i="10"/>
  <c r="O234" i="10" s="1"/>
  <c r="H234" i="10"/>
  <c r="I234" i="10" s="1"/>
  <c r="N233" i="10"/>
  <c r="O233" i="10" s="1"/>
  <c r="H233" i="10"/>
  <c r="I233" i="10" s="1"/>
  <c r="G233" i="10"/>
  <c r="O232" i="10"/>
  <c r="N232" i="10"/>
  <c r="G232" i="10"/>
  <c r="H232" i="10" s="1"/>
  <c r="I232" i="10" s="1"/>
  <c r="N231" i="10"/>
  <c r="O231" i="10" s="1"/>
  <c r="H231" i="10"/>
  <c r="I231" i="10" s="1"/>
  <c r="G231" i="10"/>
  <c r="O230" i="10"/>
  <c r="N230" i="10"/>
  <c r="G230" i="10"/>
  <c r="H230" i="10" s="1"/>
  <c r="I230" i="10" s="1"/>
  <c r="N229" i="10"/>
  <c r="O229" i="10" s="1"/>
  <c r="H229" i="10"/>
  <c r="I229" i="10" s="1"/>
  <c r="G229" i="10"/>
  <c r="O228" i="10"/>
  <c r="N228" i="10"/>
  <c r="G228" i="10"/>
  <c r="H228" i="10" s="1"/>
  <c r="I228" i="10" s="1"/>
  <c r="N227" i="10"/>
  <c r="O227" i="10" s="1"/>
  <c r="H227" i="10"/>
  <c r="I227" i="10" s="1"/>
  <c r="G227" i="10"/>
  <c r="O226" i="10"/>
  <c r="N226" i="10"/>
  <c r="I226" i="10"/>
  <c r="H226" i="10"/>
  <c r="O225" i="10"/>
  <c r="N225" i="10"/>
  <c r="G225" i="10"/>
  <c r="H225" i="10" s="1"/>
  <c r="I225" i="10" s="1"/>
  <c r="N224" i="10"/>
  <c r="O224" i="10" s="1"/>
  <c r="H224" i="10"/>
  <c r="I224" i="10" s="1"/>
  <c r="N223" i="10"/>
  <c r="O223" i="10" s="1"/>
  <c r="H223" i="10"/>
  <c r="I223" i="10" s="1"/>
  <c r="G223" i="10"/>
  <c r="O222" i="10"/>
  <c r="N222" i="10"/>
  <c r="G222" i="10"/>
  <c r="H222" i="10" s="1"/>
  <c r="I222" i="10" s="1"/>
  <c r="G221" i="10"/>
  <c r="H221" i="10" s="1"/>
  <c r="I221" i="10" s="1"/>
  <c r="H220" i="10"/>
  <c r="I220" i="10" s="1"/>
  <c r="G220" i="10"/>
  <c r="O219" i="10"/>
  <c r="N219" i="10"/>
  <c r="I219" i="10"/>
  <c r="H219" i="10"/>
  <c r="G218" i="10"/>
  <c r="H218" i="10" s="1"/>
  <c r="I218" i="10" s="1"/>
  <c r="H217" i="10"/>
  <c r="I217" i="10" s="1"/>
  <c r="G217" i="10"/>
  <c r="G216" i="10"/>
  <c r="H216" i="10" s="1"/>
  <c r="I216" i="10" s="1"/>
  <c r="N215" i="10"/>
  <c r="G215" i="10"/>
  <c r="H215" i="10" s="1"/>
  <c r="I215" i="10" s="1"/>
  <c r="N214" i="10"/>
  <c r="G214" i="10"/>
  <c r="H214" i="10" s="1"/>
  <c r="I214" i="10" s="1"/>
  <c r="H213" i="10"/>
  <c r="I213" i="10" s="1"/>
  <c r="G213" i="10"/>
  <c r="G212" i="10"/>
  <c r="H212" i="10" s="1"/>
  <c r="I212" i="10" s="1"/>
  <c r="N211" i="10"/>
  <c r="G211" i="10"/>
  <c r="H211" i="10" s="1"/>
  <c r="I211" i="10" s="1"/>
  <c r="N210" i="10"/>
  <c r="G210" i="10"/>
  <c r="H210" i="10" s="1"/>
  <c r="I210" i="10" s="1"/>
  <c r="N209" i="10"/>
  <c r="G209" i="10"/>
  <c r="H209" i="10" s="1"/>
  <c r="I209" i="10" s="1"/>
  <c r="N208" i="10"/>
  <c r="G208" i="10"/>
  <c r="H208" i="10" s="1"/>
  <c r="I208" i="10" s="1"/>
  <c r="H207" i="10"/>
  <c r="I207" i="10" s="1"/>
  <c r="G207" i="10"/>
  <c r="G206" i="10"/>
  <c r="H206" i="10" s="1"/>
  <c r="I206" i="10" s="1"/>
  <c r="H205" i="10"/>
  <c r="I205" i="10" s="1"/>
  <c r="G205" i="10"/>
  <c r="G204" i="10"/>
  <c r="H204" i="10" s="1"/>
  <c r="I204" i="10" s="1"/>
  <c r="H203" i="10"/>
  <c r="I203" i="10" s="1"/>
  <c r="G203" i="10"/>
  <c r="N202" i="10"/>
  <c r="H202" i="10"/>
  <c r="I202" i="10" s="1"/>
  <c r="G202" i="10"/>
  <c r="N201" i="10"/>
  <c r="H201" i="10"/>
  <c r="I201" i="10" s="1"/>
  <c r="G201" i="10"/>
  <c r="N200" i="10"/>
  <c r="H200" i="10"/>
  <c r="I200" i="10" s="1"/>
  <c r="N199" i="10"/>
  <c r="G199" i="10"/>
  <c r="H199" i="10" s="1"/>
  <c r="I199" i="10" s="1"/>
  <c r="N198" i="10"/>
  <c r="G198" i="10"/>
  <c r="H198" i="10" s="1"/>
  <c r="I198" i="10" s="1"/>
  <c r="N197" i="10"/>
  <c r="I197" i="10"/>
  <c r="H197" i="10"/>
  <c r="N196" i="10"/>
  <c r="H196" i="10"/>
  <c r="I196" i="10" s="1"/>
  <c r="G196" i="10"/>
  <c r="G195" i="10"/>
  <c r="H195" i="10" s="1"/>
  <c r="I195" i="10" s="1"/>
  <c r="N194" i="10"/>
  <c r="G194" i="10"/>
  <c r="H194" i="10" s="1"/>
  <c r="I194" i="10" s="1"/>
  <c r="N193" i="10"/>
  <c r="G193" i="10"/>
  <c r="H193" i="10" s="1"/>
  <c r="I193" i="10" s="1"/>
  <c r="N192" i="10"/>
  <c r="G192" i="10"/>
  <c r="H192" i="10" s="1"/>
  <c r="I192" i="10" s="1"/>
  <c r="H191" i="10"/>
  <c r="I191" i="10" s="1"/>
  <c r="G191" i="10"/>
  <c r="G190" i="10"/>
  <c r="H190" i="10" s="1"/>
  <c r="I190" i="10" s="1"/>
  <c r="AA189" i="10"/>
  <c r="N189" i="10"/>
  <c r="H189" i="10"/>
  <c r="I189" i="10" s="1"/>
  <c r="G189" i="10"/>
  <c r="AA188" i="10"/>
  <c r="N188" i="10"/>
  <c r="G188" i="10"/>
  <c r="H188" i="10" s="1"/>
  <c r="I188" i="10" s="1"/>
  <c r="AA187" i="10"/>
  <c r="G187" i="10"/>
  <c r="H187" i="10" s="1"/>
  <c r="I187" i="10" s="1"/>
  <c r="AA186" i="10"/>
  <c r="O186" i="10"/>
  <c r="N186" i="10"/>
  <c r="I186" i="10"/>
  <c r="H186" i="10"/>
  <c r="AA185" i="10"/>
  <c r="H185" i="10"/>
  <c r="I185" i="10" s="1"/>
  <c r="G185" i="10"/>
  <c r="AA184" i="10"/>
  <c r="N184" i="10"/>
  <c r="I184" i="10"/>
  <c r="H184" i="10"/>
  <c r="AA183" i="10"/>
  <c r="N183" i="10"/>
  <c r="G183" i="10"/>
  <c r="H183" i="10" s="1"/>
  <c r="I183" i="10" s="1"/>
  <c r="AA182" i="10"/>
  <c r="G182" i="10"/>
  <c r="H182" i="10" s="1"/>
  <c r="I182" i="10" s="1"/>
  <c r="AA181" i="10"/>
  <c r="N181" i="10"/>
  <c r="H181" i="10"/>
  <c r="I181" i="10" s="1"/>
  <c r="AA180" i="10"/>
  <c r="N180" i="10"/>
  <c r="H180" i="10"/>
  <c r="I180" i="10" s="1"/>
  <c r="G180" i="10"/>
  <c r="AA179" i="10"/>
  <c r="N179" i="10"/>
  <c r="G179" i="10"/>
  <c r="H179" i="10" s="1"/>
  <c r="I179" i="10" s="1"/>
  <c r="AA178" i="10"/>
  <c r="G178" i="10"/>
  <c r="H178" i="10" s="1"/>
  <c r="I178" i="10" s="1"/>
  <c r="AA177" i="10"/>
  <c r="G177" i="10"/>
  <c r="H177" i="10" s="1"/>
  <c r="I177" i="10" s="1"/>
  <c r="AA176" i="10"/>
  <c r="G176" i="10"/>
  <c r="H176" i="10" s="1"/>
  <c r="I176" i="10" s="1"/>
  <c r="AA175" i="10"/>
  <c r="N175" i="10"/>
  <c r="H175" i="10"/>
  <c r="I175" i="10" s="1"/>
  <c r="G175" i="10"/>
  <c r="AA174" i="10"/>
  <c r="N174" i="10"/>
  <c r="G174" i="10"/>
  <c r="H174" i="10" s="1"/>
  <c r="I174" i="10" s="1"/>
  <c r="AA173" i="10"/>
  <c r="N173" i="10"/>
  <c r="H173" i="10"/>
  <c r="I173" i="10" s="1"/>
  <c r="G173" i="10"/>
  <c r="AA172" i="10"/>
  <c r="N172" i="10"/>
  <c r="G172" i="10"/>
  <c r="H172" i="10" s="1"/>
  <c r="I172" i="10" s="1"/>
  <c r="AA171" i="10"/>
  <c r="N171" i="10"/>
  <c r="H171" i="10"/>
  <c r="I171" i="10" s="1"/>
  <c r="G171" i="10"/>
  <c r="AA170" i="10"/>
  <c r="N170" i="10"/>
  <c r="G170" i="10"/>
  <c r="H170" i="10" s="1"/>
  <c r="I170" i="10" s="1"/>
  <c r="AA169" i="10"/>
  <c r="G169" i="10"/>
  <c r="H169" i="10" s="1"/>
  <c r="I169" i="10" s="1"/>
  <c r="AA168" i="10"/>
  <c r="G168" i="10"/>
  <c r="H168" i="10" s="1"/>
  <c r="I168" i="10" s="1"/>
  <c r="AA167" i="10"/>
  <c r="G167" i="10"/>
  <c r="H167" i="10" s="1"/>
  <c r="I167" i="10" s="1"/>
  <c r="AA166" i="10"/>
  <c r="G166" i="10"/>
  <c r="H166" i="10" s="1"/>
  <c r="I166" i="10" s="1"/>
  <c r="AA165" i="10"/>
  <c r="G165" i="10"/>
  <c r="H165" i="10" s="1"/>
  <c r="I165" i="10" s="1"/>
  <c r="AA164" i="10"/>
  <c r="G164" i="10"/>
  <c r="H164" i="10" s="1"/>
  <c r="I164" i="10" s="1"/>
  <c r="AA163" i="10"/>
  <c r="G163" i="10"/>
  <c r="H163" i="10" s="1"/>
  <c r="I163" i="10" s="1"/>
  <c r="AA162" i="10"/>
  <c r="G162" i="10"/>
  <c r="H162" i="10" s="1"/>
  <c r="I162" i="10" s="1"/>
  <c r="AA161" i="10"/>
  <c r="N161" i="10"/>
  <c r="H161" i="10"/>
  <c r="I161" i="10" s="1"/>
  <c r="G161" i="10"/>
  <c r="AA160" i="10"/>
  <c r="H160" i="10"/>
  <c r="I160" i="10" s="1"/>
  <c r="G160" i="10"/>
  <c r="AA159" i="10"/>
  <c r="N159" i="10"/>
  <c r="G159" i="10"/>
  <c r="H159" i="10" s="1"/>
  <c r="I159" i="10" s="1"/>
  <c r="AA158" i="10"/>
  <c r="N158" i="10"/>
  <c r="H158" i="10"/>
  <c r="I158" i="10" s="1"/>
  <c r="G158" i="10"/>
  <c r="AA157" i="10"/>
  <c r="N157" i="10"/>
  <c r="G157" i="10"/>
  <c r="H157" i="10" s="1"/>
  <c r="I157" i="10" s="1"/>
  <c r="AA156" i="10"/>
  <c r="N156" i="10"/>
  <c r="H156" i="10"/>
  <c r="I156" i="10" s="1"/>
  <c r="G156" i="10"/>
  <c r="AA155" i="10"/>
  <c r="H155" i="10"/>
  <c r="I155" i="10" s="1"/>
  <c r="G155" i="10"/>
  <c r="AA154" i="10"/>
  <c r="H154" i="10"/>
  <c r="I154" i="10" s="1"/>
  <c r="G154" i="10"/>
  <c r="AA153" i="10"/>
  <c r="H153" i="10"/>
  <c r="I153" i="10" s="1"/>
  <c r="G153" i="10"/>
  <c r="AA152" i="10"/>
  <c r="N152" i="10"/>
  <c r="G152" i="10"/>
  <c r="H152" i="10" s="1"/>
  <c r="I152" i="10" s="1"/>
  <c r="AA151" i="10"/>
  <c r="N151" i="10"/>
  <c r="H151" i="10"/>
  <c r="I151" i="10" s="1"/>
  <c r="G151" i="10"/>
  <c r="AA150" i="10"/>
  <c r="G150" i="10"/>
  <c r="H150" i="10" s="1"/>
  <c r="I150" i="10" s="1"/>
  <c r="AA149" i="10"/>
  <c r="N149" i="10"/>
  <c r="H149" i="10"/>
  <c r="I149" i="10" s="1"/>
  <c r="G149" i="10"/>
  <c r="AA148" i="10"/>
  <c r="N148" i="10"/>
  <c r="G148" i="10"/>
  <c r="H148" i="10" s="1"/>
  <c r="I148" i="10" s="1"/>
  <c r="N147" i="10"/>
  <c r="I147" i="10"/>
  <c r="G147" i="10"/>
  <c r="I146" i="10"/>
  <c r="H146" i="10"/>
  <c r="N146" i="10" s="1"/>
  <c r="O146" i="10" s="1"/>
  <c r="N145" i="10"/>
  <c r="H145" i="10"/>
  <c r="I145" i="10" s="1"/>
  <c r="G145" i="10"/>
  <c r="G144" i="10"/>
  <c r="H144" i="10" s="1"/>
  <c r="I144" i="10" s="1"/>
  <c r="H143" i="10"/>
  <c r="I143" i="10" s="1"/>
  <c r="G143" i="10"/>
  <c r="N142" i="10"/>
  <c r="H142" i="10"/>
  <c r="I142" i="10" s="1"/>
  <c r="G142" i="10"/>
  <c r="N141" i="10"/>
  <c r="H141" i="10"/>
  <c r="I141" i="10" s="1"/>
  <c r="G141" i="10"/>
  <c r="N140" i="10"/>
  <c r="H140" i="10"/>
  <c r="I140" i="10" s="1"/>
  <c r="G140" i="10"/>
  <c r="G139" i="10"/>
  <c r="H139" i="10" s="1"/>
  <c r="I139" i="10" s="1"/>
  <c r="H138" i="10"/>
  <c r="I138" i="10" s="1"/>
  <c r="G138" i="10"/>
  <c r="G137" i="10"/>
  <c r="H137" i="10" s="1"/>
  <c r="I137" i="10" s="1"/>
  <c r="H136" i="10"/>
  <c r="I136" i="10" s="1"/>
  <c r="G136" i="10"/>
  <c r="G135" i="10"/>
  <c r="H135" i="10" s="1"/>
  <c r="I135" i="10" s="1"/>
  <c r="N134" i="10"/>
  <c r="G134" i="10"/>
  <c r="H134" i="10" s="1"/>
  <c r="I134" i="10" s="1"/>
  <c r="N133" i="10"/>
  <c r="I133" i="10"/>
  <c r="H133" i="10"/>
  <c r="N132" i="10"/>
  <c r="H132" i="10"/>
  <c r="I132" i="10" s="1"/>
  <c r="G132" i="10"/>
  <c r="N131" i="10"/>
  <c r="H131" i="10"/>
  <c r="I131" i="10" s="1"/>
  <c r="G131" i="10"/>
  <c r="G130" i="10"/>
  <c r="H130" i="10" s="1"/>
  <c r="I130" i="10" s="1"/>
  <c r="H129" i="10"/>
  <c r="I129" i="10" s="1"/>
  <c r="G129" i="10"/>
  <c r="N128" i="10"/>
  <c r="H128" i="10"/>
  <c r="I128" i="10" s="1"/>
  <c r="G128" i="10"/>
  <c r="N127" i="10"/>
  <c r="H127" i="10"/>
  <c r="I127" i="10" s="1"/>
  <c r="G127" i="10"/>
  <c r="G126" i="10"/>
  <c r="H126" i="10" s="1"/>
  <c r="I126" i="10" s="1"/>
  <c r="AA125" i="10"/>
  <c r="H125" i="10"/>
  <c r="I125" i="10" s="1"/>
  <c r="G125" i="10"/>
  <c r="G124" i="10"/>
  <c r="H124" i="10" s="1"/>
  <c r="I124" i="10" s="1"/>
  <c r="H123" i="10"/>
  <c r="I123" i="10" s="1"/>
  <c r="G123" i="10"/>
  <c r="N122" i="10"/>
  <c r="H122" i="10"/>
  <c r="I122" i="10" s="1"/>
  <c r="G122" i="10"/>
  <c r="N121" i="10"/>
  <c r="H121" i="10"/>
  <c r="I121" i="10" s="1"/>
  <c r="G121" i="10"/>
  <c r="N120" i="10"/>
  <c r="H120" i="10"/>
  <c r="I120" i="10" s="1"/>
  <c r="G120" i="10"/>
  <c r="N119" i="10"/>
  <c r="H119" i="10"/>
  <c r="I119" i="10" s="1"/>
  <c r="G119" i="10"/>
  <c r="AA118" i="10"/>
  <c r="N118" i="10"/>
  <c r="G118" i="10"/>
  <c r="H118" i="10" s="1"/>
  <c r="I118" i="10" s="1"/>
  <c r="AA117" i="10"/>
  <c r="N117" i="10"/>
  <c r="H117" i="10"/>
  <c r="I117" i="10" s="1"/>
  <c r="G117" i="10"/>
  <c r="AA116" i="10"/>
  <c r="N116" i="10"/>
  <c r="G116" i="10"/>
  <c r="H116" i="10" s="1"/>
  <c r="I116" i="10" s="1"/>
  <c r="AA115" i="10"/>
  <c r="G115" i="10"/>
  <c r="H115" i="10" s="1"/>
  <c r="I115" i="10" s="1"/>
  <c r="AA114" i="10"/>
  <c r="G114" i="10"/>
  <c r="H114" i="10" s="1"/>
  <c r="I114" i="10" s="1"/>
  <c r="AA113" i="10"/>
  <c r="G113" i="10"/>
  <c r="H113" i="10" s="1"/>
  <c r="I113" i="10" s="1"/>
  <c r="AA112" i="10"/>
  <c r="N112" i="10"/>
  <c r="H112" i="10"/>
  <c r="I112" i="10" s="1"/>
  <c r="G112" i="10"/>
  <c r="AA111" i="10"/>
  <c r="H111" i="10"/>
  <c r="I111" i="10" s="1"/>
  <c r="G111" i="10"/>
  <c r="AA110" i="10"/>
  <c r="N110" i="10"/>
  <c r="I110" i="10"/>
  <c r="H110" i="10"/>
  <c r="AA109" i="10"/>
  <c r="N109" i="10"/>
  <c r="G109" i="10"/>
  <c r="H109" i="10" s="1"/>
  <c r="I109" i="10" s="1"/>
  <c r="AA108" i="10"/>
  <c r="N108" i="10"/>
  <c r="H108" i="10"/>
  <c r="I108" i="10" s="1"/>
  <c r="G108" i="10"/>
  <c r="AA107" i="10"/>
  <c r="N107" i="10"/>
  <c r="G107" i="10"/>
  <c r="H107" i="10" s="1"/>
  <c r="I107" i="10" s="1"/>
  <c r="AA106" i="10"/>
  <c r="N106" i="10"/>
  <c r="I106" i="10"/>
  <c r="G106" i="10"/>
  <c r="AA105" i="10"/>
  <c r="G105" i="10"/>
  <c r="H105" i="10" s="1"/>
  <c r="I105" i="10" s="1"/>
  <c r="AA104" i="10"/>
  <c r="G104" i="10"/>
  <c r="H104" i="10" s="1"/>
  <c r="I104" i="10" s="1"/>
  <c r="AA103" i="10"/>
  <c r="G103" i="10"/>
  <c r="H103" i="10" s="1"/>
  <c r="I103" i="10" s="1"/>
  <c r="AA102" i="10"/>
  <c r="G102" i="10"/>
  <c r="H102" i="10" s="1"/>
  <c r="I102" i="10" s="1"/>
  <c r="AA101" i="10"/>
  <c r="N101" i="10"/>
  <c r="H101" i="10"/>
  <c r="I101" i="10" s="1"/>
  <c r="AA100" i="10"/>
  <c r="N100" i="10"/>
  <c r="H100" i="10"/>
  <c r="I100" i="10" s="1"/>
  <c r="G100" i="10"/>
  <c r="AA99" i="10"/>
  <c r="N99" i="10"/>
  <c r="G99" i="10"/>
  <c r="H99" i="10" s="1"/>
  <c r="I99" i="10" s="1"/>
  <c r="AA98" i="10"/>
  <c r="N98" i="10"/>
  <c r="H98" i="10"/>
  <c r="I98" i="10" s="1"/>
  <c r="G98" i="10"/>
  <c r="AA97" i="10"/>
  <c r="H97" i="10"/>
  <c r="I97" i="10" s="1"/>
  <c r="G97" i="10"/>
  <c r="AA96" i="10"/>
  <c r="N96" i="10"/>
  <c r="I96" i="10"/>
  <c r="H96" i="10"/>
  <c r="AA95" i="10"/>
  <c r="N95" i="10"/>
  <c r="G95" i="10"/>
  <c r="H95" i="10" s="1"/>
  <c r="I95" i="10" s="1"/>
  <c r="AA94" i="10"/>
  <c r="I94" i="10"/>
  <c r="G94" i="10"/>
  <c r="H94" i="10" s="1"/>
  <c r="AA93" i="10"/>
  <c r="G93" i="10"/>
  <c r="H93" i="10" s="1"/>
  <c r="I93" i="10" s="1"/>
  <c r="AA92" i="10"/>
  <c r="N92" i="10"/>
  <c r="H92" i="10"/>
  <c r="I92" i="10" s="1"/>
  <c r="G92" i="10"/>
  <c r="AA91" i="10"/>
  <c r="N91" i="10"/>
  <c r="G91" i="10"/>
  <c r="H91" i="10" s="1"/>
  <c r="I91" i="10" s="1"/>
  <c r="AA90" i="10"/>
  <c r="N90" i="10"/>
  <c r="H90" i="10"/>
  <c r="I90" i="10" s="1"/>
  <c r="G90" i="10"/>
  <c r="AA89" i="10"/>
  <c r="N89" i="10"/>
  <c r="G89" i="10"/>
  <c r="H89" i="10" s="1"/>
  <c r="I89" i="10" s="1"/>
  <c r="AA88" i="10"/>
  <c r="N88" i="10"/>
  <c r="H88" i="10"/>
  <c r="I88" i="10" s="1"/>
  <c r="G88" i="10"/>
  <c r="AA87" i="10"/>
  <c r="N87" i="10"/>
  <c r="I87" i="10"/>
  <c r="G87" i="10"/>
  <c r="H87" i="10" s="1"/>
  <c r="AA86" i="10"/>
  <c r="N86" i="10"/>
  <c r="H86" i="10"/>
  <c r="I86" i="10" s="1"/>
  <c r="G86" i="10"/>
  <c r="AA85" i="10"/>
  <c r="N85" i="10"/>
  <c r="G85" i="10"/>
  <c r="H85" i="10" s="1"/>
  <c r="I85" i="10" s="1"/>
  <c r="AA84" i="10"/>
  <c r="N84" i="10"/>
  <c r="H84" i="10"/>
  <c r="I84" i="10" s="1"/>
  <c r="G84" i="10"/>
  <c r="AA83" i="10"/>
  <c r="N83" i="10"/>
  <c r="G83" i="10"/>
  <c r="H83" i="10" s="1"/>
  <c r="I83" i="10" s="1"/>
  <c r="AA82" i="10"/>
  <c r="N82" i="10"/>
  <c r="H82" i="10"/>
  <c r="I82" i="10" s="1"/>
  <c r="G82" i="10"/>
  <c r="AA81" i="10"/>
  <c r="N81" i="10"/>
  <c r="G81" i="10"/>
  <c r="H81" i="10" s="1"/>
  <c r="I81" i="10" s="1"/>
  <c r="AA80" i="10"/>
  <c r="N80" i="10"/>
  <c r="H80" i="10"/>
  <c r="I80" i="10" s="1"/>
  <c r="G80" i="10"/>
  <c r="AA79" i="10"/>
  <c r="G79" i="10"/>
  <c r="H79" i="10" s="1"/>
  <c r="I79" i="10" s="1"/>
  <c r="AA78" i="10"/>
  <c r="I78" i="10"/>
  <c r="G78" i="10"/>
  <c r="H78" i="10" s="1"/>
  <c r="AA77" i="10"/>
  <c r="G77" i="10"/>
  <c r="H77" i="10" s="1"/>
  <c r="AA76" i="10"/>
  <c r="N76" i="10"/>
  <c r="H76" i="10"/>
  <c r="I76" i="10" s="1"/>
  <c r="G76" i="10"/>
  <c r="AA75" i="10"/>
  <c r="N75" i="10"/>
  <c r="G75" i="10"/>
  <c r="H75" i="10" s="1"/>
  <c r="I75" i="10" s="1"/>
  <c r="AA74" i="10"/>
  <c r="N74" i="10"/>
  <c r="H74" i="10"/>
  <c r="I74" i="10" s="1"/>
  <c r="G74" i="10"/>
  <c r="AA73" i="10"/>
  <c r="H73" i="10"/>
  <c r="I73" i="10" s="1"/>
  <c r="G73" i="10"/>
  <c r="AA72" i="10"/>
  <c r="H72" i="10"/>
  <c r="I72" i="10" s="1"/>
  <c r="G72" i="10"/>
  <c r="AA71" i="10"/>
  <c r="H71" i="10"/>
  <c r="I71" i="10" s="1"/>
  <c r="G71" i="10"/>
  <c r="AA70" i="10"/>
  <c r="H70" i="10"/>
  <c r="I70" i="10" s="1"/>
  <c r="G70" i="10"/>
  <c r="AA69" i="10"/>
  <c r="H69" i="10"/>
  <c r="I69" i="10" s="1"/>
  <c r="G69" i="10"/>
  <c r="AA68" i="10"/>
  <c r="N68" i="10"/>
  <c r="I68" i="10"/>
  <c r="G68" i="10"/>
  <c r="H68" i="10" s="1"/>
  <c r="AA67" i="10"/>
  <c r="N67" i="10"/>
  <c r="H67" i="10"/>
  <c r="I67" i="10" s="1"/>
  <c r="G67" i="10"/>
  <c r="AA66" i="10"/>
  <c r="N66" i="10"/>
  <c r="I66" i="10"/>
  <c r="H66" i="10"/>
  <c r="AA65" i="10"/>
  <c r="N65" i="10"/>
  <c r="I65" i="10"/>
  <c r="G65" i="10"/>
  <c r="H65" i="10" s="1"/>
  <c r="AA64" i="10"/>
  <c r="U64" i="10"/>
  <c r="N114" i="10" s="1"/>
  <c r="O114" i="10" s="1"/>
  <c r="N64" i="10"/>
  <c r="G64" i="10"/>
  <c r="H64" i="10" s="1"/>
  <c r="I64" i="10" s="1"/>
  <c r="AA63" i="10"/>
  <c r="U63" i="10"/>
  <c r="N63" i="10"/>
  <c r="I63" i="10"/>
  <c r="G63" i="10"/>
  <c r="H63" i="10" s="1"/>
  <c r="AA62" i="10"/>
  <c r="U62" i="10"/>
  <c r="H62" i="10"/>
  <c r="I62" i="10" s="1"/>
  <c r="G62" i="10"/>
  <c r="AA61" i="10"/>
  <c r="U61" i="10"/>
  <c r="I61" i="10"/>
  <c r="G61" i="10"/>
  <c r="H61" i="10" s="1"/>
  <c r="AA60" i="10"/>
  <c r="U60" i="10"/>
  <c r="N60" i="10"/>
  <c r="O60" i="10" s="1"/>
  <c r="H60" i="10"/>
  <c r="I60" i="10" s="1"/>
  <c r="G60" i="10"/>
  <c r="AA59" i="10"/>
  <c r="U59" i="10"/>
  <c r="N59" i="10"/>
  <c r="H59" i="10"/>
  <c r="I59" i="10" s="1"/>
  <c r="G59" i="10"/>
  <c r="AA58" i="10"/>
  <c r="U58" i="10"/>
  <c r="N178" i="10" s="1"/>
  <c r="O178" i="10" s="1"/>
  <c r="N58" i="10"/>
  <c r="H58" i="10"/>
  <c r="I58" i="10" s="1"/>
  <c r="G58" i="10"/>
  <c r="AA57" i="10"/>
  <c r="U57" i="10"/>
  <c r="N57" i="10"/>
  <c r="H57" i="10"/>
  <c r="I57" i="10" s="1"/>
  <c r="G57" i="10"/>
  <c r="AA56" i="10"/>
  <c r="U56" i="10"/>
  <c r="N126" i="10" s="1"/>
  <c r="O126" i="10" s="1"/>
  <c r="N56" i="10"/>
  <c r="H56" i="10"/>
  <c r="I56" i="10" s="1"/>
  <c r="G56" i="10"/>
  <c r="AA55" i="10"/>
  <c r="U55" i="10"/>
  <c r="I55" i="10"/>
  <c r="G55" i="10"/>
  <c r="H55" i="10" s="1"/>
  <c r="AA54" i="10"/>
  <c r="U54" i="10"/>
  <c r="N54" i="10"/>
  <c r="G54" i="10"/>
  <c r="H54" i="10" s="1"/>
  <c r="I54" i="10" s="1"/>
  <c r="AA53" i="10"/>
  <c r="U53" i="10"/>
  <c r="N169" i="10" s="1"/>
  <c r="O169" i="10" s="1"/>
  <c r="N53" i="10"/>
  <c r="I53" i="10"/>
  <c r="G53" i="10"/>
  <c r="H53" i="10" s="1"/>
  <c r="AA52" i="10"/>
  <c r="U52" i="10"/>
  <c r="N52" i="10"/>
  <c r="G52" i="10"/>
  <c r="H52" i="10" s="1"/>
  <c r="I52" i="10" s="1"/>
  <c r="AA51" i="10"/>
  <c r="U51" i="10"/>
  <c r="N51" i="10"/>
  <c r="I51" i="10"/>
  <c r="G51" i="10"/>
  <c r="H51" i="10" s="1"/>
  <c r="AA50" i="10"/>
  <c r="U50" i="10"/>
  <c r="H50" i="10"/>
  <c r="I50" i="10" s="1"/>
  <c r="G50" i="10"/>
  <c r="AA49" i="10"/>
  <c r="U49" i="10"/>
  <c r="I49" i="10"/>
  <c r="G49" i="10"/>
  <c r="H49" i="10" s="1"/>
  <c r="AA48" i="10"/>
  <c r="U48" i="10"/>
  <c r="N48" i="10"/>
  <c r="O48" i="10" s="1"/>
  <c r="H48" i="10"/>
  <c r="I48" i="10" s="1"/>
  <c r="G48" i="10"/>
  <c r="AA47" i="10"/>
  <c r="U47" i="10"/>
  <c r="I47" i="10"/>
  <c r="G47" i="10"/>
  <c r="H47" i="10" s="1"/>
  <c r="AA46" i="10"/>
  <c r="U46" i="10"/>
  <c r="N205" i="10" s="1"/>
  <c r="O205" i="10" s="1"/>
  <c r="N46" i="10"/>
  <c r="O46" i="10" s="1"/>
  <c r="H46" i="10"/>
  <c r="I46" i="10" s="1"/>
  <c r="G46" i="10"/>
  <c r="AA45" i="10"/>
  <c r="U45" i="10"/>
  <c r="I45" i="10"/>
  <c r="G45" i="10"/>
  <c r="H45" i="10" s="1"/>
  <c r="AA44" i="10"/>
  <c r="U44" i="10"/>
  <c r="N166" i="10" s="1"/>
  <c r="O166" i="10" s="1"/>
  <c r="N44" i="10"/>
  <c r="G44" i="10"/>
  <c r="H44" i="10" s="1"/>
  <c r="I44" i="10" s="1"/>
  <c r="AA43" i="10"/>
  <c r="U43" i="10"/>
  <c r="N191" i="10" s="1"/>
  <c r="O191" i="10" s="1"/>
  <c r="N43" i="10"/>
  <c r="I43" i="10"/>
  <c r="G43" i="10"/>
  <c r="H43" i="10" s="1"/>
  <c r="AA42" i="10"/>
  <c r="U42" i="10"/>
  <c r="N42" i="10"/>
  <c r="G42" i="10"/>
  <c r="H42" i="10" s="1"/>
  <c r="I42" i="10" s="1"/>
  <c r="AA41" i="10"/>
  <c r="U41" i="10"/>
  <c r="N41" i="10"/>
  <c r="I41" i="10"/>
  <c r="G41" i="10"/>
  <c r="H41" i="10" s="1"/>
  <c r="AA40" i="10"/>
  <c r="U40" i="10"/>
  <c r="N40" i="10"/>
  <c r="G40" i="10"/>
  <c r="H40" i="10" s="1"/>
  <c r="I40" i="10" s="1"/>
  <c r="AA39" i="10"/>
  <c r="U39" i="10"/>
  <c r="N39" i="10"/>
  <c r="I39" i="10"/>
  <c r="G39" i="10"/>
  <c r="H39" i="10" s="1"/>
  <c r="AA38" i="10"/>
  <c r="U38" i="10"/>
  <c r="N73" i="10" s="1"/>
  <c r="O73" i="10" s="1"/>
  <c r="N38" i="10"/>
  <c r="G38" i="10"/>
  <c r="H38" i="10" s="1"/>
  <c r="I38" i="10" s="1"/>
  <c r="AA37" i="10"/>
  <c r="U37" i="10"/>
  <c r="N37" i="10"/>
  <c r="I37" i="10"/>
  <c r="G37" i="10"/>
  <c r="H37" i="10" s="1"/>
  <c r="AA36" i="10"/>
  <c r="U36" i="10"/>
  <c r="N36" i="10"/>
  <c r="G36" i="10"/>
  <c r="H36" i="10" s="1"/>
  <c r="I36" i="10" s="1"/>
  <c r="AA35" i="10"/>
  <c r="U35" i="10"/>
  <c r="H35" i="10"/>
  <c r="I35" i="10" s="1"/>
  <c r="G35" i="10"/>
  <c r="AA34" i="10"/>
  <c r="U34" i="10"/>
  <c r="N164" i="10" s="1"/>
  <c r="O164" i="10" s="1"/>
  <c r="G34" i="10"/>
  <c r="H34" i="10" s="1"/>
  <c r="I34" i="10" s="1"/>
  <c r="AA33" i="10"/>
  <c r="U33" i="10"/>
  <c r="H33" i="10"/>
  <c r="I33" i="10" s="1"/>
  <c r="G33" i="10"/>
  <c r="AA32" i="10"/>
  <c r="U32" i="10"/>
  <c r="N78" i="10" s="1"/>
  <c r="O78" i="10" s="1"/>
  <c r="N32" i="10"/>
  <c r="H32" i="10"/>
  <c r="I32" i="10" s="1"/>
  <c r="G32" i="10"/>
  <c r="AA31" i="10"/>
  <c r="U31" i="10"/>
  <c r="N31" i="10"/>
  <c r="H31" i="10"/>
  <c r="I31" i="10" s="1"/>
  <c r="G31" i="10"/>
  <c r="AA30" i="10"/>
  <c r="U30" i="10"/>
  <c r="N30" i="10"/>
  <c r="H30" i="10"/>
  <c r="I30" i="10" s="1"/>
  <c r="G30" i="10"/>
  <c r="AA29" i="10"/>
  <c r="U29" i="10"/>
  <c r="N29" i="10"/>
  <c r="G29" i="10"/>
  <c r="H29" i="10" s="1"/>
  <c r="I29" i="10" s="1"/>
  <c r="AA28" i="10"/>
  <c r="U28" i="10"/>
  <c r="N138" i="10" s="1"/>
  <c r="O138" i="10" s="1"/>
  <c r="N28" i="10"/>
  <c r="I28" i="10"/>
  <c r="H28" i="10"/>
  <c r="G28" i="10"/>
  <c r="AA27" i="10"/>
  <c r="U27" i="10"/>
  <c r="N204" i="10" s="1"/>
  <c r="O204" i="10" s="1"/>
  <c r="O27" i="10"/>
  <c r="N27" i="10"/>
  <c r="H27" i="10"/>
  <c r="I27" i="10" s="1"/>
  <c r="G27" i="10"/>
  <c r="AA26" i="10"/>
  <c r="U26" i="10"/>
  <c r="O26" i="10"/>
  <c r="N26" i="10"/>
  <c r="H26" i="10"/>
  <c r="I26" i="10" s="1"/>
  <c r="G26" i="10"/>
  <c r="AA25" i="10"/>
  <c r="U25" i="10"/>
  <c r="N25" i="10"/>
  <c r="H25" i="10"/>
  <c r="I25" i="10" s="1"/>
  <c r="G25" i="10"/>
  <c r="AA24" i="10"/>
  <c r="U24" i="10"/>
  <c r="N24" i="10"/>
  <c r="H24" i="10"/>
  <c r="I24" i="10" s="1"/>
  <c r="G24" i="10"/>
  <c r="AA23" i="10"/>
  <c r="U23" i="10"/>
  <c r="O23" i="10"/>
  <c r="N23" i="10"/>
  <c r="G23" i="10"/>
  <c r="H23" i="10" s="1"/>
  <c r="I23" i="10" s="1"/>
  <c r="AA22" i="10"/>
  <c r="U22" i="10"/>
  <c r="N22" i="10"/>
  <c r="O22" i="10" s="1"/>
  <c r="H22" i="10"/>
  <c r="I22" i="10" s="1"/>
  <c r="G22" i="10"/>
  <c r="AA21" i="10"/>
  <c r="U21" i="10"/>
  <c r="G21" i="10"/>
  <c r="H21" i="10" s="1"/>
  <c r="I21" i="10" s="1"/>
  <c r="AA20" i="10"/>
  <c r="U20" i="10"/>
  <c r="N20" i="10"/>
  <c r="O20" i="10" s="1"/>
  <c r="H20" i="10"/>
  <c r="I20" i="10" s="1"/>
  <c r="G20" i="10"/>
  <c r="AA19" i="10"/>
  <c r="U19" i="10"/>
  <c r="O19" i="10"/>
  <c r="N19" i="10"/>
  <c r="G19" i="10"/>
  <c r="H19" i="10" s="1"/>
  <c r="I19" i="10" s="1"/>
  <c r="AA18" i="10"/>
  <c r="U18" i="10"/>
  <c r="N18" i="10"/>
  <c r="G18" i="10"/>
  <c r="H18" i="10" s="1"/>
  <c r="I18" i="10" s="1"/>
  <c r="AA17" i="10"/>
  <c r="U17" i="10"/>
  <c r="N47" i="10" s="1"/>
  <c r="O47" i="10" s="1"/>
  <c r="N17" i="10"/>
  <c r="G17" i="10"/>
  <c r="H17" i="10" s="1"/>
  <c r="I17" i="10" s="1"/>
  <c r="AA16" i="10"/>
  <c r="U16" i="10"/>
  <c r="N69" i="10" s="1"/>
  <c r="O69" i="10" s="1"/>
  <c r="N16" i="10"/>
  <c r="G16" i="10"/>
  <c r="H16" i="10" s="1"/>
  <c r="I16" i="10" s="1"/>
  <c r="AA15" i="10"/>
  <c r="U15" i="10"/>
  <c r="N45" i="10" s="1"/>
  <c r="O45" i="10" s="1"/>
  <c r="N15" i="10"/>
  <c r="G15" i="10"/>
  <c r="H15" i="10" s="1"/>
  <c r="I15" i="10" s="1"/>
  <c r="AA14" i="10"/>
  <c r="U14" i="10"/>
  <c r="N105" i="10" s="1"/>
  <c r="O105" i="10" s="1"/>
  <c r="N14" i="10"/>
  <c r="G14" i="10"/>
  <c r="H14" i="10" s="1"/>
  <c r="I14" i="10" s="1"/>
  <c r="AA13" i="10"/>
  <c r="U13" i="10"/>
  <c r="N13" i="10"/>
  <c r="G13" i="10"/>
  <c r="H13" i="10" s="1"/>
  <c r="I13" i="10" s="1"/>
  <c r="AA12" i="10"/>
  <c r="U12" i="10"/>
  <c r="N12" i="10"/>
  <c r="G12" i="10"/>
  <c r="H12" i="10" s="1"/>
  <c r="I12" i="10" s="1"/>
  <c r="AA11" i="10"/>
  <c r="U11" i="10"/>
  <c r="N11" i="10"/>
  <c r="G11" i="10"/>
  <c r="H11" i="10" s="1"/>
  <c r="I11" i="10" s="1"/>
  <c r="AA10" i="10"/>
  <c r="U10" i="10"/>
  <c r="N10" i="10"/>
  <c r="O10" i="10" s="1"/>
  <c r="H10" i="10"/>
  <c r="I10" i="10" s="1"/>
  <c r="G10" i="10"/>
  <c r="AA9" i="10"/>
  <c r="U9" i="10"/>
  <c r="N50" i="10" s="1"/>
  <c r="O50" i="10" s="1"/>
  <c r="O9" i="10"/>
  <c r="N9" i="10"/>
  <c r="G9" i="10"/>
  <c r="H9" i="10" s="1"/>
  <c r="I9" i="10" s="1"/>
  <c r="AA8" i="10"/>
  <c r="U8" i="10"/>
  <c r="N102" i="10" s="1"/>
  <c r="O102" i="10" s="1"/>
  <c r="N8" i="10"/>
  <c r="O8" i="10" s="1"/>
  <c r="H8" i="10"/>
  <c r="I8" i="10" s="1"/>
  <c r="G8" i="10"/>
  <c r="AA7" i="10"/>
  <c r="U7" i="10"/>
  <c r="N7" i="10"/>
  <c r="H7" i="10"/>
  <c r="I7" i="10" s="1"/>
  <c r="G7" i="10"/>
  <c r="AA6" i="10"/>
  <c r="U6" i="10"/>
  <c r="N70" i="10" s="1"/>
  <c r="O70" i="10" s="1"/>
  <c r="G6" i="10"/>
  <c r="H6" i="10" s="1"/>
  <c r="I6" i="10" s="1"/>
  <c r="AA5" i="10"/>
  <c r="U5" i="10"/>
  <c r="N94" i="10" s="1"/>
  <c r="O94" i="10" s="1"/>
  <c r="N5" i="10"/>
  <c r="O5" i="10" s="1"/>
  <c r="H5" i="10"/>
  <c r="I5" i="10" s="1"/>
  <c r="G5" i="10"/>
  <c r="AA4" i="10"/>
  <c r="U4" i="10"/>
  <c r="N168" i="10" s="1"/>
  <c r="O168" i="10" s="1"/>
  <c r="N4" i="10"/>
  <c r="H4" i="10"/>
  <c r="I4" i="10" s="1"/>
  <c r="G4" i="10"/>
  <c r="AA3" i="10"/>
  <c r="U3" i="10"/>
  <c r="N3" i="10"/>
  <c r="H3" i="10"/>
  <c r="O350" i="8"/>
  <c r="N350" i="8"/>
  <c r="I350" i="8"/>
  <c r="G350" i="8"/>
  <c r="H350" i="8" s="1"/>
  <c r="N349" i="8"/>
  <c r="O349" i="8" s="1"/>
  <c r="I349" i="8"/>
  <c r="H349" i="8"/>
  <c r="G349" i="8"/>
  <c r="O348" i="8"/>
  <c r="N348" i="8"/>
  <c r="I348" i="8"/>
  <c r="G348" i="8"/>
  <c r="H348" i="8" s="1"/>
  <c r="N347" i="8"/>
  <c r="O347" i="8" s="1"/>
  <c r="I347" i="8"/>
  <c r="H347" i="8"/>
  <c r="G347" i="8"/>
  <c r="O346" i="8"/>
  <c r="N346" i="8"/>
  <c r="I346" i="8"/>
  <c r="G346" i="8"/>
  <c r="H346" i="8" s="1"/>
  <c r="N345" i="8"/>
  <c r="O345" i="8" s="1"/>
  <c r="I345" i="8"/>
  <c r="H345" i="8"/>
  <c r="G345" i="8"/>
  <c r="O344" i="8"/>
  <c r="N344" i="8"/>
  <c r="I344" i="8"/>
  <c r="G344" i="8"/>
  <c r="H344" i="8" s="1"/>
  <c r="N343" i="8"/>
  <c r="O343" i="8" s="1"/>
  <c r="I343" i="8"/>
  <c r="H343" i="8"/>
  <c r="G343" i="8"/>
  <c r="O342" i="8"/>
  <c r="N342" i="8"/>
  <c r="I342" i="8"/>
  <c r="G342" i="8"/>
  <c r="H342" i="8" s="1"/>
  <c r="N341" i="8"/>
  <c r="O341" i="8" s="1"/>
  <c r="I341" i="8"/>
  <c r="H341" i="8"/>
  <c r="G341" i="8"/>
  <c r="O340" i="8"/>
  <c r="N340" i="8"/>
  <c r="I340" i="8"/>
  <c r="G340" i="8"/>
  <c r="H340" i="8" s="1"/>
  <c r="N339" i="8"/>
  <c r="O339" i="8" s="1"/>
  <c r="I339" i="8"/>
  <c r="H339" i="8"/>
  <c r="G339" i="8"/>
  <c r="O338" i="8"/>
  <c r="N338" i="8"/>
  <c r="I338" i="8"/>
  <c r="G338" i="8"/>
  <c r="H338" i="8" s="1"/>
  <c r="N337" i="8"/>
  <c r="O337" i="8" s="1"/>
  <c r="I337" i="8"/>
  <c r="H337" i="8"/>
  <c r="G337" i="8"/>
  <c r="O336" i="8"/>
  <c r="N336" i="8"/>
  <c r="I336" i="8"/>
  <c r="G336" i="8"/>
  <c r="H336" i="8" s="1"/>
  <c r="N335" i="8"/>
  <c r="O335" i="8" s="1"/>
  <c r="I335" i="8"/>
  <c r="H335" i="8"/>
  <c r="G335" i="8"/>
  <c r="O334" i="8"/>
  <c r="N334" i="8"/>
  <c r="I334" i="8"/>
  <c r="G334" i="8"/>
  <c r="H334" i="8" s="1"/>
  <c r="N333" i="8"/>
  <c r="O333" i="8" s="1"/>
  <c r="I333" i="8"/>
  <c r="H333" i="8"/>
  <c r="G333" i="8"/>
  <c r="O332" i="8"/>
  <c r="N332" i="8"/>
  <c r="I332" i="8"/>
  <c r="G332" i="8"/>
  <c r="H332" i="8" s="1"/>
  <c r="N331" i="8"/>
  <c r="O331" i="8" s="1"/>
  <c r="I331" i="8"/>
  <c r="H331" i="8"/>
  <c r="G331" i="8"/>
  <c r="O330" i="8"/>
  <c r="N330" i="8"/>
  <c r="I330" i="8"/>
  <c r="G330" i="8"/>
  <c r="H330" i="8" s="1"/>
  <c r="N329" i="8"/>
  <c r="O329" i="8" s="1"/>
  <c r="I329" i="8"/>
  <c r="H329" i="8"/>
  <c r="G329" i="8"/>
  <c r="O328" i="8"/>
  <c r="N328" i="8"/>
  <c r="I328" i="8"/>
  <c r="G328" i="8"/>
  <c r="H328" i="8" s="1"/>
  <c r="N327" i="8"/>
  <c r="O327" i="8" s="1"/>
  <c r="I327" i="8"/>
  <c r="H327" i="8"/>
  <c r="G327" i="8"/>
  <c r="O326" i="8"/>
  <c r="N326" i="8"/>
  <c r="I326" i="8"/>
  <c r="G326" i="8"/>
  <c r="H326" i="8" s="1"/>
  <c r="N325" i="8"/>
  <c r="O325" i="8" s="1"/>
  <c r="I325" i="8"/>
  <c r="H325" i="8"/>
  <c r="G325" i="8"/>
  <c r="O324" i="8"/>
  <c r="N324" i="8"/>
  <c r="I324" i="8"/>
  <c r="G324" i="8"/>
  <c r="H324" i="8" s="1"/>
  <c r="N323" i="8"/>
  <c r="O323" i="8" s="1"/>
  <c r="I323" i="8"/>
  <c r="H323" i="8"/>
  <c r="G323" i="8"/>
  <c r="O322" i="8"/>
  <c r="N322" i="8"/>
  <c r="I322" i="8"/>
  <c r="G322" i="8"/>
  <c r="H322" i="8" s="1"/>
  <c r="N321" i="8"/>
  <c r="O321" i="8" s="1"/>
  <c r="I321" i="8"/>
  <c r="H321" i="8"/>
  <c r="G321" i="8"/>
  <c r="O320" i="8"/>
  <c r="N320" i="8"/>
  <c r="I320" i="8"/>
  <c r="G320" i="8"/>
  <c r="H320" i="8" s="1"/>
  <c r="N319" i="8"/>
  <c r="O319" i="8" s="1"/>
  <c r="I319" i="8"/>
  <c r="H319" i="8"/>
  <c r="G319" i="8"/>
  <c r="O318" i="8"/>
  <c r="N318" i="8"/>
  <c r="I318" i="8"/>
  <c r="G318" i="8"/>
  <c r="H318" i="8" s="1"/>
  <c r="N317" i="8"/>
  <c r="O317" i="8" s="1"/>
  <c r="I317" i="8"/>
  <c r="H317" i="8"/>
  <c r="G317" i="8"/>
  <c r="O316" i="8"/>
  <c r="N316" i="8"/>
  <c r="I316" i="8"/>
  <c r="G316" i="8"/>
  <c r="H316" i="8" s="1"/>
  <c r="N315" i="8"/>
  <c r="O315" i="8" s="1"/>
  <c r="I315" i="8"/>
  <c r="H315" i="8"/>
  <c r="G315" i="8"/>
  <c r="O314" i="8"/>
  <c r="N314" i="8"/>
  <c r="I314" i="8"/>
  <c r="G314" i="8"/>
  <c r="H314" i="8" s="1"/>
  <c r="N313" i="8"/>
  <c r="O313" i="8" s="1"/>
  <c r="I313" i="8"/>
  <c r="H313" i="8"/>
  <c r="G313" i="8"/>
  <c r="O312" i="8"/>
  <c r="N312" i="8"/>
  <c r="I312" i="8"/>
  <c r="G312" i="8"/>
  <c r="H312" i="8" s="1"/>
  <c r="N311" i="8"/>
  <c r="O311" i="8" s="1"/>
  <c r="I311" i="8"/>
  <c r="H311" i="8"/>
  <c r="G311" i="8"/>
  <c r="O310" i="8"/>
  <c r="N310" i="8"/>
  <c r="I310" i="8"/>
  <c r="G310" i="8"/>
  <c r="H310" i="8" s="1"/>
  <c r="N309" i="8"/>
  <c r="O309" i="8" s="1"/>
  <c r="I309" i="8"/>
  <c r="H309" i="8"/>
  <c r="G309" i="8"/>
  <c r="O308" i="8"/>
  <c r="N308" i="8"/>
  <c r="I308" i="8"/>
  <c r="G308" i="8"/>
  <c r="H308" i="8" s="1"/>
  <c r="N307" i="8"/>
  <c r="O307" i="8" s="1"/>
  <c r="I307" i="8"/>
  <c r="H307" i="8"/>
  <c r="G307" i="8"/>
  <c r="O306" i="8"/>
  <c r="N306" i="8"/>
  <c r="I306" i="8"/>
  <c r="G306" i="8"/>
  <c r="H306" i="8" s="1"/>
  <c r="N305" i="8"/>
  <c r="O305" i="8" s="1"/>
  <c r="I305" i="8"/>
  <c r="H305" i="8"/>
  <c r="G305" i="8"/>
  <c r="O304" i="8"/>
  <c r="N304" i="8"/>
  <c r="I304" i="8"/>
  <c r="G304" i="8"/>
  <c r="H304" i="8" s="1"/>
  <c r="N303" i="8"/>
  <c r="O303" i="8" s="1"/>
  <c r="I303" i="8"/>
  <c r="H303" i="8"/>
  <c r="G303" i="8"/>
  <c r="O302" i="8"/>
  <c r="N302" i="8"/>
  <c r="I302" i="8"/>
  <c r="G302" i="8"/>
  <c r="H302" i="8" s="1"/>
  <c r="N301" i="8"/>
  <c r="O301" i="8" s="1"/>
  <c r="I301" i="8"/>
  <c r="H301" i="8"/>
  <c r="G301" i="8"/>
  <c r="O300" i="8"/>
  <c r="N300" i="8"/>
  <c r="I300" i="8"/>
  <c r="G300" i="8"/>
  <c r="H300" i="8" s="1"/>
  <c r="N299" i="8"/>
  <c r="O299" i="8" s="1"/>
  <c r="I299" i="8"/>
  <c r="H299" i="8"/>
  <c r="G299" i="8"/>
  <c r="O298" i="8"/>
  <c r="N298" i="8"/>
  <c r="I298" i="8"/>
  <c r="G298" i="8"/>
  <c r="H298" i="8" s="1"/>
  <c r="N297" i="8"/>
  <c r="O297" i="8" s="1"/>
  <c r="I297" i="8"/>
  <c r="H297" i="8"/>
  <c r="G297" i="8"/>
  <c r="O296" i="8"/>
  <c r="N296" i="8"/>
  <c r="I296" i="8"/>
  <c r="G296" i="8"/>
  <c r="H296" i="8" s="1"/>
  <c r="N295" i="8"/>
  <c r="O295" i="8" s="1"/>
  <c r="I295" i="8"/>
  <c r="H295" i="8"/>
  <c r="G295" i="8"/>
  <c r="O294" i="8"/>
  <c r="N294" i="8"/>
  <c r="I294" i="8"/>
  <c r="G294" i="8"/>
  <c r="H294" i="8" s="1"/>
  <c r="N293" i="8"/>
  <c r="O293" i="8" s="1"/>
  <c r="I293" i="8"/>
  <c r="H293" i="8"/>
  <c r="G293" i="8"/>
  <c r="O292" i="8"/>
  <c r="N292" i="8"/>
  <c r="I292" i="8"/>
  <c r="G292" i="8"/>
  <c r="H292" i="8" s="1"/>
  <c r="N291" i="8"/>
  <c r="O291" i="8" s="1"/>
  <c r="I291" i="8"/>
  <c r="H291" i="8"/>
  <c r="G291" i="8"/>
  <c r="O290" i="8"/>
  <c r="N290" i="8"/>
  <c r="I290" i="8"/>
  <c r="G290" i="8"/>
  <c r="H290" i="8" s="1"/>
  <c r="N289" i="8"/>
  <c r="O289" i="8" s="1"/>
  <c r="I289" i="8"/>
  <c r="H289" i="8"/>
  <c r="G289" i="8"/>
  <c r="O288" i="8"/>
  <c r="N288" i="8"/>
  <c r="I288" i="8"/>
  <c r="G288" i="8"/>
  <c r="H288" i="8" s="1"/>
  <c r="N287" i="8"/>
  <c r="O287" i="8" s="1"/>
  <c r="I287" i="8"/>
  <c r="H287" i="8"/>
  <c r="G287" i="8"/>
  <c r="O286" i="8"/>
  <c r="N286" i="8"/>
  <c r="I286" i="8"/>
  <c r="G286" i="8"/>
  <c r="H286" i="8" s="1"/>
  <c r="N285" i="8"/>
  <c r="O285" i="8" s="1"/>
  <c r="I285" i="8"/>
  <c r="H285" i="8"/>
  <c r="G285" i="8"/>
  <c r="O284" i="8"/>
  <c r="N284" i="8"/>
  <c r="I284" i="8"/>
  <c r="G284" i="8"/>
  <c r="H284" i="8" s="1"/>
  <c r="N283" i="8"/>
  <c r="O283" i="8" s="1"/>
  <c r="I283" i="8"/>
  <c r="H283" i="8"/>
  <c r="G283" i="8"/>
  <c r="O282" i="8"/>
  <c r="N282" i="8"/>
  <c r="I282" i="8"/>
  <c r="G282" i="8"/>
  <c r="H282" i="8" s="1"/>
  <c r="N281" i="8"/>
  <c r="O281" i="8" s="1"/>
  <c r="I281" i="8"/>
  <c r="H281" i="8"/>
  <c r="G281" i="8"/>
  <c r="O280" i="8"/>
  <c r="N280" i="8"/>
  <c r="I280" i="8"/>
  <c r="G280" i="8"/>
  <c r="H280" i="8" s="1"/>
  <c r="N279" i="8"/>
  <c r="O279" i="8" s="1"/>
  <c r="I279" i="8"/>
  <c r="H279" i="8"/>
  <c r="G279" i="8"/>
  <c r="O278" i="8"/>
  <c r="N278" i="8"/>
  <c r="I278" i="8"/>
  <c r="G278" i="8"/>
  <c r="H278" i="8" s="1"/>
  <c r="N277" i="8"/>
  <c r="O277" i="8" s="1"/>
  <c r="I277" i="8"/>
  <c r="H277" i="8"/>
  <c r="G277" i="8"/>
  <c r="O276" i="8"/>
  <c r="N276" i="8"/>
  <c r="I276" i="8"/>
  <c r="G276" i="8"/>
  <c r="H276" i="8" s="1"/>
  <c r="N275" i="8"/>
  <c r="O275" i="8" s="1"/>
  <c r="I275" i="8"/>
  <c r="H275" i="8"/>
  <c r="G275" i="8"/>
  <c r="O274" i="8"/>
  <c r="N274" i="8"/>
  <c r="I274" i="8"/>
  <c r="G274" i="8"/>
  <c r="H274" i="8" s="1"/>
  <c r="N273" i="8"/>
  <c r="O273" i="8" s="1"/>
  <c r="I273" i="8"/>
  <c r="H273" i="8"/>
  <c r="G273" i="8"/>
  <c r="O272" i="8"/>
  <c r="N272" i="8"/>
  <c r="I272" i="8"/>
  <c r="G272" i="8"/>
  <c r="H272" i="8" s="1"/>
  <c r="N271" i="8"/>
  <c r="O271" i="8" s="1"/>
  <c r="I271" i="8"/>
  <c r="H271" i="8"/>
  <c r="G271" i="8"/>
  <c r="O270" i="8"/>
  <c r="N270" i="8"/>
  <c r="I270" i="8"/>
  <c r="G270" i="8"/>
  <c r="H270" i="8" s="1"/>
  <c r="N269" i="8"/>
  <c r="O269" i="8" s="1"/>
  <c r="I269" i="8"/>
  <c r="H269" i="8"/>
  <c r="G269" i="8"/>
  <c r="O268" i="8"/>
  <c r="N268" i="8"/>
  <c r="I268" i="8"/>
  <c r="G268" i="8"/>
  <c r="H268" i="8" s="1"/>
  <c r="N267" i="8"/>
  <c r="O267" i="8" s="1"/>
  <c r="I267" i="8"/>
  <c r="H267" i="8"/>
  <c r="G267" i="8"/>
  <c r="O266" i="8"/>
  <c r="N266" i="8"/>
  <c r="I266" i="8"/>
  <c r="G266" i="8"/>
  <c r="H266" i="8" s="1"/>
  <c r="N265" i="8"/>
  <c r="O265" i="8" s="1"/>
  <c r="I265" i="8"/>
  <c r="H265" i="8"/>
  <c r="G265" i="8"/>
  <c r="O264" i="8"/>
  <c r="N264" i="8"/>
  <c r="I264" i="8"/>
  <c r="G264" i="8"/>
  <c r="H264" i="8" s="1"/>
  <c r="N263" i="8"/>
  <c r="O263" i="8" s="1"/>
  <c r="I263" i="8"/>
  <c r="H263" i="8"/>
  <c r="G263" i="8"/>
  <c r="O262" i="8"/>
  <c r="N262" i="8"/>
  <c r="I262" i="8"/>
  <c r="G262" i="8"/>
  <c r="H262" i="8" s="1"/>
  <c r="N261" i="8"/>
  <c r="I261" i="8"/>
  <c r="G261" i="8"/>
  <c r="H261" i="8" s="1"/>
  <c r="N260" i="8"/>
  <c r="I260" i="8"/>
  <c r="G260" i="8"/>
  <c r="H260" i="8" s="1"/>
  <c r="N259" i="8"/>
  <c r="I259" i="8"/>
  <c r="G259" i="8"/>
  <c r="H259" i="8" s="1"/>
  <c r="N258" i="8"/>
  <c r="I258" i="8"/>
  <c r="G258" i="8"/>
  <c r="H258" i="8" s="1"/>
  <c r="N257" i="8"/>
  <c r="I257" i="8"/>
  <c r="G257" i="8"/>
  <c r="H257" i="8" s="1"/>
  <c r="N256" i="8"/>
  <c r="I256" i="8"/>
  <c r="G256" i="8"/>
  <c r="H256" i="8" s="1"/>
  <c r="N255" i="8"/>
  <c r="I255" i="8"/>
  <c r="G255" i="8"/>
  <c r="H255" i="8" s="1"/>
  <c r="N254" i="8"/>
  <c r="I254" i="8"/>
  <c r="G254" i="8"/>
  <c r="H254" i="8" s="1"/>
  <c r="N253" i="8"/>
  <c r="I253" i="8"/>
  <c r="G253" i="8"/>
  <c r="H253" i="8" s="1"/>
  <c r="N252" i="8"/>
  <c r="I252" i="8"/>
  <c r="G252" i="8"/>
  <c r="H252" i="8" s="1"/>
  <c r="N251" i="8"/>
  <c r="I251" i="8"/>
  <c r="G251" i="8"/>
  <c r="H251" i="8" s="1"/>
  <c r="N250" i="8"/>
  <c r="I250" i="8"/>
  <c r="G250" i="8"/>
  <c r="H250" i="8" s="1"/>
  <c r="N249" i="8"/>
  <c r="I249" i="8"/>
  <c r="G249" i="8"/>
  <c r="H249" i="8" s="1"/>
  <c r="H248" i="8"/>
  <c r="I248" i="8" s="1"/>
  <c r="G248" i="8"/>
  <c r="N247" i="8"/>
  <c r="H247" i="8"/>
  <c r="I247" i="8" s="1"/>
  <c r="G247" i="8"/>
  <c r="N246" i="8"/>
  <c r="H246" i="8"/>
  <c r="I246" i="8" s="1"/>
  <c r="G246" i="8"/>
  <c r="N245" i="8"/>
  <c r="H245" i="8"/>
  <c r="I245" i="8" s="1"/>
  <c r="G245" i="8"/>
  <c r="N244" i="8"/>
  <c r="H244" i="8"/>
  <c r="I244" i="8" s="1"/>
  <c r="G244" i="8"/>
  <c r="N243" i="8"/>
  <c r="H243" i="8"/>
  <c r="I243" i="8" s="1"/>
  <c r="G243" i="8"/>
  <c r="N242" i="8"/>
  <c r="H242" i="8"/>
  <c r="I242" i="8" s="1"/>
  <c r="G242" i="8"/>
  <c r="N241" i="8"/>
  <c r="H241" i="8"/>
  <c r="I241" i="8" s="1"/>
  <c r="G241" i="8"/>
  <c r="N240" i="8"/>
  <c r="H240" i="8"/>
  <c r="I240" i="8" s="1"/>
  <c r="G240" i="8"/>
  <c r="G239" i="8"/>
  <c r="H239" i="8" s="1"/>
  <c r="I239" i="8" s="1"/>
  <c r="N238" i="8"/>
  <c r="G238" i="8"/>
  <c r="H238" i="8" s="1"/>
  <c r="I238" i="8" s="1"/>
  <c r="N237" i="8"/>
  <c r="G237" i="8"/>
  <c r="H237" i="8" s="1"/>
  <c r="I237" i="8" s="1"/>
  <c r="N236" i="8"/>
  <c r="G236" i="8"/>
  <c r="H236" i="8" s="1"/>
  <c r="I236" i="8" s="1"/>
  <c r="N235" i="8"/>
  <c r="G235" i="8"/>
  <c r="H235" i="8" s="1"/>
  <c r="I235" i="8" s="1"/>
  <c r="H234" i="8"/>
  <c r="I234" i="8" s="1"/>
  <c r="G234" i="8"/>
  <c r="G233" i="8"/>
  <c r="H233" i="8" s="1"/>
  <c r="I233" i="8" s="1"/>
  <c r="H232" i="8"/>
  <c r="I232" i="8" s="1"/>
  <c r="G232" i="8"/>
  <c r="N231" i="8"/>
  <c r="H231" i="8"/>
  <c r="I231" i="8" s="1"/>
  <c r="G231" i="8"/>
  <c r="N230" i="8"/>
  <c r="H230" i="8"/>
  <c r="I230" i="8" s="1"/>
  <c r="G230" i="8"/>
  <c r="N229" i="8"/>
  <c r="H229" i="8"/>
  <c r="I229" i="8" s="1"/>
  <c r="G229" i="8"/>
  <c r="N228" i="8"/>
  <c r="H228" i="8"/>
  <c r="I228" i="8" s="1"/>
  <c r="G228" i="8"/>
  <c r="O227" i="8"/>
  <c r="N227" i="8"/>
  <c r="I227" i="8"/>
  <c r="H227" i="8"/>
  <c r="G226" i="8"/>
  <c r="H226" i="8" s="1"/>
  <c r="I226" i="8" s="1"/>
  <c r="N225" i="8"/>
  <c r="G225" i="8"/>
  <c r="H225" i="8" s="1"/>
  <c r="I225" i="8" s="1"/>
  <c r="N224" i="8"/>
  <c r="G224" i="8"/>
  <c r="H224" i="8" s="1"/>
  <c r="I224" i="8" s="1"/>
  <c r="N223" i="8"/>
  <c r="I223" i="8"/>
  <c r="H223" i="8"/>
  <c r="N222" i="8"/>
  <c r="H222" i="8"/>
  <c r="I222" i="8" s="1"/>
  <c r="G222" i="8"/>
  <c r="N221" i="8"/>
  <c r="H221" i="8"/>
  <c r="I221" i="8" s="1"/>
  <c r="G221" i="8"/>
  <c r="N220" i="8"/>
  <c r="H220" i="8"/>
  <c r="I220" i="8" s="1"/>
  <c r="G220" i="8"/>
  <c r="N219" i="8"/>
  <c r="H219" i="8"/>
  <c r="I219" i="8" s="1"/>
  <c r="G219" i="8"/>
  <c r="G218" i="8"/>
  <c r="H218" i="8" s="1"/>
  <c r="I218" i="8" s="1"/>
  <c r="N217" i="8"/>
  <c r="G217" i="8"/>
  <c r="H217" i="8" s="1"/>
  <c r="I217" i="8" s="1"/>
  <c r="N216" i="8"/>
  <c r="G216" i="8"/>
  <c r="H216" i="8" s="1"/>
  <c r="I216" i="8" s="1"/>
  <c r="N215" i="8"/>
  <c r="G215" i="8"/>
  <c r="H215" i="8" s="1"/>
  <c r="I215" i="8" s="1"/>
  <c r="N214" i="8"/>
  <c r="G214" i="8"/>
  <c r="H214" i="8" s="1"/>
  <c r="I214" i="8" s="1"/>
  <c r="N213" i="8"/>
  <c r="G213" i="8"/>
  <c r="H213" i="8" s="1"/>
  <c r="I213" i="8" s="1"/>
  <c r="N212" i="8"/>
  <c r="G212" i="8"/>
  <c r="H212" i="8" s="1"/>
  <c r="I212" i="8" s="1"/>
  <c r="H211" i="8"/>
  <c r="I211" i="8" s="1"/>
  <c r="G211" i="8"/>
  <c r="N210" i="8"/>
  <c r="H210" i="8"/>
  <c r="I210" i="8" s="1"/>
  <c r="G210" i="8"/>
  <c r="N209" i="8"/>
  <c r="H209" i="8"/>
  <c r="I209" i="8" s="1"/>
  <c r="G209" i="8"/>
  <c r="N208" i="8"/>
  <c r="H208" i="8"/>
  <c r="I208" i="8" s="1"/>
  <c r="G208" i="8"/>
  <c r="N207" i="8"/>
  <c r="H207" i="8"/>
  <c r="I207" i="8" s="1"/>
  <c r="G207" i="8"/>
  <c r="N206" i="8"/>
  <c r="H206" i="8"/>
  <c r="I206" i="8" s="1"/>
  <c r="G206" i="8"/>
  <c r="N205" i="8"/>
  <c r="H205" i="8"/>
  <c r="I205" i="8" s="1"/>
  <c r="G205" i="8"/>
  <c r="N204" i="8"/>
  <c r="H204" i="8"/>
  <c r="I204" i="8" s="1"/>
  <c r="G204" i="8"/>
  <c r="O203" i="8"/>
  <c r="N203" i="8"/>
  <c r="I203" i="8"/>
  <c r="H203" i="8"/>
  <c r="N202" i="8"/>
  <c r="H202" i="8"/>
  <c r="I202" i="8" s="1"/>
  <c r="G202" i="8"/>
  <c r="G201" i="8"/>
  <c r="H201" i="8" s="1"/>
  <c r="I201" i="8" s="1"/>
  <c r="N200" i="8"/>
  <c r="G200" i="8"/>
  <c r="H200" i="8" s="1"/>
  <c r="I200" i="8" s="1"/>
  <c r="N199" i="8"/>
  <c r="G199" i="8"/>
  <c r="H199" i="8" s="1"/>
  <c r="I199" i="8" s="1"/>
  <c r="N198" i="8"/>
  <c r="G198" i="8"/>
  <c r="H198" i="8" s="1"/>
  <c r="I198" i="8" s="1"/>
  <c r="N197" i="8"/>
  <c r="G197" i="8"/>
  <c r="H197" i="8" s="1"/>
  <c r="I197" i="8" s="1"/>
  <c r="N196" i="8"/>
  <c r="G196" i="8"/>
  <c r="H196" i="8" s="1"/>
  <c r="I196" i="8" s="1"/>
  <c r="N195" i="8"/>
  <c r="G195" i="8"/>
  <c r="H195" i="8" s="1"/>
  <c r="I195" i="8" s="1"/>
  <c r="N194" i="8"/>
  <c r="G194" i="8"/>
  <c r="H194" i="8" s="1"/>
  <c r="I194" i="8" s="1"/>
  <c r="N193" i="8"/>
  <c r="G193" i="8"/>
  <c r="H193" i="8" s="1"/>
  <c r="I193" i="8" s="1"/>
  <c r="N192" i="8"/>
  <c r="G192" i="8"/>
  <c r="H192" i="8" s="1"/>
  <c r="I192" i="8" s="1"/>
  <c r="N191" i="8"/>
  <c r="G191" i="8"/>
  <c r="H191" i="8" s="1"/>
  <c r="I191" i="8" s="1"/>
  <c r="H190" i="8"/>
  <c r="I190" i="8" s="1"/>
  <c r="G190" i="8"/>
  <c r="G189" i="8"/>
  <c r="H189" i="8" s="1"/>
  <c r="I189" i="8" s="1"/>
  <c r="H188" i="8"/>
  <c r="I188" i="8" s="1"/>
  <c r="G188" i="8"/>
  <c r="G187" i="8"/>
  <c r="H187" i="8" s="1"/>
  <c r="I187" i="8" s="1"/>
  <c r="H186" i="8"/>
  <c r="I186" i="8" s="1"/>
  <c r="G186" i="8"/>
  <c r="G185" i="8"/>
  <c r="H185" i="8" s="1"/>
  <c r="I185" i="8" s="1"/>
  <c r="H184" i="8"/>
  <c r="I184" i="8" s="1"/>
  <c r="G184" i="8"/>
  <c r="G183" i="8"/>
  <c r="H183" i="8" s="1"/>
  <c r="I183" i="8" s="1"/>
  <c r="H182" i="8"/>
  <c r="I182" i="8" s="1"/>
  <c r="G182" i="8"/>
  <c r="G181" i="8"/>
  <c r="H181" i="8" s="1"/>
  <c r="I181" i="8" s="1"/>
  <c r="H180" i="8"/>
  <c r="I180" i="8" s="1"/>
  <c r="G180" i="8"/>
  <c r="G179" i="8"/>
  <c r="H179" i="8" s="1"/>
  <c r="I179" i="8" s="1"/>
  <c r="N178" i="8"/>
  <c r="G178" i="8"/>
  <c r="H178" i="8" s="1"/>
  <c r="I178" i="8" s="1"/>
  <c r="H177" i="8"/>
  <c r="I177" i="8" s="1"/>
  <c r="G177" i="8"/>
  <c r="N176" i="8"/>
  <c r="H176" i="8"/>
  <c r="I176" i="8" s="1"/>
  <c r="G176" i="8"/>
  <c r="N175" i="8"/>
  <c r="H175" i="8"/>
  <c r="I175" i="8" s="1"/>
  <c r="G175" i="8"/>
  <c r="N174" i="8"/>
  <c r="H174" i="8"/>
  <c r="I174" i="8" s="1"/>
  <c r="G174" i="8"/>
  <c r="N173" i="8"/>
  <c r="H173" i="8"/>
  <c r="I173" i="8" s="1"/>
  <c r="G173" i="8"/>
  <c r="N172" i="8"/>
  <c r="H172" i="8"/>
  <c r="I172" i="8" s="1"/>
  <c r="G172" i="8"/>
  <c r="G171" i="8"/>
  <c r="H171" i="8" s="1"/>
  <c r="I171" i="8" s="1"/>
  <c r="H170" i="8"/>
  <c r="I170" i="8" s="1"/>
  <c r="G170" i="8"/>
  <c r="G169" i="8"/>
  <c r="H169" i="8" s="1"/>
  <c r="I169" i="8" s="1"/>
  <c r="N168" i="8"/>
  <c r="I168" i="8"/>
  <c r="H168" i="8"/>
  <c r="G167" i="8"/>
  <c r="H167" i="8" s="1"/>
  <c r="I167" i="8" s="1"/>
  <c r="AA166" i="8"/>
  <c r="N166" i="8"/>
  <c r="H166" i="8"/>
  <c r="I166" i="8" s="1"/>
  <c r="G166" i="8"/>
  <c r="AA165" i="8"/>
  <c r="N165" i="8"/>
  <c r="G165" i="8"/>
  <c r="H165" i="8" s="1"/>
  <c r="I165" i="8" s="1"/>
  <c r="AA164" i="8"/>
  <c r="N164" i="8"/>
  <c r="H164" i="8"/>
  <c r="I164" i="8" s="1"/>
  <c r="G164" i="8"/>
  <c r="AA163" i="8"/>
  <c r="N163" i="8"/>
  <c r="G163" i="8"/>
  <c r="H163" i="8" s="1"/>
  <c r="I163" i="8" s="1"/>
  <c r="AA162" i="8"/>
  <c r="G162" i="8"/>
  <c r="H162" i="8" s="1"/>
  <c r="I162" i="8" s="1"/>
  <c r="AA161" i="8"/>
  <c r="N161" i="8"/>
  <c r="H161" i="8"/>
  <c r="I161" i="8" s="1"/>
  <c r="G161" i="8"/>
  <c r="AA160" i="8"/>
  <c r="N160" i="8"/>
  <c r="O160" i="8" s="1"/>
  <c r="H160" i="8"/>
  <c r="I160" i="8" s="1"/>
  <c r="G160" i="8"/>
  <c r="AA159" i="8"/>
  <c r="N159" i="8"/>
  <c r="G159" i="8"/>
  <c r="H159" i="8" s="1"/>
  <c r="I159" i="8" s="1"/>
  <c r="AA158" i="8"/>
  <c r="N158" i="8"/>
  <c r="H158" i="8"/>
  <c r="I158" i="8" s="1"/>
  <c r="G158" i="8"/>
  <c r="AA157" i="8"/>
  <c r="N157" i="8"/>
  <c r="G157" i="8"/>
  <c r="H157" i="8" s="1"/>
  <c r="I157" i="8" s="1"/>
  <c r="AA156" i="8"/>
  <c r="G156" i="8"/>
  <c r="H156" i="8" s="1"/>
  <c r="I156" i="8" s="1"/>
  <c r="AA155" i="8"/>
  <c r="N155" i="8"/>
  <c r="H155" i="8"/>
  <c r="I155" i="8" s="1"/>
  <c r="G155" i="8"/>
  <c r="AA154" i="8"/>
  <c r="N154" i="8"/>
  <c r="O154" i="8" s="1"/>
  <c r="H154" i="8"/>
  <c r="I154" i="8" s="1"/>
  <c r="G154" i="8"/>
  <c r="AA153" i="8"/>
  <c r="H153" i="8"/>
  <c r="I153" i="8" s="1"/>
  <c r="G153" i="8"/>
  <c r="AA152" i="8"/>
  <c r="N152" i="8"/>
  <c r="O152" i="8" s="1"/>
  <c r="H152" i="8"/>
  <c r="I152" i="8" s="1"/>
  <c r="G152" i="8"/>
  <c r="AA151" i="8"/>
  <c r="N151" i="8"/>
  <c r="G151" i="8"/>
  <c r="H151" i="8" s="1"/>
  <c r="I151" i="8" s="1"/>
  <c r="AA150" i="8"/>
  <c r="N150" i="8"/>
  <c r="H150" i="8"/>
  <c r="I150" i="8" s="1"/>
  <c r="G150" i="8"/>
  <c r="AA149" i="8"/>
  <c r="N149" i="8"/>
  <c r="G149" i="8"/>
  <c r="H149" i="8" s="1"/>
  <c r="I149" i="8" s="1"/>
  <c r="AA148" i="8"/>
  <c r="N148" i="8"/>
  <c r="H148" i="8"/>
  <c r="I148" i="8" s="1"/>
  <c r="AA147" i="8"/>
  <c r="G147" i="8"/>
  <c r="H147" i="8" s="1"/>
  <c r="I147" i="8" s="1"/>
  <c r="AA146" i="8"/>
  <c r="N146" i="8"/>
  <c r="H146" i="8"/>
  <c r="I146" i="8" s="1"/>
  <c r="G146" i="8"/>
  <c r="AA145" i="8"/>
  <c r="N145" i="8"/>
  <c r="G145" i="8"/>
  <c r="H145" i="8" s="1"/>
  <c r="I145" i="8" s="1"/>
  <c r="AA144" i="8"/>
  <c r="N144" i="8"/>
  <c r="H144" i="8"/>
  <c r="I144" i="8" s="1"/>
  <c r="G144" i="8"/>
  <c r="AA143" i="8"/>
  <c r="N143" i="8"/>
  <c r="I143" i="8"/>
  <c r="H143" i="8"/>
  <c r="AA142" i="8"/>
  <c r="N142" i="8"/>
  <c r="I142" i="8"/>
  <c r="H142" i="8"/>
  <c r="AA141" i="8"/>
  <c r="H141" i="8"/>
  <c r="I141" i="8" s="1"/>
  <c r="G141" i="8"/>
  <c r="AA140" i="8"/>
  <c r="N140" i="8"/>
  <c r="O140" i="8" s="1"/>
  <c r="H140" i="8"/>
  <c r="I140" i="8" s="1"/>
  <c r="G140" i="8"/>
  <c r="AA139" i="8"/>
  <c r="N139" i="8"/>
  <c r="G139" i="8"/>
  <c r="H139" i="8" s="1"/>
  <c r="I139" i="8" s="1"/>
  <c r="AA138" i="8"/>
  <c r="O138" i="8"/>
  <c r="N138" i="8"/>
  <c r="I138" i="8"/>
  <c r="H138" i="8"/>
  <c r="AA137" i="8"/>
  <c r="N137" i="8"/>
  <c r="G137" i="8"/>
  <c r="H137" i="8" s="1"/>
  <c r="I137" i="8" s="1"/>
  <c r="AA136" i="8"/>
  <c r="N136" i="8"/>
  <c r="H136" i="8"/>
  <c r="I136" i="8" s="1"/>
  <c r="G136" i="8"/>
  <c r="AA135" i="8"/>
  <c r="N135" i="8"/>
  <c r="G135" i="8"/>
  <c r="H135" i="8" s="1"/>
  <c r="I135" i="8" s="1"/>
  <c r="AA134" i="8"/>
  <c r="N134" i="8"/>
  <c r="H134" i="8"/>
  <c r="I134" i="8" s="1"/>
  <c r="G134" i="8"/>
  <c r="AA133" i="8"/>
  <c r="N133" i="8"/>
  <c r="G133" i="8"/>
  <c r="H133" i="8" s="1"/>
  <c r="I133" i="8" s="1"/>
  <c r="AA132" i="8"/>
  <c r="G132" i="8"/>
  <c r="H132" i="8" s="1"/>
  <c r="I132" i="8" s="1"/>
  <c r="AA131" i="8"/>
  <c r="N131" i="8"/>
  <c r="H131" i="8"/>
  <c r="I131" i="8" s="1"/>
  <c r="G131" i="8"/>
  <c r="AA130" i="8"/>
  <c r="N130" i="8"/>
  <c r="G130" i="8"/>
  <c r="H130" i="8" s="1"/>
  <c r="I130" i="8" s="1"/>
  <c r="AA129" i="8"/>
  <c r="N129" i="8"/>
  <c r="H129" i="8"/>
  <c r="I129" i="8" s="1"/>
  <c r="G129" i="8"/>
  <c r="AA128" i="8"/>
  <c r="N128" i="8"/>
  <c r="G128" i="8"/>
  <c r="H128" i="8" s="1"/>
  <c r="I128" i="8" s="1"/>
  <c r="AA127" i="8"/>
  <c r="N127" i="8"/>
  <c r="H127" i="8"/>
  <c r="I127" i="8" s="1"/>
  <c r="G127" i="8"/>
  <c r="AA126" i="8"/>
  <c r="N126" i="8"/>
  <c r="G126" i="8"/>
  <c r="H126" i="8" s="1"/>
  <c r="I126" i="8" s="1"/>
  <c r="AA125" i="8"/>
  <c r="N125" i="8"/>
  <c r="H125" i="8"/>
  <c r="I125" i="8" s="1"/>
  <c r="G125" i="8"/>
  <c r="AA124" i="8"/>
  <c r="N124" i="8"/>
  <c r="G124" i="8"/>
  <c r="H124" i="8" s="1"/>
  <c r="I124" i="8" s="1"/>
  <c r="AA123" i="8"/>
  <c r="G123" i="8"/>
  <c r="H123" i="8" s="1"/>
  <c r="I123" i="8" s="1"/>
  <c r="AA122" i="8"/>
  <c r="G122" i="8"/>
  <c r="H122" i="8" s="1"/>
  <c r="I122" i="8" s="1"/>
  <c r="AA121" i="8"/>
  <c r="G121" i="8"/>
  <c r="H121" i="8" s="1"/>
  <c r="I121" i="8" s="1"/>
  <c r="AA120" i="8"/>
  <c r="N120" i="8"/>
  <c r="H120" i="8"/>
  <c r="I120" i="8" s="1"/>
  <c r="G120" i="8"/>
  <c r="AA119" i="8"/>
  <c r="H119" i="8"/>
  <c r="I119" i="8" s="1"/>
  <c r="G119" i="8"/>
  <c r="AA118" i="8"/>
  <c r="N118" i="8"/>
  <c r="O118" i="8" s="1"/>
  <c r="H118" i="8"/>
  <c r="I118" i="8" s="1"/>
  <c r="G118" i="8"/>
  <c r="AA117" i="8"/>
  <c r="N117" i="8"/>
  <c r="G117" i="8"/>
  <c r="H117" i="8" s="1"/>
  <c r="I117" i="8" s="1"/>
  <c r="AA116" i="8"/>
  <c r="N116" i="8"/>
  <c r="H116" i="8"/>
  <c r="I116" i="8" s="1"/>
  <c r="G116" i="8"/>
  <c r="AA115" i="8"/>
  <c r="N115" i="8"/>
  <c r="G115" i="8"/>
  <c r="H115" i="8" s="1"/>
  <c r="I115" i="8" s="1"/>
  <c r="AA114" i="8"/>
  <c r="N114" i="8"/>
  <c r="H114" i="8"/>
  <c r="I114" i="8" s="1"/>
  <c r="G114" i="8"/>
  <c r="AA113" i="8"/>
  <c r="N113" i="8"/>
  <c r="G113" i="8"/>
  <c r="H113" i="8" s="1"/>
  <c r="I113" i="8" s="1"/>
  <c r="AA112" i="8"/>
  <c r="G112" i="8"/>
  <c r="H112" i="8" s="1"/>
  <c r="I112" i="8" s="1"/>
  <c r="AA111" i="8"/>
  <c r="G111" i="8"/>
  <c r="H111" i="8" s="1"/>
  <c r="I111" i="8" s="1"/>
  <c r="AA110" i="8"/>
  <c r="G110" i="8"/>
  <c r="H110" i="8" s="1"/>
  <c r="I110" i="8" s="1"/>
  <c r="AA109" i="8"/>
  <c r="N109" i="8"/>
  <c r="H109" i="8"/>
  <c r="I109" i="8" s="1"/>
  <c r="G109" i="8"/>
  <c r="AA108" i="8"/>
  <c r="N108" i="8"/>
  <c r="G108" i="8"/>
  <c r="H108" i="8" s="1"/>
  <c r="I108" i="8" s="1"/>
  <c r="AA107" i="8"/>
  <c r="N107" i="8"/>
  <c r="H107" i="8"/>
  <c r="I107" i="8" s="1"/>
  <c r="G107" i="8"/>
  <c r="AA106" i="8"/>
  <c r="N106" i="8"/>
  <c r="O106" i="8" s="1"/>
  <c r="H106" i="8"/>
  <c r="I106" i="8" s="1"/>
  <c r="G106" i="8"/>
  <c r="AA105" i="8"/>
  <c r="N105" i="8"/>
  <c r="G105" i="8"/>
  <c r="H105" i="8" s="1"/>
  <c r="I105" i="8" s="1"/>
  <c r="AA104" i="8"/>
  <c r="N104" i="8"/>
  <c r="H104" i="8"/>
  <c r="I104" i="8" s="1"/>
  <c r="G104" i="8"/>
  <c r="AA103" i="8"/>
  <c r="N103" i="8"/>
  <c r="G103" i="8"/>
  <c r="H103" i="8" s="1"/>
  <c r="I103" i="8" s="1"/>
  <c r="AA102" i="8"/>
  <c r="N102" i="8"/>
  <c r="H102" i="8"/>
  <c r="I102" i="8" s="1"/>
  <c r="G102" i="8"/>
  <c r="AA101" i="8"/>
  <c r="N101" i="8"/>
  <c r="O101" i="8" s="1"/>
  <c r="H101" i="8"/>
  <c r="I101" i="8" s="1"/>
  <c r="AA100" i="8"/>
  <c r="G100" i="8"/>
  <c r="H100" i="8" s="1"/>
  <c r="I100" i="8" s="1"/>
  <c r="AA99" i="8"/>
  <c r="N99" i="8"/>
  <c r="H99" i="8"/>
  <c r="I99" i="8" s="1"/>
  <c r="G99" i="8"/>
  <c r="AA98" i="8"/>
  <c r="N98" i="8"/>
  <c r="G98" i="8"/>
  <c r="H98" i="8" s="1"/>
  <c r="I98" i="8" s="1"/>
  <c r="AA97" i="8"/>
  <c r="N97" i="8"/>
  <c r="H97" i="8"/>
  <c r="I97" i="8" s="1"/>
  <c r="G97" i="8"/>
  <c r="AA96" i="8"/>
  <c r="N96" i="8"/>
  <c r="G96" i="8"/>
  <c r="H96" i="8" s="1"/>
  <c r="I96" i="8" s="1"/>
  <c r="AA95" i="8"/>
  <c r="G95" i="8"/>
  <c r="H95" i="8" s="1"/>
  <c r="I95" i="8" s="1"/>
  <c r="AA94" i="8"/>
  <c r="G94" i="8"/>
  <c r="H94" i="8" s="1"/>
  <c r="I94" i="8" s="1"/>
  <c r="AA93" i="8"/>
  <c r="N93" i="8"/>
  <c r="H93" i="8"/>
  <c r="I93" i="8" s="1"/>
  <c r="G93" i="8"/>
  <c r="AA92" i="8"/>
  <c r="N92" i="8"/>
  <c r="G92" i="8"/>
  <c r="H92" i="8" s="1"/>
  <c r="I92" i="8" s="1"/>
  <c r="AA91" i="8"/>
  <c r="N91" i="8"/>
  <c r="H91" i="8"/>
  <c r="I91" i="8" s="1"/>
  <c r="G91" i="8"/>
  <c r="AA90" i="8"/>
  <c r="N90" i="8"/>
  <c r="G90" i="8"/>
  <c r="H90" i="8" s="1"/>
  <c r="I90" i="8" s="1"/>
  <c r="AA89" i="8"/>
  <c r="N89" i="8"/>
  <c r="H89" i="8"/>
  <c r="I89" i="8" s="1"/>
  <c r="G89" i="8"/>
  <c r="AA88" i="8"/>
  <c r="N88" i="8"/>
  <c r="G88" i="8"/>
  <c r="H88" i="8" s="1"/>
  <c r="I88" i="8" s="1"/>
  <c r="AA87" i="8"/>
  <c r="N87" i="8"/>
  <c r="H87" i="8"/>
  <c r="I87" i="8" s="1"/>
  <c r="G87" i="8"/>
  <c r="AA86" i="8"/>
  <c r="N86" i="8"/>
  <c r="G86" i="8"/>
  <c r="H86" i="8" s="1"/>
  <c r="I86" i="8" s="1"/>
  <c r="AA85" i="8"/>
  <c r="I85" i="8"/>
  <c r="H85" i="8"/>
  <c r="AA84" i="8"/>
  <c r="N84" i="8"/>
  <c r="O84" i="8" s="1"/>
  <c r="H84" i="8"/>
  <c r="I84" i="8" s="1"/>
  <c r="G84" i="8"/>
  <c r="AA83" i="8"/>
  <c r="N83" i="8"/>
  <c r="G83" i="8"/>
  <c r="H83" i="8" s="1"/>
  <c r="I83" i="8" s="1"/>
  <c r="AA82" i="8"/>
  <c r="N82" i="8"/>
  <c r="H82" i="8"/>
  <c r="I82" i="8" s="1"/>
  <c r="G82" i="8"/>
  <c r="AA81" i="8"/>
  <c r="N81" i="8"/>
  <c r="G81" i="8"/>
  <c r="H81" i="8" s="1"/>
  <c r="I81" i="8" s="1"/>
  <c r="AA80" i="8"/>
  <c r="N80" i="8"/>
  <c r="H80" i="8"/>
  <c r="I80" i="8" s="1"/>
  <c r="G80" i="8"/>
  <c r="AA79" i="8"/>
  <c r="N79" i="8"/>
  <c r="G79" i="8"/>
  <c r="H79" i="8" s="1"/>
  <c r="I79" i="8" s="1"/>
  <c r="AA78" i="8"/>
  <c r="N78" i="8"/>
  <c r="H78" i="8"/>
  <c r="I78" i="8" s="1"/>
  <c r="G78" i="8"/>
  <c r="AA77" i="8"/>
  <c r="N77" i="8"/>
  <c r="G77" i="8"/>
  <c r="H77" i="8" s="1"/>
  <c r="I77" i="8" s="1"/>
  <c r="AA76" i="8"/>
  <c r="N76" i="8"/>
  <c r="H76" i="8"/>
  <c r="I76" i="8" s="1"/>
  <c r="G76" i="8"/>
  <c r="AA75" i="8"/>
  <c r="N75" i="8"/>
  <c r="G75" i="8"/>
  <c r="H75" i="8" s="1"/>
  <c r="I75" i="8" s="1"/>
  <c r="AA74" i="8"/>
  <c r="G74" i="8"/>
  <c r="H74" i="8" s="1"/>
  <c r="I74" i="8" s="1"/>
  <c r="AA73" i="8"/>
  <c r="G73" i="8"/>
  <c r="H73" i="8" s="1"/>
  <c r="I73" i="8" s="1"/>
  <c r="AA72" i="8"/>
  <c r="G72" i="8"/>
  <c r="H72" i="8" s="1"/>
  <c r="I72" i="8" s="1"/>
  <c r="AA71" i="8"/>
  <c r="N71" i="8"/>
  <c r="H71" i="8"/>
  <c r="I71" i="8" s="1"/>
  <c r="G71" i="8"/>
  <c r="AA70" i="8"/>
  <c r="N70" i="8"/>
  <c r="O70" i="8" s="1"/>
  <c r="H70" i="8"/>
  <c r="I70" i="8" s="1"/>
  <c r="G70" i="8"/>
  <c r="AA69" i="8"/>
  <c r="N69" i="8"/>
  <c r="I69" i="8"/>
  <c r="G69" i="8"/>
  <c r="AA68" i="8"/>
  <c r="N68" i="8"/>
  <c r="O68" i="8" s="1"/>
  <c r="H68" i="8"/>
  <c r="I68" i="8" s="1"/>
  <c r="G68" i="8"/>
  <c r="AA67" i="8"/>
  <c r="N67" i="8"/>
  <c r="G67" i="8"/>
  <c r="H67" i="8" s="1"/>
  <c r="I67" i="8" s="1"/>
  <c r="AA66" i="8"/>
  <c r="N66" i="8"/>
  <c r="H66" i="8"/>
  <c r="I66" i="8" s="1"/>
  <c r="G66" i="8"/>
  <c r="AA65" i="8"/>
  <c r="N65" i="8"/>
  <c r="O65" i="8" s="1"/>
  <c r="H65" i="8"/>
  <c r="I65" i="8" s="1"/>
  <c r="G65" i="8"/>
  <c r="AA64" i="8"/>
  <c r="H64" i="8"/>
  <c r="I64" i="8" s="1"/>
  <c r="G64" i="8"/>
  <c r="AA63" i="8"/>
  <c r="N63" i="8"/>
  <c r="G63" i="8"/>
  <c r="H63" i="8" s="1"/>
  <c r="I63" i="8" s="1"/>
  <c r="AA62" i="8"/>
  <c r="N62" i="8"/>
  <c r="H62" i="8"/>
  <c r="I62" i="8" s="1"/>
  <c r="G62" i="8"/>
  <c r="AA61" i="8"/>
  <c r="N61" i="8"/>
  <c r="G61" i="8"/>
  <c r="H61" i="8" s="1"/>
  <c r="I61" i="8" s="1"/>
  <c r="AA60" i="8"/>
  <c r="U60" i="8"/>
  <c r="N185" i="8" s="1"/>
  <c r="O185" i="8" s="1"/>
  <c r="N60" i="8"/>
  <c r="I60" i="8"/>
  <c r="H60" i="8"/>
  <c r="AA59" i="8"/>
  <c r="U59" i="8"/>
  <c r="G59" i="8"/>
  <c r="H59" i="8" s="1"/>
  <c r="I59" i="8" s="1"/>
  <c r="AA58" i="8"/>
  <c r="U58" i="8"/>
  <c r="N58" i="8"/>
  <c r="O58" i="8" s="1"/>
  <c r="H58" i="8"/>
  <c r="I58" i="8" s="1"/>
  <c r="G58" i="8"/>
  <c r="AA57" i="8"/>
  <c r="U57" i="8"/>
  <c r="G57" i="8"/>
  <c r="H57" i="8" s="1"/>
  <c r="I57" i="8" s="1"/>
  <c r="AA56" i="8"/>
  <c r="U56" i="8"/>
  <c r="N56" i="8"/>
  <c r="O56" i="8" s="1"/>
  <c r="H56" i="8"/>
  <c r="I56" i="8" s="1"/>
  <c r="G56" i="8"/>
  <c r="AA55" i="8"/>
  <c r="U55" i="8"/>
  <c r="G55" i="8"/>
  <c r="H55" i="8" s="1"/>
  <c r="I55" i="8" s="1"/>
  <c r="AA54" i="8"/>
  <c r="U54" i="8"/>
  <c r="N123" i="8" s="1"/>
  <c r="O123" i="8" s="1"/>
  <c r="N54" i="8"/>
  <c r="I54" i="8"/>
  <c r="H54" i="8"/>
  <c r="AA53" i="8"/>
  <c r="U53" i="8"/>
  <c r="N53" i="8"/>
  <c r="H53" i="8"/>
  <c r="I53" i="8" s="1"/>
  <c r="G53" i="8"/>
  <c r="AA52" i="8"/>
  <c r="U52" i="8"/>
  <c r="N52" i="8"/>
  <c r="H52" i="8"/>
  <c r="I52" i="8" s="1"/>
  <c r="G52" i="8"/>
  <c r="AA51" i="8"/>
  <c r="U51" i="8"/>
  <c r="G51" i="8"/>
  <c r="H51" i="8" s="1"/>
  <c r="I51" i="8" s="1"/>
  <c r="AA50" i="8"/>
  <c r="U50" i="8"/>
  <c r="N119" i="8" s="1"/>
  <c r="O119" i="8" s="1"/>
  <c r="N50" i="8"/>
  <c r="I50" i="8"/>
  <c r="G50" i="8"/>
  <c r="AA49" i="8"/>
  <c r="U49" i="8"/>
  <c r="N49" i="8"/>
  <c r="H49" i="8"/>
  <c r="I49" i="8" s="1"/>
  <c r="AA48" i="8"/>
  <c r="U48" i="8"/>
  <c r="N48" i="8"/>
  <c r="G48" i="8"/>
  <c r="H48" i="8" s="1"/>
  <c r="I48" i="8" s="1"/>
  <c r="AA47" i="8"/>
  <c r="U47" i="8"/>
  <c r="N47" i="8"/>
  <c r="G47" i="8"/>
  <c r="H47" i="8" s="1"/>
  <c r="I47" i="8" s="1"/>
  <c r="AA46" i="8"/>
  <c r="U46" i="8"/>
  <c r="N46" i="8"/>
  <c r="G46" i="8"/>
  <c r="H46" i="8" s="1"/>
  <c r="I46" i="8" s="1"/>
  <c r="AA45" i="8"/>
  <c r="U45" i="8"/>
  <c r="N45" i="8"/>
  <c r="G45" i="8"/>
  <c r="H45" i="8" s="1"/>
  <c r="I45" i="8" s="1"/>
  <c r="AA44" i="8"/>
  <c r="U44" i="8"/>
  <c r="N44" i="8"/>
  <c r="O44" i="8" s="1"/>
  <c r="H44" i="8"/>
  <c r="I44" i="8" s="1"/>
  <c r="G44" i="8"/>
  <c r="AA43" i="8"/>
  <c r="U43" i="8"/>
  <c r="N211" i="8" s="1"/>
  <c r="O211" i="8" s="1"/>
  <c r="G43" i="8"/>
  <c r="H43" i="8" s="1"/>
  <c r="I43" i="8" s="1"/>
  <c r="AA42" i="8"/>
  <c r="U42" i="8"/>
  <c r="N42" i="8"/>
  <c r="O42" i="8" s="1"/>
  <c r="H42" i="8"/>
  <c r="I42" i="8" s="1"/>
  <c r="G42" i="8"/>
  <c r="AA41" i="8"/>
  <c r="U41" i="8"/>
  <c r="G41" i="8"/>
  <c r="H41" i="8" s="1"/>
  <c r="I41" i="8" s="1"/>
  <c r="AA40" i="8"/>
  <c r="U40" i="8"/>
  <c r="N184" i="8" s="1"/>
  <c r="O184" i="8" s="1"/>
  <c r="H40" i="8"/>
  <c r="I40" i="8" s="1"/>
  <c r="G40" i="8"/>
  <c r="AA39" i="8"/>
  <c r="U39" i="8"/>
  <c r="G39" i="8"/>
  <c r="H39" i="8" s="1"/>
  <c r="I39" i="8" s="1"/>
  <c r="AA38" i="8"/>
  <c r="U38" i="8"/>
  <c r="N38" i="8"/>
  <c r="G38" i="8"/>
  <c r="H38" i="8" s="1"/>
  <c r="I38" i="8" s="1"/>
  <c r="AA37" i="8"/>
  <c r="U37" i="8"/>
  <c r="N153" i="8" s="1"/>
  <c r="O153" i="8" s="1"/>
  <c r="H37" i="8"/>
  <c r="I37" i="8" s="1"/>
  <c r="G37" i="8"/>
  <c r="AA36" i="8"/>
  <c r="U36" i="8"/>
  <c r="N233" i="8" s="1"/>
  <c r="O233" i="8" s="1"/>
  <c r="G36" i="8"/>
  <c r="H36" i="8" s="1"/>
  <c r="I36" i="8" s="1"/>
  <c r="AA35" i="8"/>
  <c r="U35" i="8"/>
  <c r="N35" i="8"/>
  <c r="I35" i="8"/>
  <c r="H35" i="8"/>
  <c r="AA34" i="8"/>
  <c r="U34" i="8"/>
  <c r="N34" i="8"/>
  <c r="H34" i="8"/>
  <c r="I34" i="8" s="1"/>
  <c r="G34" i="8"/>
  <c r="AA33" i="8"/>
  <c r="U33" i="8"/>
  <c r="N33" i="8"/>
  <c r="H33" i="8"/>
  <c r="I33" i="8" s="1"/>
  <c r="G33" i="8"/>
  <c r="AA32" i="8"/>
  <c r="U32" i="8"/>
  <c r="N32" i="8"/>
  <c r="H32" i="8"/>
  <c r="I32" i="8" s="1"/>
  <c r="G32" i="8"/>
  <c r="AA31" i="8"/>
  <c r="U31" i="8"/>
  <c r="N31" i="8"/>
  <c r="H31" i="8"/>
  <c r="I31" i="8" s="1"/>
  <c r="AA30" i="8"/>
  <c r="U30" i="8"/>
  <c r="N30" i="8"/>
  <c r="G30" i="8"/>
  <c r="H30" i="8" s="1"/>
  <c r="I30" i="8" s="1"/>
  <c r="AA29" i="8"/>
  <c r="U29" i="8"/>
  <c r="N29" i="8"/>
  <c r="G29" i="8"/>
  <c r="H29" i="8" s="1"/>
  <c r="I29" i="8" s="1"/>
  <c r="AA28" i="8"/>
  <c r="U28" i="8"/>
  <c r="N85" i="8" s="1"/>
  <c r="O85" i="8" s="1"/>
  <c r="N28" i="8"/>
  <c r="G28" i="8"/>
  <c r="H28" i="8" s="1"/>
  <c r="I28" i="8" s="1"/>
  <c r="AA27" i="8"/>
  <c r="U27" i="8"/>
  <c r="N27" i="8"/>
  <c r="O27" i="8" s="1"/>
  <c r="H27" i="8"/>
  <c r="I27" i="8" s="1"/>
  <c r="G27" i="8"/>
  <c r="AA26" i="8"/>
  <c r="U26" i="8"/>
  <c r="G26" i="8"/>
  <c r="H26" i="8" s="1"/>
  <c r="I26" i="8" s="1"/>
  <c r="AA25" i="8"/>
  <c r="U25" i="8"/>
  <c r="N25" i="8"/>
  <c r="O25" i="8" s="1"/>
  <c r="H25" i="8"/>
  <c r="I25" i="8" s="1"/>
  <c r="G25" i="8"/>
  <c r="AA24" i="8"/>
  <c r="U24" i="8"/>
  <c r="N24" i="8"/>
  <c r="H24" i="8"/>
  <c r="I24" i="8" s="1"/>
  <c r="G24" i="8"/>
  <c r="AA23" i="8"/>
  <c r="U23" i="8"/>
  <c r="N23" i="8"/>
  <c r="H23" i="8"/>
  <c r="I23" i="8" s="1"/>
  <c r="G23" i="8"/>
  <c r="AA22" i="8"/>
  <c r="U22" i="8"/>
  <c r="N22" i="8"/>
  <c r="H22" i="8"/>
  <c r="I22" i="8" s="1"/>
  <c r="G22" i="8"/>
  <c r="AA21" i="8"/>
  <c r="U21" i="8"/>
  <c r="N21" i="8"/>
  <c r="H21" i="8"/>
  <c r="I21" i="8" s="1"/>
  <c r="G21" i="8"/>
  <c r="AA20" i="8"/>
  <c r="U20" i="8"/>
  <c r="G20" i="8"/>
  <c r="H20" i="8" s="1"/>
  <c r="I20" i="8" s="1"/>
  <c r="AA19" i="8"/>
  <c r="U19" i="8"/>
  <c r="N19" i="8"/>
  <c r="G19" i="8"/>
  <c r="H19" i="8" s="1"/>
  <c r="I19" i="8" s="1"/>
  <c r="AA18" i="8"/>
  <c r="U18" i="8"/>
  <c r="N18" i="8"/>
  <c r="G18" i="8"/>
  <c r="H18" i="8" s="1"/>
  <c r="I18" i="8" s="1"/>
  <c r="AA17" i="8"/>
  <c r="U17" i="8"/>
  <c r="N17" i="8"/>
  <c r="G17" i="8"/>
  <c r="H17" i="8" s="1"/>
  <c r="I17" i="8" s="1"/>
  <c r="AA16" i="8"/>
  <c r="U16" i="8"/>
  <c r="N73" i="8" s="1"/>
  <c r="O73" i="8" s="1"/>
  <c r="N16" i="8"/>
  <c r="G16" i="8"/>
  <c r="H16" i="8" s="1"/>
  <c r="I16" i="8" s="1"/>
  <c r="AA15" i="8"/>
  <c r="U15" i="8"/>
  <c r="N182" i="8" s="1"/>
  <c r="O182" i="8" s="1"/>
  <c r="N15" i="8"/>
  <c r="G15" i="8"/>
  <c r="H15" i="8" s="1"/>
  <c r="I15" i="8" s="1"/>
  <c r="AA14" i="8"/>
  <c r="U14" i="8"/>
  <c r="N170" i="8" s="1"/>
  <c r="O170" i="8" s="1"/>
  <c r="N14" i="8"/>
  <c r="G14" i="8"/>
  <c r="H14" i="8" s="1"/>
  <c r="I14" i="8" s="1"/>
  <c r="AA13" i="8"/>
  <c r="U13" i="8"/>
  <c r="N13" i="8"/>
  <c r="G13" i="8"/>
  <c r="H13" i="8" s="1"/>
  <c r="I13" i="8" s="1"/>
  <c r="AA12" i="8"/>
  <c r="U12" i="8"/>
  <c r="N12" i="8"/>
  <c r="O12" i="8" s="1"/>
  <c r="H12" i="8"/>
  <c r="I12" i="8" s="1"/>
  <c r="G12" i="8"/>
  <c r="AA11" i="8"/>
  <c r="U11" i="8"/>
  <c r="N183" i="8" s="1"/>
  <c r="O183" i="8" s="1"/>
  <c r="N11" i="8"/>
  <c r="H11" i="8"/>
  <c r="I11" i="8" s="1"/>
  <c r="G11" i="8"/>
  <c r="AA10" i="8"/>
  <c r="U10" i="8"/>
  <c r="N10" i="8"/>
  <c r="H10" i="8"/>
  <c r="I10" i="8" s="1"/>
  <c r="G10" i="8"/>
  <c r="AA9" i="8"/>
  <c r="U9" i="8"/>
  <c r="N189" i="8" s="1"/>
  <c r="O189" i="8" s="1"/>
  <c r="G9" i="8"/>
  <c r="H9" i="8" s="1"/>
  <c r="I9" i="8" s="1"/>
  <c r="AA8" i="8"/>
  <c r="U8" i="8"/>
  <c r="N180" i="8" s="1"/>
  <c r="O180" i="8" s="1"/>
  <c r="N8" i="8"/>
  <c r="G8" i="8"/>
  <c r="H8" i="8" s="1"/>
  <c r="I8" i="8" s="1"/>
  <c r="AA7" i="8"/>
  <c r="U7" i="8"/>
  <c r="N179" i="8" s="1"/>
  <c r="O179" i="8" s="1"/>
  <c r="N7" i="8"/>
  <c r="G7" i="8"/>
  <c r="H7" i="8" s="1"/>
  <c r="I7" i="8" s="1"/>
  <c r="AA6" i="8"/>
  <c r="U6" i="8"/>
  <c r="N6" i="8"/>
  <c r="G6" i="8"/>
  <c r="H6" i="8" s="1"/>
  <c r="I6" i="8" s="1"/>
  <c r="AA5" i="8"/>
  <c r="U5" i="8"/>
  <c r="N187" i="8" s="1"/>
  <c r="O187" i="8" s="1"/>
  <c r="N5" i="8"/>
  <c r="I5" i="8"/>
  <c r="H5" i="8"/>
  <c r="AA4" i="8"/>
  <c r="U4" i="8"/>
  <c r="N4" i="8"/>
  <c r="H4" i="8"/>
  <c r="I4" i="8" s="1"/>
  <c r="G4" i="8"/>
  <c r="AA3" i="8"/>
  <c r="U3" i="8"/>
  <c r="N234" i="8" s="1"/>
  <c r="O234" i="8" s="1"/>
  <c r="N3" i="8"/>
  <c r="H3" i="8"/>
  <c r="G3" i="8"/>
  <c r="N350" i="7"/>
  <c r="M350" i="7"/>
  <c r="H350" i="7"/>
  <c r="G350" i="7"/>
  <c r="N349" i="7"/>
  <c r="M349" i="7"/>
  <c r="H349" i="7"/>
  <c r="G349" i="7"/>
  <c r="N348" i="7"/>
  <c r="M348" i="7"/>
  <c r="H348" i="7"/>
  <c r="G348" i="7"/>
  <c r="N347" i="7"/>
  <c r="M347" i="7"/>
  <c r="H347" i="7"/>
  <c r="G347" i="7"/>
  <c r="N346" i="7"/>
  <c r="M346" i="7"/>
  <c r="H346" i="7"/>
  <c r="G346" i="7"/>
  <c r="N345" i="7"/>
  <c r="M345" i="7"/>
  <c r="H345" i="7"/>
  <c r="G345" i="7"/>
  <c r="N344" i="7"/>
  <c r="M344" i="7"/>
  <c r="H344" i="7"/>
  <c r="G344" i="7"/>
  <c r="N343" i="7"/>
  <c r="M343" i="7"/>
  <c r="H343" i="7"/>
  <c r="G343" i="7"/>
  <c r="N342" i="7"/>
  <c r="M342" i="7"/>
  <c r="H342" i="7"/>
  <c r="G342" i="7"/>
  <c r="N341" i="7"/>
  <c r="M341" i="7"/>
  <c r="H341" i="7"/>
  <c r="G341" i="7"/>
  <c r="N340" i="7"/>
  <c r="M340" i="7"/>
  <c r="H340" i="7"/>
  <c r="G340" i="7"/>
  <c r="N339" i="7"/>
  <c r="M339" i="7"/>
  <c r="H339" i="7"/>
  <c r="G339" i="7"/>
  <c r="N338" i="7"/>
  <c r="M338" i="7"/>
  <c r="H338" i="7"/>
  <c r="G338" i="7"/>
  <c r="N337" i="7"/>
  <c r="M337" i="7"/>
  <c r="H337" i="7"/>
  <c r="G337" i="7"/>
  <c r="N336" i="7"/>
  <c r="M336" i="7"/>
  <c r="H336" i="7"/>
  <c r="G336" i="7"/>
  <c r="N335" i="7"/>
  <c r="M335" i="7"/>
  <c r="H335" i="7"/>
  <c r="G335" i="7"/>
  <c r="N334" i="7"/>
  <c r="M334" i="7"/>
  <c r="H334" i="7"/>
  <c r="G334" i="7"/>
  <c r="N333" i="7"/>
  <c r="M333" i="7"/>
  <c r="H333" i="7"/>
  <c r="G333" i="7"/>
  <c r="N332" i="7"/>
  <c r="M332" i="7"/>
  <c r="H332" i="7"/>
  <c r="G332" i="7"/>
  <c r="N331" i="7"/>
  <c r="M331" i="7"/>
  <c r="H331" i="7"/>
  <c r="G331" i="7"/>
  <c r="N330" i="7"/>
  <c r="M330" i="7"/>
  <c r="H330" i="7"/>
  <c r="G330" i="7"/>
  <c r="N329" i="7"/>
  <c r="M329" i="7"/>
  <c r="H329" i="7"/>
  <c r="G329" i="7"/>
  <c r="N328" i="7"/>
  <c r="M328" i="7"/>
  <c r="H328" i="7"/>
  <c r="G328" i="7"/>
  <c r="N327" i="7"/>
  <c r="M327" i="7"/>
  <c r="H327" i="7"/>
  <c r="G327" i="7"/>
  <c r="N326" i="7"/>
  <c r="M326" i="7"/>
  <c r="H326" i="7"/>
  <c r="G326" i="7"/>
  <c r="N325" i="7"/>
  <c r="M325" i="7"/>
  <c r="H325" i="7"/>
  <c r="G325" i="7"/>
  <c r="N324" i="7"/>
  <c r="M324" i="7"/>
  <c r="H324" i="7"/>
  <c r="G324" i="7"/>
  <c r="N323" i="7"/>
  <c r="M323" i="7"/>
  <c r="H323" i="7"/>
  <c r="G323" i="7"/>
  <c r="N322" i="7"/>
  <c r="M322" i="7"/>
  <c r="H322" i="7"/>
  <c r="G322" i="7"/>
  <c r="N321" i="7"/>
  <c r="M321" i="7"/>
  <c r="H321" i="7"/>
  <c r="G321" i="7"/>
  <c r="N320" i="7"/>
  <c r="M320" i="7"/>
  <c r="H320" i="7"/>
  <c r="G320" i="7"/>
  <c r="N319" i="7"/>
  <c r="M319" i="7"/>
  <c r="H319" i="7"/>
  <c r="G319" i="7"/>
  <c r="N318" i="7"/>
  <c r="M318" i="7"/>
  <c r="H318" i="7"/>
  <c r="G318" i="7"/>
  <c r="N317" i="7"/>
  <c r="M317" i="7"/>
  <c r="H317" i="7"/>
  <c r="G317" i="7"/>
  <c r="N316" i="7"/>
  <c r="M316" i="7"/>
  <c r="H316" i="7"/>
  <c r="G316" i="7"/>
  <c r="N315" i="7"/>
  <c r="M315" i="7"/>
  <c r="H315" i="7"/>
  <c r="G315" i="7"/>
  <c r="N314" i="7"/>
  <c r="M314" i="7"/>
  <c r="H314" i="7"/>
  <c r="G314" i="7"/>
  <c r="N313" i="7"/>
  <c r="M313" i="7"/>
  <c r="H313" i="7"/>
  <c r="G313" i="7"/>
  <c r="N312" i="7"/>
  <c r="M312" i="7"/>
  <c r="H312" i="7"/>
  <c r="G312" i="7"/>
  <c r="N311" i="7"/>
  <c r="M311" i="7"/>
  <c r="H311" i="7"/>
  <c r="G311" i="7"/>
  <c r="N310" i="7"/>
  <c r="M310" i="7"/>
  <c r="H310" i="7"/>
  <c r="G310" i="7"/>
  <c r="N309" i="7"/>
  <c r="M309" i="7"/>
  <c r="H309" i="7"/>
  <c r="G309" i="7"/>
  <c r="N308" i="7"/>
  <c r="M308" i="7"/>
  <c r="H308" i="7"/>
  <c r="G308" i="7"/>
  <c r="N307" i="7"/>
  <c r="M307" i="7"/>
  <c r="H307" i="7"/>
  <c r="G307" i="7"/>
  <c r="N306" i="7"/>
  <c r="M306" i="7"/>
  <c r="H306" i="7"/>
  <c r="G306" i="7"/>
  <c r="N305" i="7"/>
  <c r="M305" i="7"/>
  <c r="H305" i="7"/>
  <c r="G305" i="7"/>
  <c r="N304" i="7"/>
  <c r="M304" i="7"/>
  <c r="H304" i="7"/>
  <c r="G304" i="7"/>
  <c r="N303" i="7"/>
  <c r="M303" i="7"/>
  <c r="H303" i="7"/>
  <c r="G303" i="7"/>
  <c r="N302" i="7"/>
  <c r="M302" i="7"/>
  <c r="H302" i="7"/>
  <c r="G302" i="7"/>
  <c r="N301" i="7"/>
  <c r="M301" i="7"/>
  <c r="H301" i="7"/>
  <c r="G301" i="7"/>
  <c r="N300" i="7"/>
  <c r="M300" i="7"/>
  <c r="H300" i="7"/>
  <c r="G300" i="7"/>
  <c r="N299" i="7"/>
  <c r="M299" i="7"/>
  <c r="H299" i="7"/>
  <c r="G299" i="7"/>
  <c r="N298" i="7"/>
  <c r="M298" i="7"/>
  <c r="H298" i="7"/>
  <c r="G298" i="7"/>
  <c r="N297" i="7"/>
  <c r="M297" i="7"/>
  <c r="H297" i="7"/>
  <c r="G297" i="7"/>
  <c r="N296" i="7"/>
  <c r="M296" i="7"/>
  <c r="H296" i="7"/>
  <c r="G296" i="7"/>
  <c r="N295" i="7"/>
  <c r="M295" i="7"/>
  <c r="H295" i="7"/>
  <c r="G295" i="7"/>
  <c r="N294" i="7"/>
  <c r="M294" i="7"/>
  <c r="H294" i="7"/>
  <c r="G294" i="7"/>
  <c r="N293" i="7"/>
  <c r="M293" i="7"/>
  <c r="H293" i="7"/>
  <c r="G293" i="7"/>
  <c r="N292" i="7"/>
  <c r="M292" i="7"/>
  <c r="H292" i="7"/>
  <c r="G292" i="7"/>
  <c r="N291" i="7"/>
  <c r="M291" i="7"/>
  <c r="H291" i="7"/>
  <c r="G291" i="7"/>
  <c r="N290" i="7"/>
  <c r="M290" i="7"/>
  <c r="H290" i="7"/>
  <c r="G290" i="7"/>
  <c r="N289" i="7"/>
  <c r="M289" i="7"/>
  <c r="H289" i="7"/>
  <c r="G289" i="7"/>
  <c r="N288" i="7"/>
  <c r="M288" i="7"/>
  <c r="H288" i="7"/>
  <c r="G288" i="7"/>
  <c r="N287" i="7"/>
  <c r="M287" i="7"/>
  <c r="H287" i="7"/>
  <c r="G287" i="7"/>
  <c r="N286" i="7"/>
  <c r="M286" i="7"/>
  <c r="H286" i="7"/>
  <c r="G286" i="7"/>
  <c r="N285" i="7"/>
  <c r="M285" i="7"/>
  <c r="H285" i="7"/>
  <c r="G285" i="7"/>
  <c r="N284" i="7"/>
  <c r="M284" i="7"/>
  <c r="H284" i="7"/>
  <c r="G284" i="7"/>
  <c r="N283" i="7"/>
  <c r="M283" i="7"/>
  <c r="H283" i="7"/>
  <c r="G283" i="7"/>
  <c r="N282" i="7"/>
  <c r="M282" i="7"/>
  <c r="H282" i="7"/>
  <c r="G282" i="7"/>
  <c r="N281" i="7"/>
  <c r="M281" i="7"/>
  <c r="H281" i="7"/>
  <c r="G281" i="7"/>
  <c r="N280" i="7"/>
  <c r="M280" i="7"/>
  <c r="H280" i="7"/>
  <c r="G280" i="7"/>
  <c r="N279" i="7"/>
  <c r="M279" i="7"/>
  <c r="H279" i="7"/>
  <c r="G279" i="7"/>
  <c r="N278" i="7"/>
  <c r="M278" i="7"/>
  <c r="G278" i="7"/>
  <c r="H278" i="7" s="1"/>
  <c r="N277" i="7"/>
  <c r="M277" i="7"/>
  <c r="G277" i="7"/>
  <c r="H277" i="7" s="1"/>
  <c r="N276" i="7"/>
  <c r="M276" i="7"/>
  <c r="G276" i="7"/>
  <c r="H276" i="7" s="1"/>
  <c r="G275" i="7"/>
  <c r="H275" i="7" s="1"/>
  <c r="G274" i="7"/>
  <c r="H274" i="7" s="1"/>
  <c r="G273" i="7"/>
  <c r="H273" i="7" s="1"/>
  <c r="H272" i="7"/>
  <c r="G272" i="7"/>
  <c r="G271" i="7"/>
  <c r="H271" i="7" s="1"/>
  <c r="H270" i="7"/>
  <c r="G270" i="7"/>
  <c r="H269" i="7"/>
  <c r="G269" i="7"/>
  <c r="H268" i="7"/>
  <c r="G268" i="7"/>
  <c r="H267" i="7"/>
  <c r="G266" i="7"/>
  <c r="H266" i="7" s="1"/>
  <c r="G265" i="7"/>
  <c r="H265" i="7" s="1"/>
  <c r="G264" i="7"/>
  <c r="H264" i="7" s="1"/>
  <c r="G263" i="7"/>
  <c r="H263" i="7" s="1"/>
  <c r="G262" i="7"/>
  <c r="H262" i="7" s="1"/>
  <c r="G261" i="7"/>
  <c r="H261" i="7" s="1"/>
  <c r="G260" i="7"/>
  <c r="H260" i="7" s="1"/>
  <c r="H259" i="7"/>
  <c r="G258" i="7"/>
  <c r="H258" i="7" s="1"/>
  <c r="G257" i="7"/>
  <c r="H257" i="7" s="1"/>
  <c r="G256" i="7"/>
  <c r="H256" i="7" s="1"/>
  <c r="G255" i="7"/>
  <c r="H255" i="7" s="1"/>
  <c r="G254" i="7"/>
  <c r="H254" i="7" s="1"/>
  <c r="H253" i="7"/>
  <c r="G253" i="7"/>
  <c r="G252" i="7"/>
  <c r="H252" i="7" s="1"/>
  <c r="H251" i="7"/>
  <c r="G251" i="7"/>
  <c r="G250" i="7"/>
  <c r="H250" i="7" s="1"/>
  <c r="H249" i="7"/>
  <c r="G249" i="7"/>
  <c r="G248" i="7"/>
  <c r="H248" i="7" s="1"/>
  <c r="H247" i="7"/>
  <c r="G247" i="7"/>
  <c r="G246" i="7"/>
  <c r="H246" i="7" s="1"/>
  <c r="H245" i="7"/>
  <c r="G245" i="7"/>
  <c r="H244" i="7"/>
  <c r="G244" i="7"/>
  <c r="H243" i="7"/>
  <c r="G243" i="7"/>
  <c r="H242" i="7"/>
  <c r="G242" i="7"/>
  <c r="H241" i="7"/>
  <c r="G241" i="7"/>
  <c r="H240" i="7"/>
  <c r="G240" i="7"/>
  <c r="G239" i="7"/>
  <c r="H239" i="7" s="1"/>
  <c r="G238" i="7"/>
  <c r="H238" i="7" s="1"/>
  <c r="G237" i="7"/>
  <c r="H237" i="7" s="1"/>
  <c r="H236" i="7"/>
  <c r="G236" i="7"/>
  <c r="G235" i="7"/>
  <c r="H235" i="7" s="1"/>
  <c r="H234" i="7"/>
  <c r="G234" i="7"/>
  <c r="H233" i="7"/>
  <c r="G233" i="7"/>
  <c r="H232" i="7"/>
  <c r="G232" i="7"/>
  <c r="G231" i="7"/>
  <c r="H231" i="7" s="1"/>
  <c r="H230" i="7"/>
  <c r="G230" i="7"/>
  <c r="G229" i="7"/>
  <c r="H229" i="7" s="1"/>
  <c r="H228" i="7"/>
  <c r="G228" i="7"/>
  <c r="G227" i="7"/>
  <c r="H227" i="7" s="1"/>
  <c r="H226" i="7"/>
  <c r="G226" i="7"/>
  <c r="H225" i="7"/>
  <c r="G225" i="7"/>
  <c r="H224" i="7"/>
  <c r="G224" i="7"/>
  <c r="H223" i="7"/>
  <c r="G223" i="7"/>
  <c r="H222" i="7"/>
  <c r="G222" i="7"/>
  <c r="G221" i="7"/>
  <c r="H221" i="7" s="1"/>
  <c r="H220" i="7"/>
  <c r="G220" i="7"/>
  <c r="G219" i="7"/>
  <c r="H219" i="7" s="1"/>
  <c r="H218" i="7"/>
  <c r="G218" i="7"/>
  <c r="G217" i="7"/>
  <c r="H217" i="7" s="1"/>
  <c r="H216" i="7"/>
  <c r="G216" i="7"/>
  <c r="G215" i="7"/>
  <c r="H215" i="7" s="1"/>
  <c r="H214" i="7"/>
  <c r="G214" i="7"/>
  <c r="H213" i="7"/>
  <c r="G212" i="7"/>
  <c r="H212" i="7" s="1"/>
  <c r="G211" i="7"/>
  <c r="H211" i="7" s="1"/>
  <c r="G210" i="7"/>
  <c r="H210" i="7" s="1"/>
  <c r="G209" i="7"/>
  <c r="H209" i="7" s="1"/>
  <c r="G208" i="7"/>
  <c r="H208" i="7" s="1"/>
  <c r="G207" i="7"/>
  <c r="H207" i="7" s="1"/>
  <c r="G206" i="7"/>
  <c r="H206" i="7" s="1"/>
  <c r="G205" i="7"/>
  <c r="H205" i="7" s="1"/>
  <c r="G204" i="7"/>
  <c r="H204" i="7" s="1"/>
  <c r="G203" i="7"/>
  <c r="H203" i="7" s="1"/>
  <c r="G202" i="7"/>
  <c r="H202" i="7" s="1"/>
  <c r="G201" i="7"/>
  <c r="H201" i="7" s="1"/>
  <c r="G200" i="7"/>
  <c r="H200" i="7" s="1"/>
  <c r="G199" i="7"/>
  <c r="H199" i="7" s="1"/>
  <c r="G198" i="7"/>
  <c r="H198" i="7" s="1"/>
  <c r="G197" i="7"/>
  <c r="H197" i="7" s="1"/>
  <c r="G196" i="7"/>
  <c r="H196" i="7" s="1"/>
  <c r="G195" i="7"/>
  <c r="H195" i="7" s="1"/>
  <c r="G194" i="7"/>
  <c r="H194" i="7" s="1"/>
  <c r="G193" i="7"/>
  <c r="H193" i="7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5" i="7"/>
  <c r="H175" i="7" s="1"/>
  <c r="G174" i="7"/>
  <c r="H174" i="7" s="1"/>
  <c r="G173" i="7"/>
  <c r="H173" i="7" s="1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Z166" i="7"/>
  <c r="H166" i="7"/>
  <c r="G166" i="7"/>
  <c r="Z165" i="7"/>
  <c r="G165" i="7"/>
  <c r="H165" i="7" s="1"/>
  <c r="Z164" i="7"/>
  <c r="G164" i="7"/>
  <c r="H164" i="7" s="1"/>
  <c r="Z163" i="7"/>
  <c r="H163" i="7"/>
  <c r="Z162" i="7"/>
  <c r="G162" i="7"/>
  <c r="H162" i="7" s="1"/>
  <c r="Z161" i="7"/>
  <c r="G161" i="7"/>
  <c r="H161" i="7" s="1"/>
  <c r="Z160" i="7"/>
  <c r="G160" i="7"/>
  <c r="H160" i="7" s="1"/>
  <c r="Z159" i="7"/>
  <c r="H159" i="7"/>
  <c r="G159" i="7"/>
  <c r="Z158" i="7"/>
  <c r="G158" i="7"/>
  <c r="H158" i="7" s="1"/>
  <c r="Z157" i="7"/>
  <c r="G157" i="7"/>
  <c r="H157" i="7" s="1"/>
  <c r="Z156" i="7"/>
  <c r="H156" i="7"/>
  <c r="Z155" i="7"/>
  <c r="G155" i="7"/>
  <c r="H155" i="7" s="1"/>
  <c r="Z154" i="7"/>
  <c r="G154" i="7"/>
  <c r="H154" i="7" s="1"/>
  <c r="Z153" i="7"/>
  <c r="G153" i="7"/>
  <c r="H153" i="7" s="1"/>
  <c r="Z152" i="7"/>
  <c r="H152" i="7"/>
  <c r="G152" i="7"/>
  <c r="Z151" i="7"/>
  <c r="G151" i="7"/>
  <c r="H151" i="7" s="1"/>
  <c r="Z150" i="7"/>
  <c r="G150" i="7"/>
  <c r="H150" i="7" s="1"/>
  <c r="Z149" i="7"/>
  <c r="G149" i="7"/>
  <c r="H149" i="7" s="1"/>
  <c r="Z148" i="7"/>
  <c r="H148" i="7"/>
  <c r="G148" i="7"/>
  <c r="Z147" i="7"/>
  <c r="G147" i="7"/>
  <c r="H147" i="7" s="1"/>
  <c r="Z146" i="7"/>
  <c r="G146" i="7"/>
  <c r="H146" i="7" s="1"/>
  <c r="Z145" i="7"/>
  <c r="G145" i="7"/>
  <c r="H145" i="7" s="1"/>
  <c r="Z144" i="7"/>
  <c r="H144" i="7"/>
  <c r="G144" i="7"/>
  <c r="Z143" i="7"/>
  <c r="G143" i="7"/>
  <c r="H143" i="7" s="1"/>
  <c r="Z142" i="7"/>
  <c r="G142" i="7"/>
  <c r="H142" i="7" s="1"/>
  <c r="Z141" i="7"/>
  <c r="G141" i="7"/>
  <c r="H141" i="7" s="1"/>
  <c r="Z140" i="7"/>
  <c r="H140" i="7"/>
  <c r="G140" i="7"/>
  <c r="Z139" i="7"/>
  <c r="G139" i="7"/>
  <c r="H139" i="7" s="1"/>
  <c r="Z138" i="7"/>
  <c r="G138" i="7"/>
  <c r="H138" i="7" s="1"/>
  <c r="Z137" i="7"/>
  <c r="G137" i="7"/>
  <c r="H137" i="7" s="1"/>
  <c r="Z136" i="7"/>
  <c r="H136" i="7"/>
  <c r="G136" i="7"/>
  <c r="Z135" i="7"/>
  <c r="G135" i="7"/>
  <c r="H135" i="7" s="1"/>
  <c r="Z134" i="7"/>
  <c r="G134" i="7"/>
  <c r="H134" i="7" s="1"/>
  <c r="Z133" i="7"/>
  <c r="G133" i="7"/>
  <c r="H133" i="7" s="1"/>
  <c r="Z132" i="7"/>
  <c r="H132" i="7"/>
  <c r="G132" i="7"/>
  <c r="Z131" i="7"/>
  <c r="G131" i="7"/>
  <c r="H131" i="7" s="1"/>
  <c r="Z130" i="7"/>
  <c r="G130" i="7"/>
  <c r="H130" i="7" s="1"/>
  <c r="Z129" i="7"/>
  <c r="G129" i="7"/>
  <c r="H129" i="7" s="1"/>
  <c r="Z128" i="7"/>
  <c r="H128" i="7"/>
  <c r="G128" i="7"/>
  <c r="Z127" i="7"/>
  <c r="G127" i="7"/>
  <c r="H127" i="7" s="1"/>
  <c r="Z126" i="7"/>
  <c r="G126" i="7"/>
  <c r="H126" i="7" s="1"/>
  <c r="Z125" i="7"/>
  <c r="G125" i="7"/>
  <c r="H125" i="7" s="1"/>
  <c r="Z124" i="7"/>
  <c r="H124" i="7"/>
  <c r="G124" i="7"/>
  <c r="Z123" i="7"/>
  <c r="G123" i="7"/>
  <c r="H123" i="7" s="1"/>
  <c r="Z122" i="7"/>
  <c r="G122" i="7"/>
  <c r="H122" i="7" s="1"/>
  <c r="Z121" i="7"/>
  <c r="G121" i="7"/>
  <c r="H121" i="7" s="1"/>
  <c r="Z120" i="7"/>
  <c r="H120" i="7"/>
  <c r="G120" i="7"/>
  <c r="Z119" i="7"/>
  <c r="G119" i="7"/>
  <c r="H119" i="7" s="1"/>
  <c r="Z118" i="7"/>
  <c r="G118" i="7"/>
  <c r="H118" i="7" s="1"/>
  <c r="Z117" i="7"/>
  <c r="G117" i="7"/>
  <c r="H117" i="7" s="1"/>
  <c r="Z116" i="7"/>
  <c r="H116" i="7"/>
  <c r="G116" i="7"/>
  <c r="Z115" i="7"/>
  <c r="G115" i="7"/>
  <c r="H115" i="7" s="1"/>
  <c r="Z114" i="7"/>
  <c r="G114" i="7"/>
  <c r="H114" i="7" s="1"/>
  <c r="Z113" i="7"/>
  <c r="G113" i="7"/>
  <c r="H113" i="7" s="1"/>
  <c r="Z112" i="7"/>
  <c r="H112" i="7"/>
  <c r="G112" i="7"/>
  <c r="Z111" i="7"/>
  <c r="G111" i="7"/>
  <c r="H111" i="7" s="1"/>
  <c r="Z110" i="7"/>
  <c r="H110" i="7"/>
  <c r="Z109" i="7"/>
  <c r="H109" i="7"/>
  <c r="G109" i="7"/>
  <c r="Z108" i="7"/>
  <c r="G108" i="7"/>
  <c r="H108" i="7" s="1"/>
  <c r="Z107" i="7"/>
  <c r="G107" i="7"/>
  <c r="H107" i="7" s="1"/>
  <c r="Z106" i="7"/>
  <c r="G106" i="7"/>
  <c r="H106" i="7" s="1"/>
  <c r="Z105" i="7"/>
  <c r="H105" i="7"/>
  <c r="G105" i="7"/>
  <c r="Z104" i="7"/>
  <c r="G104" i="7"/>
  <c r="H104" i="7" s="1"/>
  <c r="Z103" i="7"/>
  <c r="G103" i="7"/>
  <c r="H103" i="7" s="1"/>
  <c r="Z102" i="7"/>
  <c r="G102" i="7"/>
  <c r="H102" i="7" s="1"/>
  <c r="Z101" i="7"/>
  <c r="H101" i="7"/>
  <c r="G101" i="7"/>
  <c r="Z100" i="7"/>
  <c r="G100" i="7"/>
  <c r="H100" i="7" s="1"/>
  <c r="Z99" i="7"/>
  <c r="G99" i="7"/>
  <c r="H99" i="7" s="1"/>
  <c r="Z98" i="7"/>
  <c r="G98" i="7"/>
  <c r="H98" i="7" s="1"/>
  <c r="Z97" i="7"/>
  <c r="H97" i="7"/>
  <c r="G97" i="7"/>
  <c r="Z96" i="7"/>
  <c r="G96" i="7"/>
  <c r="H96" i="7" s="1"/>
  <c r="Z95" i="7"/>
  <c r="G95" i="7"/>
  <c r="H95" i="7" s="1"/>
  <c r="Z94" i="7"/>
  <c r="G94" i="7"/>
  <c r="H94" i="7" s="1"/>
  <c r="Z93" i="7"/>
  <c r="H93" i="7"/>
  <c r="G93" i="7"/>
  <c r="Z92" i="7"/>
  <c r="G92" i="7"/>
  <c r="H92" i="7" s="1"/>
  <c r="Z91" i="7"/>
  <c r="G91" i="7"/>
  <c r="H91" i="7" s="1"/>
  <c r="Z90" i="7"/>
  <c r="G90" i="7"/>
  <c r="H90" i="7" s="1"/>
  <c r="Z89" i="7"/>
  <c r="H89" i="7"/>
  <c r="G89" i="7"/>
  <c r="Z88" i="7"/>
  <c r="G88" i="7"/>
  <c r="H88" i="7" s="1"/>
  <c r="Z87" i="7"/>
  <c r="G87" i="7"/>
  <c r="H87" i="7" s="1"/>
  <c r="Z86" i="7"/>
  <c r="G86" i="7"/>
  <c r="H86" i="7" s="1"/>
  <c r="Z85" i="7"/>
  <c r="H85" i="7"/>
  <c r="G85" i="7"/>
  <c r="Z84" i="7"/>
  <c r="G84" i="7"/>
  <c r="H84" i="7" s="1"/>
  <c r="Z83" i="7"/>
  <c r="G83" i="7"/>
  <c r="H83" i="7" s="1"/>
  <c r="Z82" i="7"/>
  <c r="G82" i="7"/>
  <c r="H82" i="7" s="1"/>
  <c r="Z81" i="7"/>
  <c r="H81" i="7"/>
  <c r="G81" i="7"/>
  <c r="Z80" i="7"/>
  <c r="G80" i="7"/>
  <c r="H80" i="7" s="1"/>
  <c r="Z79" i="7"/>
  <c r="G79" i="7"/>
  <c r="H79" i="7" s="1"/>
  <c r="Z78" i="7"/>
  <c r="G78" i="7"/>
  <c r="H78" i="7" s="1"/>
  <c r="Z77" i="7"/>
  <c r="H77" i="7"/>
  <c r="G77" i="7"/>
  <c r="Z76" i="7"/>
  <c r="G76" i="7"/>
  <c r="H76" i="7" s="1"/>
  <c r="Z75" i="7"/>
  <c r="H75" i="7"/>
  <c r="G75" i="7"/>
  <c r="Z74" i="7"/>
  <c r="G74" i="7"/>
  <c r="H74" i="7" s="1"/>
  <c r="Z73" i="7"/>
  <c r="H73" i="7"/>
  <c r="G73" i="7"/>
  <c r="Z72" i="7"/>
  <c r="H72" i="7"/>
  <c r="G72" i="7"/>
  <c r="Z71" i="7"/>
  <c r="G71" i="7"/>
  <c r="H71" i="7" s="1"/>
  <c r="Z70" i="7"/>
  <c r="G70" i="7"/>
  <c r="H70" i="7" s="1"/>
  <c r="Z69" i="7"/>
  <c r="H69" i="7"/>
  <c r="G69" i="7"/>
  <c r="Z68" i="7"/>
  <c r="G68" i="7"/>
  <c r="H68" i="7" s="1"/>
  <c r="Z67" i="7"/>
  <c r="H67" i="7"/>
  <c r="G67" i="7"/>
  <c r="Z66" i="7"/>
  <c r="G66" i="7"/>
  <c r="H66" i="7" s="1"/>
  <c r="Z65" i="7"/>
  <c r="H65" i="7"/>
  <c r="G65" i="7"/>
  <c r="Z64" i="7"/>
  <c r="G64" i="7"/>
  <c r="H64" i="7" s="1"/>
  <c r="Z63" i="7"/>
  <c r="G63" i="7"/>
  <c r="H63" i="7" s="1"/>
  <c r="Z62" i="7"/>
  <c r="G62" i="7"/>
  <c r="H62" i="7" s="1"/>
  <c r="Z61" i="7"/>
  <c r="H61" i="7"/>
  <c r="G61" i="7"/>
  <c r="Z60" i="7"/>
  <c r="M60" i="7"/>
  <c r="N60" i="7" s="1"/>
  <c r="G60" i="7"/>
  <c r="H60" i="7" s="1"/>
  <c r="Z59" i="7"/>
  <c r="H59" i="7"/>
  <c r="G59" i="7"/>
  <c r="Z58" i="7"/>
  <c r="H58" i="7"/>
  <c r="G58" i="7"/>
  <c r="Z57" i="7"/>
  <c r="M57" i="7"/>
  <c r="N57" i="7" s="1"/>
  <c r="H57" i="7"/>
  <c r="G57" i="7"/>
  <c r="Z56" i="7"/>
  <c r="G56" i="7"/>
  <c r="H56" i="7" s="1"/>
  <c r="Z55" i="7"/>
  <c r="G55" i="7"/>
  <c r="H55" i="7" s="1"/>
  <c r="Z54" i="7"/>
  <c r="T54" i="7"/>
  <c r="M54" i="7"/>
  <c r="N54" i="7" s="1"/>
  <c r="H54" i="7"/>
  <c r="G54" i="7"/>
  <c r="Z53" i="7"/>
  <c r="T53" i="7"/>
  <c r="H53" i="7"/>
  <c r="G53" i="7"/>
  <c r="Z52" i="7"/>
  <c r="T52" i="7"/>
  <c r="H52" i="7"/>
  <c r="G52" i="7"/>
  <c r="Z51" i="7"/>
  <c r="T51" i="7"/>
  <c r="N51" i="7"/>
  <c r="G51" i="7"/>
  <c r="H51" i="7" s="1"/>
  <c r="Z50" i="7"/>
  <c r="T50" i="7"/>
  <c r="H50" i="7"/>
  <c r="G50" i="7"/>
  <c r="Z49" i="7"/>
  <c r="T49" i="7"/>
  <c r="H49" i="7"/>
  <c r="G49" i="7"/>
  <c r="Z48" i="7"/>
  <c r="T48" i="7"/>
  <c r="H48" i="7"/>
  <c r="G48" i="7"/>
  <c r="Z47" i="7"/>
  <c r="T47" i="7"/>
  <c r="G47" i="7"/>
  <c r="H47" i="7" s="1"/>
  <c r="Z46" i="7"/>
  <c r="T46" i="7"/>
  <c r="M46" i="7"/>
  <c r="N46" i="7" s="1"/>
  <c r="H46" i="7"/>
  <c r="G46" i="7"/>
  <c r="Z45" i="7"/>
  <c r="T45" i="7"/>
  <c r="H45" i="7"/>
  <c r="G45" i="7"/>
  <c r="Z44" i="7"/>
  <c r="T44" i="7"/>
  <c r="H44" i="7"/>
  <c r="G44" i="7"/>
  <c r="Z43" i="7"/>
  <c r="T43" i="7"/>
  <c r="M51" i="7" s="1"/>
  <c r="G43" i="7"/>
  <c r="H43" i="7" s="1"/>
  <c r="Z42" i="7"/>
  <c r="T42" i="7"/>
  <c r="M257" i="7" s="1"/>
  <c r="N257" i="7" s="1"/>
  <c r="H42" i="7"/>
  <c r="G42" i="7"/>
  <c r="Z41" i="7"/>
  <c r="T41" i="7"/>
  <c r="N41" i="7"/>
  <c r="G41" i="7"/>
  <c r="H41" i="7" s="1"/>
  <c r="Z40" i="7"/>
  <c r="T40" i="7"/>
  <c r="H40" i="7"/>
  <c r="G40" i="7"/>
  <c r="Z39" i="7"/>
  <c r="T39" i="7"/>
  <c r="G39" i="7"/>
  <c r="H39" i="7" s="1"/>
  <c r="Z38" i="7"/>
  <c r="T38" i="7"/>
  <c r="M38" i="7"/>
  <c r="N38" i="7" s="1"/>
  <c r="H38" i="7"/>
  <c r="G38" i="7"/>
  <c r="Z37" i="7"/>
  <c r="T37" i="7"/>
  <c r="G37" i="7"/>
  <c r="H37" i="7" s="1"/>
  <c r="Z36" i="7"/>
  <c r="T36" i="7"/>
  <c r="H36" i="7"/>
  <c r="G36" i="7"/>
  <c r="Z35" i="7"/>
  <c r="T35" i="7"/>
  <c r="G35" i="7"/>
  <c r="H35" i="7" s="1"/>
  <c r="Z34" i="7"/>
  <c r="T34" i="7"/>
  <c r="M56" i="7" s="1"/>
  <c r="N56" i="7" s="1"/>
  <c r="H34" i="7"/>
  <c r="G34" i="7"/>
  <c r="Z33" i="7"/>
  <c r="T33" i="7"/>
  <c r="G33" i="7"/>
  <c r="H33" i="7" s="1"/>
  <c r="Z32" i="7"/>
  <c r="T32" i="7"/>
  <c r="H32" i="7"/>
  <c r="G32" i="7"/>
  <c r="Z31" i="7"/>
  <c r="T31" i="7"/>
  <c r="M275" i="7" s="1"/>
  <c r="N275" i="7" s="1"/>
  <c r="H31" i="7"/>
  <c r="Z30" i="7"/>
  <c r="T30" i="7"/>
  <c r="H30" i="7"/>
  <c r="G30" i="7"/>
  <c r="Z29" i="7"/>
  <c r="T29" i="7"/>
  <c r="M223" i="7" s="1"/>
  <c r="N223" i="7" s="1"/>
  <c r="H29" i="7"/>
  <c r="G29" i="7"/>
  <c r="Z28" i="7"/>
  <c r="T28" i="7"/>
  <c r="M224" i="7" s="1"/>
  <c r="N224" i="7" s="1"/>
  <c r="G28" i="7"/>
  <c r="H28" i="7" s="1"/>
  <c r="Z27" i="7"/>
  <c r="T27" i="7"/>
  <c r="M27" i="7"/>
  <c r="N27" i="7" s="1"/>
  <c r="H27" i="7"/>
  <c r="G27" i="7"/>
  <c r="Z26" i="7"/>
  <c r="T26" i="7"/>
  <c r="N26" i="7"/>
  <c r="M26" i="7"/>
  <c r="G26" i="7"/>
  <c r="H26" i="7" s="1"/>
  <c r="Z25" i="7"/>
  <c r="T25" i="7"/>
  <c r="H25" i="7"/>
  <c r="G25" i="7"/>
  <c r="Z24" i="7"/>
  <c r="T24" i="7"/>
  <c r="N24" i="7"/>
  <c r="M24" i="7"/>
  <c r="G24" i="7"/>
  <c r="H24" i="7" s="1"/>
  <c r="Z23" i="7"/>
  <c r="T23" i="7"/>
  <c r="M45" i="7" s="1"/>
  <c r="N45" i="7" s="1"/>
  <c r="H23" i="7"/>
  <c r="G23" i="7"/>
  <c r="Z22" i="7"/>
  <c r="T22" i="7"/>
  <c r="H22" i="7"/>
  <c r="G22" i="7"/>
  <c r="Z21" i="7"/>
  <c r="T21" i="7"/>
  <c r="H21" i="7"/>
  <c r="G21" i="7"/>
  <c r="Z20" i="7"/>
  <c r="T20" i="7"/>
  <c r="G20" i="7"/>
  <c r="H20" i="7" s="1"/>
  <c r="Z19" i="7"/>
  <c r="T19" i="7"/>
  <c r="M43" i="7" s="1"/>
  <c r="N43" i="7" s="1"/>
  <c r="M19" i="7"/>
  <c r="N19" i="7" s="1"/>
  <c r="H19" i="7"/>
  <c r="G19" i="7"/>
  <c r="Z18" i="7"/>
  <c r="T18" i="7"/>
  <c r="H18" i="7"/>
  <c r="G18" i="7"/>
  <c r="Z17" i="7"/>
  <c r="T17" i="7"/>
  <c r="H17" i="7"/>
  <c r="G17" i="7"/>
  <c r="Z16" i="7"/>
  <c r="T16" i="7"/>
  <c r="G16" i="7"/>
  <c r="H16" i="7" s="1"/>
  <c r="Z15" i="7"/>
  <c r="T15" i="7"/>
  <c r="G15" i="7"/>
  <c r="H15" i="7" s="1"/>
  <c r="Z14" i="7"/>
  <c r="T14" i="7"/>
  <c r="M44" i="7" s="1"/>
  <c r="N44" i="7" s="1"/>
  <c r="G14" i="7"/>
  <c r="H14" i="7" s="1"/>
  <c r="Z13" i="7"/>
  <c r="T13" i="7"/>
  <c r="M13" i="7"/>
  <c r="N13" i="7" s="1"/>
  <c r="G13" i="7"/>
  <c r="H13" i="7" s="1"/>
  <c r="Z12" i="7"/>
  <c r="T12" i="7"/>
  <c r="G12" i="7"/>
  <c r="H12" i="7" s="1"/>
  <c r="Z11" i="7"/>
  <c r="T11" i="7"/>
  <c r="M36" i="7" s="1"/>
  <c r="N36" i="7" s="1"/>
  <c r="G11" i="7"/>
  <c r="H11" i="7" s="1"/>
  <c r="Z10" i="7"/>
  <c r="T10" i="7"/>
  <c r="G10" i="7"/>
  <c r="H10" i="7" s="1"/>
  <c r="Z9" i="7"/>
  <c r="T9" i="7"/>
  <c r="M9" i="7"/>
  <c r="N9" i="7" s="1"/>
  <c r="G9" i="7"/>
  <c r="H9" i="7" s="1"/>
  <c r="Z8" i="7"/>
  <c r="T8" i="7"/>
  <c r="M23" i="7" s="1"/>
  <c r="N23" i="7" s="1"/>
  <c r="G8" i="7"/>
  <c r="H8" i="7" s="1"/>
  <c r="Z7" i="7"/>
  <c r="T7" i="7"/>
  <c r="M7" i="7"/>
  <c r="N7" i="7" s="1"/>
  <c r="G7" i="7"/>
  <c r="H7" i="7" s="1"/>
  <c r="Z6" i="7"/>
  <c r="T6" i="7"/>
  <c r="G6" i="7"/>
  <c r="H6" i="7" s="1"/>
  <c r="Z5" i="7"/>
  <c r="T5" i="7"/>
  <c r="M17" i="7" s="1"/>
  <c r="N17" i="7" s="1"/>
  <c r="M5" i="7"/>
  <c r="N5" i="7" s="1"/>
  <c r="G5" i="7"/>
  <c r="H5" i="7" s="1"/>
  <c r="Z4" i="7"/>
  <c r="T4" i="7"/>
  <c r="G4" i="7"/>
  <c r="H4" i="7" s="1"/>
  <c r="Z3" i="7"/>
  <c r="T3" i="7"/>
  <c r="M64" i="7" s="1"/>
  <c r="N64" i="7" s="1"/>
  <c r="M3" i="7"/>
  <c r="N3" i="7" s="1"/>
  <c r="G3" i="7"/>
  <c r="H3" i="7" s="1"/>
  <c r="H12" i="4"/>
  <c r="H10" i="4"/>
  <c r="C38" i="2"/>
  <c r="C37" i="2"/>
  <c r="C36" i="2"/>
  <c r="C35" i="2"/>
  <c r="C39" i="2" s="1"/>
  <c r="D4" i="2"/>
  <c r="D5" i="2"/>
  <c r="D9" i="4"/>
  <c r="D6" i="2"/>
  <c r="D8" i="2"/>
  <c r="D7" i="2" l="1"/>
  <c r="H351" i="7"/>
  <c r="H1" i="7"/>
  <c r="M6" i="7"/>
  <c r="N6" i="7" s="1"/>
  <c r="M29" i="7"/>
  <c r="N29" i="7" s="1"/>
  <c r="M32" i="7"/>
  <c r="N32" i="7" s="1"/>
  <c r="M33" i="7"/>
  <c r="N33" i="7" s="1"/>
  <c r="M37" i="7"/>
  <c r="N37" i="7" s="1"/>
  <c r="M40" i="7"/>
  <c r="N40" i="7" s="1"/>
  <c r="M52" i="7"/>
  <c r="N52" i="7" s="1"/>
  <c r="M241" i="7"/>
  <c r="N241" i="7" s="1"/>
  <c r="M233" i="7"/>
  <c r="N233" i="7" s="1"/>
  <c r="M255" i="7"/>
  <c r="N255" i="7" s="1"/>
  <c r="M274" i="7"/>
  <c r="N274" i="7" s="1"/>
  <c r="M16" i="7"/>
  <c r="N16" i="7" s="1"/>
  <c r="M25" i="7"/>
  <c r="N25" i="7" s="1"/>
  <c r="M11" i="7"/>
  <c r="N11" i="7" s="1"/>
  <c r="M15" i="7"/>
  <c r="N15" i="7" s="1"/>
  <c r="M42" i="7"/>
  <c r="N42" i="7" s="1"/>
  <c r="M50" i="7"/>
  <c r="N50" i="7" s="1"/>
  <c r="M21" i="7"/>
  <c r="N21" i="7" s="1"/>
  <c r="M31" i="7"/>
  <c r="N31" i="7" s="1"/>
  <c r="M34" i="7"/>
  <c r="N34" i="7" s="1"/>
  <c r="M35" i="7"/>
  <c r="N35" i="7" s="1"/>
  <c r="M39" i="7"/>
  <c r="N39" i="7" s="1"/>
  <c r="M48" i="7"/>
  <c r="N48" i="7" s="1"/>
  <c r="M58" i="7"/>
  <c r="N58" i="7" s="1"/>
  <c r="M61" i="7"/>
  <c r="N61" i="7" s="1"/>
  <c r="H351" i="8"/>
  <c r="M268" i="7"/>
  <c r="N268" i="7" s="1"/>
  <c r="M244" i="7"/>
  <c r="N244" i="7" s="1"/>
  <c r="M243" i="7"/>
  <c r="N243" i="7" s="1"/>
  <c r="M242" i="7"/>
  <c r="N242" i="7" s="1"/>
  <c r="M240" i="7"/>
  <c r="N240" i="7" s="1"/>
  <c r="M232" i="7"/>
  <c r="N232" i="7" s="1"/>
  <c r="M225" i="7"/>
  <c r="N225" i="7" s="1"/>
  <c r="M222" i="7"/>
  <c r="N222" i="7" s="1"/>
  <c r="M266" i="7"/>
  <c r="N266" i="7" s="1"/>
  <c r="M273" i="7"/>
  <c r="N273" i="7" s="1"/>
  <c r="M258" i="7"/>
  <c r="N258" i="7" s="1"/>
  <c r="M254" i="7"/>
  <c r="N254" i="7" s="1"/>
  <c r="M237" i="7"/>
  <c r="N237" i="7" s="1"/>
  <c r="M63" i="7"/>
  <c r="N63" i="7" s="1"/>
  <c r="M47" i="7"/>
  <c r="N47" i="7" s="1"/>
  <c r="M30" i="7"/>
  <c r="N30" i="7" s="1"/>
  <c r="M28" i="7"/>
  <c r="N28" i="7" s="1"/>
  <c r="M20" i="7"/>
  <c r="N20" i="7" s="1"/>
  <c r="M4" i="7"/>
  <c r="N4" i="7" s="1"/>
  <c r="N351" i="7" s="1"/>
  <c r="M269" i="7"/>
  <c r="N269" i="7" s="1"/>
  <c r="M238" i="7"/>
  <c r="N238" i="7" s="1"/>
  <c r="M49" i="7"/>
  <c r="N49" i="7" s="1"/>
  <c r="M8" i="7"/>
  <c r="N8" i="7" s="1"/>
  <c r="M10" i="7"/>
  <c r="N10" i="7" s="1"/>
  <c r="M256" i="7"/>
  <c r="N256" i="7" s="1"/>
  <c r="M59" i="7"/>
  <c r="N59" i="7" s="1"/>
  <c r="M55" i="7"/>
  <c r="N55" i="7" s="1"/>
  <c r="M53" i="7"/>
  <c r="N53" i="7" s="1"/>
  <c r="M22" i="7"/>
  <c r="N22" i="7" s="1"/>
  <c r="M18" i="7"/>
  <c r="N18" i="7" s="1"/>
  <c r="M12" i="7"/>
  <c r="N12" i="7" s="1"/>
  <c r="M14" i="7"/>
  <c r="N14" i="7" s="1"/>
  <c r="M62" i="7"/>
  <c r="N62" i="7" s="1"/>
  <c r="H1" i="8"/>
  <c r="I3" i="8"/>
  <c r="I1" i="8" s="1"/>
  <c r="N9" i="8"/>
  <c r="O9" i="8" s="1"/>
  <c r="N20" i="8"/>
  <c r="O20" i="8" s="1"/>
  <c r="N57" i="8"/>
  <c r="O57" i="8" s="1"/>
  <c r="N72" i="8"/>
  <c r="O72" i="8" s="1"/>
  <c r="N74" i="8"/>
  <c r="O74" i="8" s="1"/>
  <c r="N95" i="8"/>
  <c r="O95" i="8" s="1"/>
  <c r="N111" i="8"/>
  <c r="O111" i="8" s="1"/>
  <c r="N122" i="8"/>
  <c r="O122" i="8" s="1"/>
  <c r="N132" i="8"/>
  <c r="O132" i="8" s="1"/>
  <c r="N147" i="8"/>
  <c r="O147" i="8" s="1"/>
  <c r="N156" i="8"/>
  <c r="O156" i="8" s="1"/>
  <c r="N162" i="8"/>
  <c r="O162" i="8" s="1"/>
  <c r="N171" i="8"/>
  <c r="O171" i="8" s="1"/>
  <c r="N181" i="8"/>
  <c r="O181" i="8" s="1"/>
  <c r="N218" i="8"/>
  <c r="O218" i="8" s="1"/>
  <c r="N226" i="8"/>
  <c r="O226" i="8" s="1"/>
  <c r="N239" i="8"/>
  <c r="O239" i="8" s="1"/>
  <c r="N221" i="10"/>
  <c r="O221" i="10" s="1"/>
  <c r="N216" i="10"/>
  <c r="O216" i="10" s="1"/>
  <c r="N187" i="10"/>
  <c r="O187" i="10" s="1"/>
  <c r="N162" i="10"/>
  <c r="O162" i="10" s="1"/>
  <c r="N144" i="10"/>
  <c r="O144" i="10" s="1"/>
  <c r="N104" i="10"/>
  <c r="O104" i="10" s="1"/>
  <c r="N61" i="10"/>
  <c r="O61" i="10" s="1"/>
  <c r="N34" i="10"/>
  <c r="O34" i="10" s="1"/>
  <c r="N220" i="10"/>
  <c r="O220" i="10" s="1"/>
  <c r="N213" i="10"/>
  <c r="O213" i="10" s="1"/>
  <c r="N155" i="10"/>
  <c r="O155" i="10" s="1"/>
  <c r="N153" i="10"/>
  <c r="O153" i="10" s="1"/>
  <c r="N143" i="10"/>
  <c r="O143" i="10" s="1"/>
  <c r="N136" i="10"/>
  <c r="O136" i="10" s="1"/>
  <c r="N123" i="10"/>
  <c r="O123" i="10" s="1"/>
  <c r="N218" i="10"/>
  <c r="O218" i="10" s="1"/>
  <c r="N212" i="10"/>
  <c r="O212" i="10" s="1"/>
  <c r="N195" i="10"/>
  <c r="O195" i="10" s="1"/>
  <c r="N182" i="10"/>
  <c r="O182" i="10" s="1"/>
  <c r="N163" i="10"/>
  <c r="O163" i="10" s="1"/>
  <c r="N139" i="10"/>
  <c r="O139" i="10" s="1"/>
  <c r="N135" i="10"/>
  <c r="O135" i="10" s="1"/>
  <c r="N115" i="10"/>
  <c r="O115" i="10" s="1"/>
  <c r="N113" i="10"/>
  <c r="O113" i="10" s="1"/>
  <c r="N103" i="10"/>
  <c r="O103" i="10" s="1"/>
  <c r="N55" i="10"/>
  <c r="O55" i="10" s="1"/>
  <c r="N217" i="10"/>
  <c r="O217" i="10" s="1"/>
  <c r="N207" i="10"/>
  <c r="O207" i="10" s="1"/>
  <c r="N203" i="10"/>
  <c r="O203" i="10" s="1"/>
  <c r="N185" i="10"/>
  <c r="O185" i="10" s="1"/>
  <c r="N160" i="10"/>
  <c r="O160" i="10" s="1"/>
  <c r="N129" i="10"/>
  <c r="O129" i="10" s="1"/>
  <c r="N190" i="10"/>
  <c r="O190" i="10" s="1"/>
  <c r="N111" i="10"/>
  <c r="O111" i="10" s="1"/>
  <c r="N167" i="10"/>
  <c r="O167" i="10" s="1"/>
  <c r="N125" i="10"/>
  <c r="O125" i="10" s="1"/>
  <c r="N35" i="10"/>
  <c r="O35" i="10" s="1"/>
  <c r="N37" i="8"/>
  <c r="O37" i="8" s="1"/>
  <c r="N64" i="8"/>
  <c r="O64" i="8" s="1"/>
  <c r="N177" i="8"/>
  <c r="O177" i="8" s="1"/>
  <c r="N186" i="8"/>
  <c r="O186" i="8" s="1"/>
  <c r="N190" i="8"/>
  <c r="O190" i="8" s="1"/>
  <c r="N232" i="8"/>
  <c r="O232" i="8" s="1"/>
  <c r="N248" i="8"/>
  <c r="O248" i="8" s="1"/>
  <c r="H374" i="10"/>
  <c r="N176" i="10"/>
  <c r="O176" i="10" s="1"/>
  <c r="N150" i="10"/>
  <c r="O150" i="10" s="1"/>
  <c r="N93" i="10"/>
  <c r="O93" i="10" s="1"/>
  <c r="N49" i="10"/>
  <c r="O49" i="10" s="1"/>
  <c r="N165" i="10"/>
  <c r="O165" i="10" s="1"/>
  <c r="N26" i="8"/>
  <c r="O26" i="8" s="1"/>
  <c r="N36" i="8"/>
  <c r="O36" i="8" s="1"/>
  <c r="N39" i="8"/>
  <c r="O39" i="8" s="1"/>
  <c r="N43" i="8"/>
  <c r="O43" i="8" s="1"/>
  <c r="N51" i="8"/>
  <c r="O51" i="8" s="1"/>
  <c r="N55" i="8"/>
  <c r="O55" i="8" s="1"/>
  <c r="N59" i="8"/>
  <c r="O59" i="8" s="1"/>
  <c r="N94" i="8"/>
  <c r="O94" i="8" s="1"/>
  <c r="N100" i="8"/>
  <c r="O100" i="8" s="1"/>
  <c r="N110" i="8"/>
  <c r="O110" i="8" s="1"/>
  <c r="N112" i="8"/>
  <c r="O112" i="8" s="1"/>
  <c r="N121" i="8"/>
  <c r="O121" i="8" s="1"/>
  <c r="N167" i="8"/>
  <c r="O167" i="8" s="1"/>
  <c r="N169" i="8"/>
  <c r="O169" i="8" s="1"/>
  <c r="N201" i="8"/>
  <c r="O201" i="8" s="1"/>
  <c r="H1" i="10"/>
  <c r="I3" i="10"/>
  <c r="N6" i="10"/>
  <c r="O6" i="10" s="1"/>
  <c r="O374" i="10" s="1"/>
  <c r="N177" i="10"/>
  <c r="O177" i="10" s="1"/>
  <c r="N137" i="10"/>
  <c r="O137" i="10" s="1"/>
  <c r="N154" i="10"/>
  <c r="O154" i="10" s="1"/>
  <c r="N21" i="10"/>
  <c r="O21" i="10" s="1"/>
  <c r="N33" i="10"/>
  <c r="O33" i="10" s="1"/>
  <c r="Q79" i="10" s="1"/>
  <c r="Q150" i="10"/>
  <c r="N71" i="10"/>
  <c r="O71" i="10" s="1"/>
  <c r="N72" i="10"/>
  <c r="O72" i="10" s="1"/>
  <c r="H374" i="11"/>
  <c r="I3" i="11"/>
  <c r="I1" i="11" s="1"/>
  <c r="H1" i="11"/>
  <c r="N141" i="8"/>
  <c r="O141" i="8" s="1"/>
  <c r="N188" i="8"/>
  <c r="O188" i="8" s="1"/>
  <c r="N124" i="10"/>
  <c r="O124" i="10" s="1"/>
  <c r="N97" i="10"/>
  <c r="O97" i="10" s="1"/>
  <c r="N79" i="10"/>
  <c r="O79" i="10" s="1"/>
  <c r="N206" i="10"/>
  <c r="O206" i="10" s="1"/>
  <c r="N130" i="10"/>
  <c r="O130" i="10" s="1"/>
  <c r="N62" i="10"/>
  <c r="O62" i="10" s="1"/>
  <c r="N77" i="10"/>
  <c r="O77" i="10" s="1"/>
  <c r="I77" i="10"/>
  <c r="I1" i="10" s="1"/>
  <c r="N76" i="11"/>
  <c r="O76" i="11" s="1"/>
  <c r="N90" i="11"/>
  <c r="O90" i="11" s="1"/>
  <c r="N108" i="11"/>
  <c r="O108" i="11" s="1"/>
  <c r="N110" i="11"/>
  <c r="O110" i="11" s="1"/>
  <c r="N127" i="11"/>
  <c r="O127" i="11" s="1"/>
  <c r="N138" i="11"/>
  <c r="O138" i="11" s="1"/>
  <c r="N144" i="11"/>
  <c r="O144" i="11" s="1"/>
  <c r="N168" i="11"/>
  <c r="O168" i="11" s="1"/>
  <c r="N179" i="11"/>
  <c r="O179" i="11" s="1"/>
  <c r="N191" i="11"/>
  <c r="O191" i="11" s="1"/>
  <c r="N200" i="11"/>
  <c r="O200" i="11" s="1"/>
  <c r="N220" i="12"/>
  <c r="O220" i="12" s="1"/>
  <c r="N92" i="12"/>
  <c r="O92" i="12" s="1"/>
  <c r="N73" i="12"/>
  <c r="O73" i="12" s="1"/>
  <c r="N139" i="12"/>
  <c r="O139" i="12" s="1"/>
  <c r="N104" i="12"/>
  <c r="O104" i="12" s="1"/>
  <c r="N252" i="12"/>
  <c r="O252" i="12" s="1"/>
  <c r="N201" i="12"/>
  <c r="O201" i="12" s="1"/>
  <c r="N160" i="12"/>
  <c r="O160" i="12" s="1"/>
  <c r="I136" i="12"/>
  <c r="N136" i="12"/>
  <c r="O136" i="12" s="1"/>
  <c r="N220" i="11"/>
  <c r="O220" i="11" s="1"/>
  <c r="N206" i="11"/>
  <c r="O206" i="11" s="1"/>
  <c r="N223" i="11"/>
  <c r="O223" i="11" s="1"/>
  <c r="N9" i="11"/>
  <c r="O9" i="11" s="1"/>
  <c r="N14" i="11"/>
  <c r="O14" i="11" s="1"/>
  <c r="N21" i="11"/>
  <c r="O21" i="11" s="1"/>
  <c r="N28" i="11"/>
  <c r="O28" i="11" s="1"/>
  <c r="N51" i="11"/>
  <c r="O51" i="11" s="1"/>
  <c r="N65" i="11"/>
  <c r="O65" i="11" s="1"/>
  <c r="Q103" i="11" s="1"/>
  <c r="N103" i="11"/>
  <c r="O103" i="11" s="1"/>
  <c r="N117" i="11"/>
  <c r="O117" i="11" s="1"/>
  <c r="N120" i="11"/>
  <c r="O120" i="11" s="1"/>
  <c r="N129" i="11"/>
  <c r="O129" i="11" s="1"/>
  <c r="N140" i="11"/>
  <c r="O140" i="11" s="1"/>
  <c r="N145" i="11"/>
  <c r="O145" i="11" s="1"/>
  <c r="N187" i="11"/>
  <c r="O187" i="11" s="1"/>
  <c r="N189" i="11"/>
  <c r="O189" i="11" s="1"/>
  <c r="N192" i="11"/>
  <c r="O192" i="11" s="1"/>
  <c r="N201" i="11"/>
  <c r="O201" i="11" s="1"/>
  <c r="N214" i="11"/>
  <c r="O214" i="11" s="1"/>
  <c r="N217" i="11"/>
  <c r="O217" i="11" s="1"/>
  <c r="N199" i="12"/>
  <c r="O199" i="12" s="1"/>
  <c r="N171" i="12"/>
  <c r="O171" i="12" s="1"/>
  <c r="N135" i="12"/>
  <c r="O135" i="12" s="1"/>
  <c r="N113" i="12"/>
  <c r="O113" i="12" s="1"/>
  <c r="N27" i="12"/>
  <c r="O27" i="12" s="1"/>
  <c r="N198" i="12"/>
  <c r="O198" i="12" s="1"/>
  <c r="N101" i="12"/>
  <c r="O101" i="12" s="1"/>
  <c r="N56" i="12"/>
  <c r="O56" i="12" s="1"/>
  <c r="N41" i="12"/>
  <c r="O41" i="12" s="1"/>
  <c r="N98" i="12"/>
  <c r="O98" i="12" s="1"/>
  <c r="N85" i="12"/>
  <c r="O85" i="12" s="1"/>
  <c r="N21" i="12"/>
  <c r="O21" i="12" s="1"/>
  <c r="N215" i="12"/>
  <c r="O215" i="12" s="1"/>
  <c r="N200" i="12"/>
  <c r="O200" i="12" s="1"/>
  <c r="N100" i="12"/>
  <c r="O100" i="12" s="1"/>
  <c r="N43" i="12"/>
  <c r="O43" i="12" s="1"/>
  <c r="N84" i="11"/>
  <c r="O84" i="11" s="1"/>
  <c r="N141" i="11"/>
  <c r="O141" i="11" s="1"/>
  <c r="N146" i="11"/>
  <c r="O146" i="11" s="1"/>
  <c r="N158" i="11"/>
  <c r="O158" i="11" s="1"/>
  <c r="N167" i="11"/>
  <c r="O167" i="11" s="1"/>
  <c r="N178" i="11"/>
  <c r="O178" i="11" s="1"/>
  <c r="N181" i="11"/>
  <c r="O181" i="11" s="1"/>
  <c r="N198" i="11"/>
  <c r="O198" i="11" s="1"/>
  <c r="N202" i="11"/>
  <c r="O202" i="11" s="1"/>
  <c r="N221" i="11"/>
  <c r="O221" i="11" s="1"/>
  <c r="N222" i="11"/>
  <c r="O222" i="11" s="1"/>
  <c r="N225" i="11"/>
  <c r="O225" i="11" s="1"/>
  <c r="N226" i="11"/>
  <c r="O226" i="11" s="1"/>
  <c r="N250" i="12"/>
  <c r="O250" i="12" s="1"/>
  <c r="N253" i="12"/>
  <c r="O253" i="12" s="1"/>
  <c r="N7" i="11"/>
  <c r="O7" i="11" s="1"/>
  <c r="Q52" i="11" s="1"/>
  <c r="N11" i="11"/>
  <c r="O11" i="11" s="1"/>
  <c r="N16" i="11"/>
  <c r="O16" i="11" s="1"/>
  <c r="N30" i="11"/>
  <c r="O30" i="11" s="1"/>
  <c r="N39" i="11"/>
  <c r="O39" i="11" s="1"/>
  <c r="N116" i="11"/>
  <c r="O116" i="11" s="1"/>
  <c r="N118" i="11"/>
  <c r="O118" i="11" s="1"/>
  <c r="N142" i="11"/>
  <c r="O142" i="11" s="1"/>
  <c r="N147" i="11"/>
  <c r="O147" i="11" s="1"/>
  <c r="N161" i="11"/>
  <c r="O161" i="11" s="1"/>
  <c r="N188" i="11"/>
  <c r="O188" i="11" s="1"/>
  <c r="N199" i="11"/>
  <c r="O199" i="11" s="1"/>
  <c r="N204" i="11"/>
  <c r="O204" i="11" s="1"/>
  <c r="I3" i="12"/>
  <c r="N210" i="12"/>
  <c r="O210" i="12" s="1"/>
  <c r="N89" i="12"/>
  <c r="O89" i="12" s="1"/>
  <c r="N117" i="12"/>
  <c r="O117" i="12" s="1"/>
  <c r="N67" i="12"/>
  <c r="O67" i="12" s="1"/>
  <c r="N208" i="12"/>
  <c r="O208" i="12" s="1"/>
  <c r="N228" i="12"/>
  <c r="O228" i="12" s="1"/>
  <c r="N251" i="12"/>
  <c r="O251" i="12" s="1"/>
  <c r="N263" i="12"/>
  <c r="O263" i="12" s="1"/>
  <c r="I3" i="13"/>
  <c r="H1" i="13"/>
  <c r="N12" i="13"/>
  <c r="O12" i="13" s="1"/>
  <c r="I12" i="13"/>
  <c r="N119" i="13"/>
  <c r="O119" i="13" s="1"/>
  <c r="N40" i="13"/>
  <c r="O40" i="13" s="1"/>
  <c r="N50" i="13"/>
  <c r="O50" i="13" s="1"/>
  <c r="H374" i="13"/>
  <c r="I7" i="14"/>
  <c r="H1" i="14"/>
  <c r="H64" i="12"/>
  <c r="I64" i="12" s="1"/>
  <c r="N66" i="12"/>
  <c r="O66" i="12" s="1"/>
  <c r="N68" i="12"/>
  <c r="O68" i="12" s="1"/>
  <c r="N74" i="12"/>
  <c r="O74" i="12" s="1"/>
  <c r="N87" i="12"/>
  <c r="O87" i="12" s="1"/>
  <c r="N91" i="12"/>
  <c r="O91" i="12" s="1"/>
  <c r="N106" i="12"/>
  <c r="O106" i="12" s="1"/>
  <c r="N112" i="12"/>
  <c r="O112" i="12" s="1"/>
  <c r="N114" i="12"/>
  <c r="O114" i="12" s="1"/>
  <c r="N116" i="12"/>
  <c r="O116" i="12" s="1"/>
  <c r="N118" i="12"/>
  <c r="O118" i="12" s="1"/>
  <c r="N133" i="12"/>
  <c r="O133" i="12" s="1"/>
  <c r="N146" i="12"/>
  <c r="O146" i="12" s="1"/>
  <c r="N188" i="12"/>
  <c r="O188" i="12" s="1"/>
  <c r="N197" i="12"/>
  <c r="O197" i="12" s="1"/>
  <c r="N209" i="12"/>
  <c r="O209" i="12" s="1"/>
  <c r="N229" i="12"/>
  <c r="O229" i="12" s="1"/>
  <c r="N243" i="12"/>
  <c r="O243" i="12" s="1"/>
  <c r="N248" i="12"/>
  <c r="O248" i="12" s="1"/>
  <c r="N271" i="14"/>
  <c r="O271" i="14" s="1"/>
  <c r="N95" i="14"/>
  <c r="O95" i="14" s="1"/>
  <c r="N114" i="14"/>
  <c r="O114" i="14" s="1"/>
  <c r="N93" i="14"/>
  <c r="O93" i="14" s="1"/>
  <c r="N11" i="12"/>
  <c r="O11" i="12" s="1"/>
  <c r="N47" i="12"/>
  <c r="O47" i="12" s="1"/>
  <c r="Q89" i="12" s="1"/>
  <c r="N134" i="12"/>
  <c r="O134" i="12" s="1"/>
  <c r="N147" i="12"/>
  <c r="O147" i="12" s="1"/>
  <c r="N164" i="12"/>
  <c r="O164" i="12" s="1"/>
  <c r="N179" i="12"/>
  <c r="O179" i="12" s="1"/>
  <c r="N182" i="12"/>
  <c r="O182" i="12" s="1"/>
  <c r="N206" i="12"/>
  <c r="O206" i="12" s="1"/>
  <c r="Q263" i="12" s="1"/>
  <c r="N218" i="12"/>
  <c r="O218" i="12" s="1"/>
  <c r="N230" i="12"/>
  <c r="O230" i="12" s="1"/>
  <c r="N244" i="12"/>
  <c r="O244" i="12" s="1"/>
  <c r="N249" i="12"/>
  <c r="O249" i="12" s="1"/>
  <c r="N169" i="15"/>
  <c r="O169" i="15" s="1"/>
  <c r="N132" i="15"/>
  <c r="O132" i="15" s="1"/>
  <c r="N23" i="15"/>
  <c r="O23" i="15" s="1"/>
  <c r="N3" i="12"/>
  <c r="O3" i="12" s="1"/>
  <c r="N10" i="12"/>
  <c r="O10" i="12" s="1"/>
  <c r="N40" i="12"/>
  <c r="O40" i="12" s="1"/>
  <c r="N55" i="12"/>
  <c r="O55" i="12" s="1"/>
  <c r="N86" i="12"/>
  <c r="O86" i="12" s="1"/>
  <c r="N88" i="12"/>
  <c r="O88" i="12" s="1"/>
  <c r="N115" i="12"/>
  <c r="O115" i="12" s="1"/>
  <c r="N140" i="12"/>
  <c r="O140" i="12" s="1"/>
  <c r="N151" i="12"/>
  <c r="O151" i="12" s="1"/>
  <c r="N159" i="12"/>
  <c r="O159" i="12" s="1"/>
  <c r="N173" i="12"/>
  <c r="O173" i="12" s="1"/>
  <c r="N187" i="12"/>
  <c r="O187" i="12" s="1"/>
  <c r="N207" i="12"/>
  <c r="O207" i="12" s="1"/>
  <c r="N214" i="12"/>
  <c r="O214" i="12" s="1"/>
  <c r="N227" i="12"/>
  <c r="O227" i="12" s="1"/>
  <c r="N42" i="13"/>
  <c r="O42" i="13" s="1"/>
  <c r="N62" i="13"/>
  <c r="O62" i="13" s="1"/>
  <c r="H373" i="14"/>
  <c r="N22" i="13"/>
  <c r="O22" i="13" s="1"/>
  <c r="O1" i="13" s="1"/>
  <c r="N32" i="13"/>
  <c r="O32" i="13" s="1"/>
  <c r="N41" i="13"/>
  <c r="O41" i="13" s="1"/>
  <c r="N44" i="13"/>
  <c r="O44" i="13" s="1"/>
  <c r="N61" i="13"/>
  <c r="O61" i="13" s="1"/>
  <c r="N85" i="13"/>
  <c r="O85" i="13" s="1"/>
  <c r="N99" i="13"/>
  <c r="O99" i="13" s="1"/>
  <c r="N106" i="13"/>
  <c r="O106" i="13" s="1"/>
  <c r="N116" i="13"/>
  <c r="O116" i="13" s="1"/>
  <c r="N118" i="13"/>
  <c r="O118" i="13" s="1"/>
  <c r="N124" i="13"/>
  <c r="O124" i="13" s="1"/>
  <c r="N128" i="13"/>
  <c r="O128" i="13" s="1"/>
  <c r="N136" i="13"/>
  <c r="O136" i="13" s="1"/>
  <c r="N167" i="13"/>
  <c r="O167" i="13" s="1"/>
  <c r="N174" i="13"/>
  <c r="O174" i="13" s="1"/>
  <c r="N211" i="13"/>
  <c r="O211" i="13" s="1"/>
  <c r="N213" i="13"/>
  <c r="O213" i="13" s="1"/>
  <c r="Q263" i="13" s="1"/>
  <c r="N230" i="13"/>
  <c r="O230" i="13" s="1"/>
  <c r="N5" i="14"/>
  <c r="O5" i="14" s="1"/>
  <c r="O1" i="14" s="1"/>
  <c r="N196" i="14"/>
  <c r="O196" i="14" s="1"/>
  <c r="N164" i="14"/>
  <c r="O164" i="14" s="1"/>
  <c r="N70" i="14"/>
  <c r="O70" i="14" s="1"/>
  <c r="Q129" i="14" s="1"/>
  <c r="N103" i="14"/>
  <c r="O103" i="14" s="1"/>
  <c r="N107" i="14"/>
  <c r="O107" i="14" s="1"/>
  <c r="N108" i="14"/>
  <c r="O108" i="14" s="1"/>
  <c r="N115" i="14"/>
  <c r="O115" i="14" s="1"/>
  <c r="N116" i="14"/>
  <c r="O116" i="14" s="1"/>
  <c r="N195" i="14"/>
  <c r="O195" i="14" s="1"/>
  <c r="N207" i="14"/>
  <c r="O207" i="14" s="1"/>
  <c r="N215" i="14"/>
  <c r="O215" i="14" s="1"/>
  <c r="N242" i="14"/>
  <c r="O242" i="14" s="1"/>
  <c r="N56" i="13"/>
  <c r="O56" i="13" s="1"/>
  <c r="N60" i="13"/>
  <c r="O60" i="13" s="1"/>
  <c r="N64" i="13"/>
  <c r="O64" i="13" s="1"/>
  <c r="N73" i="13"/>
  <c r="O73" i="13" s="1"/>
  <c r="N93" i="13"/>
  <c r="O93" i="13" s="1"/>
  <c r="N111" i="13"/>
  <c r="O111" i="13" s="1"/>
  <c r="N129" i="13"/>
  <c r="O129" i="13" s="1"/>
  <c r="N147" i="13"/>
  <c r="O147" i="13" s="1"/>
  <c r="N153" i="13"/>
  <c r="O153" i="13" s="1"/>
  <c r="N161" i="13"/>
  <c r="O161" i="13" s="1"/>
  <c r="N163" i="13"/>
  <c r="O163" i="13" s="1"/>
  <c r="N179" i="13"/>
  <c r="O179" i="13" s="1"/>
  <c r="N195" i="13"/>
  <c r="O195" i="13" s="1"/>
  <c r="N197" i="13"/>
  <c r="O197" i="13" s="1"/>
  <c r="N214" i="13"/>
  <c r="O214" i="13" s="1"/>
  <c r="N231" i="13"/>
  <c r="O231" i="13" s="1"/>
  <c r="N289" i="14"/>
  <c r="O289" i="14" s="1"/>
  <c r="N279" i="14"/>
  <c r="O279" i="14" s="1"/>
  <c r="N260" i="14"/>
  <c r="O260" i="14" s="1"/>
  <c r="N252" i="14"/>
  <c r="O252" i="14" s="1"/>
  <c r="N241" i="14"/>
  <c r="O241" i="14" s="1"/>
  <c r="N226" i="14"/>
  <c r="O226" i="14" s="1"/>
  <c r="N194" i="14"/>
  <c r="O194" i="14" s="1"/>
  <c r="N184" i="14"/>
  <c r="O184" i="14" s="1"/>
  <c r="N178" i="14"/>
  <c r="O178" i="14" s="1"/>
  <c r="N152" i="14"/>
  <c r="O152" i="14" s="1"/>
  <c r="N285" i="14"/>
  <c r="O285" i="14" s="1"/>
  <c r="N277" i="14"/>
  <c r="O277" i="14" s="1"/>
  <c r="N294" i="14"/>
  <c r="O294" i="14" s="1"/>
  <c r="N250" i="14"/>
  <c r="O250" i="14" s="1"/>
  <c r="N198" i="14"/>
  <c r="O198" i="14" s="1"/>
  <c r="N189" i="14"/>
  <c r="O189" i="14" s="1"/>
  <c r="N179" i="14"/>
  <c r="O179" i="14" s="1"/>
  <c r="N173" i="14"/>
  <c r="O173" i="14" s="1"/>
  <c r="N89" i="14"/>
  <c r="O89" i="14" s="1"/>
  <c r="N86" i="14"/>
  <c r="O86" i="14" s="1"/>
  <c r="N83" i="14"/>
  <c r="O83" i="14" s="1"/>
  <c r="N76" i="14"/>
  <c r="O76" i="14" s="1"/>
  <c r="N74" i="14"/>
  <c r="O74" i="14" s="1"/>
  <c r="N26" i="14"/>
  <c r="O26" i="14" s="1"/>
  <c r="N14" i="14"/>
  <c r="O14" i="14" s="1"/>
  <c r="N205" i="14"/>
  <c r="O205" i="14" s="1"/>
  <c r="N150" i="14"/>
  <c r="O150" i="14" s="1"/>
  <c r="N239" i="14"/>
  <c r="O239" i="14" s="1"/>
  <c r="N30" i="14"/>
  <c r="O30" i="14" s="1"/>
  <c r="N174" i="14"/>
  <c r="O174" i="14" s="1"/>
  <c r="N117" i="14"/>
  <c r="O117" i="14" s="1"/>
  <c r="N52" i="14"/>
  <c r="O52" i="14" s="1"/>
  <c r="N59" i="14"/>
  <c r="O59" i="14" s="1"/>
  <c r="N134" i="14"/>
  <c r="O134" i="14" s="1"/>
  <c r="N160" i="14"/>
  <c r="O160" i="14" s="1"/>
  <c r="N161" i="14"/>
  <c r="O161" i="14" s="1"/>
  <c r="N162" i="14"/>
  <c r="O162" i="14" s="1"/>
  <c r="N237" i="14"/>
  <c r="O237" i="14" s="1"/>
  <c r="N24" i="13"/>
  <c r="O24" i="13" s="1"/>
  <c r="N55" i="13"/>
  <c r="O55" i="13" s="1"/>
  <c r="N59" i="13"/>
  <c r="O59" i="13" s="1"/>
  <c r="N84" i="13"/>
  <c r="O84" i="13" s="1"/>
  <c r="N86" i="13"/>
  <c r="O86" i="13" s="1"/>
  <c r="N91" i="13"/>
  <c r="O91" i="13" s="1"/>
  <c r="N117" i="13"/>
  <c r="O117" i="13" s="1"/>
  <c r="N134" i="13"/>
  <c r="O134" i="13" s="1"/>
  <c r="N141" i="13"/>
  <c r="O141" i="13" s="1"/>
  <c r="I3" i="14"/>
  <c r="I1" i="14" s="1"/>
  <c r="N158" i="14"/>
  <c r="O158" i="14" s="1"/>
  <c r="N44" i="14"/>
  <c r="O44" i="14" s="1"/>
  <c r="N33" i="14"/>
  <c r="O33" i="14" s="1"/>
  <c r="N45" i="14"/>
  <c r="O45" i="14" s="1"/>
  <c r="N50" i="14"/>
  <c r="O50" i="14" s="1"/>
  <c r="N61" i="14"/>
  <c r="O61" i="14" s="1"/>
  <c r="N129" i="14"/>
  <c r="O129" i="14" s="1"/>
  <c r="N130" i="14"/>
  <c r="O130" i="14" s="1"/>
  <c r="N186" i="14"/>
  <c r="O186" i="14" s="1"/>
  <c r="N187" i="14"/>
  <c r="O187" i="14" s="1"/>
  <c r="N209" i="14"/>
  <c r="O209" i="14" s="1"/>
  <c r="N293" i="14"/>
  <c r="O293" i="14" s="1"/>
  <c r="N221" i="15"/>
  <c r="O221" i="15" s="1"/>
  <c r="N114" i="15"/>
  <c r="O114" i="15" s="1"/>
  <c r="N68" i="15"/>
  <c r="O68" i="15" s="1"/>
  <c r="N283" i="14"/>
  <c r="O283" i="14" s="1"/>
  <c r="N273" i="15"/>
  <c r="O273" i="15" s="1"/>
  <c r="N272" i="15"/>
  <c r="O272" i="15" s="1"/>
  <c r="N76" i="15"/>
  <c r="O76" i="15" s="1"/>
  <c r="N274" i="15"/>
  <c r="O274" i="15" s="1"/>
  <c r="N240" i="15"/>
  <c r="O240" i="15" s="1"/>
  <c r="N230" i="15"/>
  <c r="O230" i="15" s="1"/>
  <c r="N186" i="15"/>
  <c r="O186" i="15" s="1"/>
  <c r="N92" i="15"/>
  <c r="O92" i="15" s="1"/>
  <c r="N64" i="15"/>
  <c r="O64" i="15" s="1"/>
  <c r="N26" i="15"/>
  <c r="O26" i="15" s="1"/>
  <c r="H1" i="15"/>
  <c r="I4" i="15"/>
  <c r="N151" i="15"/>
  <c r="O151" i="15" s="1"/>
  <c r="N248" i="15"/>
  <c r="O248" i="15" s="1"/>
  <c r="N229" i="15"/>
  <c r="O229" i="15" s="1"/>
  <c r="N275" i="15"/>
  <c r="O275" i="15" s="1"/>
  <c r="N261" i="15"/>
  <c r="O261" i="15" s="1"/>
  <c r="N228" i="15"/>
  <c r="O228" i="15" s="1"/>
  <c r="N166" i="15"/>
  <c r="O166" i="15" s="1"/>
  <c r="N164" i="15"/>
  <c r="O164" i="15" s="1"/>
  <c r="N56" i="15"/>
  <c r="O56" i="15" s="1"/>
  <c r="N271" i="15"/>
  <c r="O271" i="15" s="1"/>
  <c r="N260" i="15"/>
  <c r="O260" i="15" s="1"/>
  <c r="N176" i="15"/>
  <c r="O176" i="15" s="1"/>
  <c r="N105" i="15"/>
  <c r="O105" i="15" s="1"/>
  <c r="N93" i="15"/>
  <c r="O93" i="15" s="1"/>
  <c r="N91" i="15"/>
  <c r="O91" i="15" s="1"/>
  <c r="N22" i="15"/>
  <c r="O22" i="15" s="1"/>
  <c r="N95" i="15"/>
  <c r="O95" i="15" s="1"/>
  <c r="N242" i="15"/>
  <c r="O242" i="15" s="1"/>
  <c r="N112" i="14"/>
  <c r="O112" i="14" s="1"/>
  <c r="N263" i="15"/>
  <c r="O263" i="15" s="1"/>
  <c r="N67" i="15"/>
  <c r="O67" i="15" s="1"/>
  <c r="N24" i="15"/>
  <c r="O24" i="15" s="1"/>
  <c r="N178" i="15"/>
  <c r="O178" i="15" s="1"/>
  <c r="N133" i="15"/>
  <c r="O133" i="15" s="1"/>
  <c r="N197" i="15"/>
  <c r="O197" i="15" s="1"/>
  <c r="N245" i="15"/>
  <c r="O245" i="15" s="1"/>
  <c r="N34" i="15"/>
  <c r="O34" i="15" s="1"/>
  <c r="N136" i="15"/>
  <c r="O136" i="15" s="1"/>
  <c r="N135" i="15"/>
  <c r="O135" i="15" s="1"/>
  <c r="N80" i="15"/>
  <c r="O80" i="15" s="1"/>
  <c r="N35" i="15"/>
  <c r="O35" i="15" s="1"/>
  <c r="N126" i="15"/>
  <c r="O126" i="15" s="1"/>
  <c r="N122" i="15"/>
  <c r="O122" i="15" s="1"/>
  <c r="N18" i="15"/>
  <c r="O18" i="15" s="1"/>
  <c r="O368" i="15" s="1"/>
  <c r="N29" i="15"/>
  <c r="O29" i="15" s="1"/>
  <c r="N94" i="15"/>
  <c r="O94" i="15" s="1"/>
  <c r="I94" i="15"/>
  <c r="N146" i="15"/>
  <c r="O146" i="15" s="1"/>
  <c r="N210" i="15"/>
  <c r="O210" i="15" s="1"/>
  <c r="N213" i="15"/>
  <c r="O213" i="15" s="1"/>
  <c r="N361" i="16"/>
  <c r="O361" i="16" s="1"/>
  <c r="N406" i="16"/>
  <c r="O406" i="16" s="1"/>
  <c r="S301" i="16"/>
  <c r="T301" i="16" s="1"/>
  <c r="N282" i="16"/>
  <c r="O282" i="16" s="1"/>
  <c r="N280" i="16"/>
  <c r="O280" i="16" s="1"/>
  <c r="S183" i="16"/>
  <c r="T183" i="16" s="1"/>
  <c r="N157" i="16"/>
  <c r="O157" i="16" s="1"/>
  <c r="N30" i="16"/>
  <c r="O30" i="16" s="1"/>
  <c r="N27" i="16"/>
  <c r="O27" i="16" s="1"/>
  <c r="N300" i="16"/>
  <c r="O300" i="16" s="1"/>
  <c r="S222" i="16"/>
  <c r="T222" i="16" s="1"/>
  <c r="N380" i="16"/>
  <c r="O380" i="16" s="1"/>
  <c r="N368" i="16"/>
  <c r="O368" i="16" s="1"/>
  <c r="N350" i="16"/>
  <c r="O350" i="16" s="1"/>
  <c r="S336" i="16"/>
  <c r="T336" i="16" s="1"/>
  <c r="N309" i="16"/>
  <c r="O309" i="16" s="1"/>
  <c r="N289" i="16"/>
  <c r="O289" i="16" s="1"/>
  <c r="N188" i="16"/>
  <c r="O188" i="16" s="1"/>
  <c r="N179" i="16"/>
  <c r="O179" i="16" s="1"/>
  <c r="N171" i="16"/>
  <c r="O171" i="16" s="1"/>
  <c r="N156" i="16"/>
  <c r="O156" i="16" s="1"/>
  <c r="N40" i="16"/>
  <c r="O40" i="16" s="1"/>
  <c r="N34" i="16"/>
  <c r="O34" i="16" s="1"/>
  <c r="N146" i="16"/>
  <c r="O146" i="16" s="1"/>
  <c r="N153" i="16"/>
  <c r="O153" i="16" s="1"/>
  <c r="S182" i="16"/>
  <c r="T182" i="16" s="1"/>
  <c r="N112" i="16"/>
  <c r="O112" i="16" s="1"/>
  <c r="N246" i="15"/>
  <c r="O246" i="15" s="1"/>
  <c r="N234" i="15"/>
  <c r="O234" i="15" s="1"/>
  <c r="N222" i="15"/>
  <c r="O222" i="15" s="1"/>
  <c r="N187" i="15"/>
  <c r="O187" i="15" s="1"/>
  <c r="N168" i="15"/>
  <c r="O168" i="15" s="1"/>
  <c r="N262" i="15"/>
  <c r="O262" i="15" s="1"/>
  <c r="N211" i="15"/>
  <c r="O211" i="15" s="1"/>
  <c r="N196" i="15"/>
  <c r="O196" i="15" s="1"/>
  <c r="N177" i="15"/>
  <c r="O177" i="15" s="1"/>
  <c r="N165" i="15"/>
  <c r="O165" i="15" s="1"/>
  <c r="N163" i="15"/>
  <c r="O163" i="15" s="1"/>
  <c r="N149" i="15"/>
  <c r="O149" i="15" s="1"/>
  <c r="N41" i="15"/>
  <c r="O41" i="15" s="1"/>
  <c r="N78" i="15"/>
  <c r="O78" i="15" s="1"/>
  <c r="N89" i="15"/>
  <c r="O89" i="15" s="1"/>
  <c r="N103" i="15"/>
  <c r="O103" i="15" s="1"/>
  <c r="N148" i="15"/>
  <c r="O148" i="15" s="1"/>
  <c r="N162" i="15"/>
  <c r="O162" i="15" s="1"/>
  <c r="N199" i="15"/>
  <c r="O199" i="15" s="1"/>
  <c r="N40" i="15"/>
  <c r="O40" i="15" s="1"/>
  <c r="N63" i="15"/>
  <c r="O63" i="15" s="1"/>
  <c r="N73" i="15"/>
  <c r="O73" i="15" s="1"/>
  <c r="N84" i="15"/>
  <c r="O84" i="15" s="1"/>
  <c r="N86" i="15"/>
  <c r="O86" i="15" s="1"/>
  <c r="N128" i="15"/>
  <c r="O128" i="15" s="1"/>
  <c r="N141" i="15"/>
  <c r="O141" i="15" s="1"/>
  <c r="N198" i="15"/>
  <c r="O198" i="15" s="1"/>
  <c r="I198" i="15"/>
  <c r="N219" i="15"/>
  <c r="O219" i="15" s="1"/>
  <c r="N241" i="15"/>
  <c r="O241" i="15" s="1"/>
  <c r="H1" i="16"/>
  <c r="S409" i="16"/>
  <c r="T409" i="16" s="1"/>
  <c r="N389" i="16"/>
  <c r="O389" i="16" s="1"/>
  <c r="N397" i="16"/>
  <c r="O397" i="16" s="1"/>
  <c r="N363" i="16"/>
  <c r="O363" i="16" s="1"/>
  <c r="N351" i="16"/>
  <c r="O351" i="16" s="1"/>
  <c r="N349" i="16"/>
  <c r="O349" i="16" s="1"/>
  <c r="N346" i="16"/>
  <c r="O346" i="16" s="1"/>
  <c r="N330" i="16"/>
  <c r="O330" i="16" s="1"/>
  <c r="N324" i="16"/>
  <c r="O324" i="16" s="1"/>
  <c r="S307" i="16"/>
  <c r="T307" i="16" s="1"/>
  <c r="N370" i="16"/>
  <c r="O370" i="16" s="1"/>
  <c r="N297" i="16"/>
  <c r="O297" i="16" s="1"/>
  <c r="S285" i="16"/>
  <c r="T285" i="16" s="1"/>
  <c r="N281" i="16"/>
  <c r="O281" i="16" s="1"/>
  <c r="S407" i="16"/>
  <c r="T407" i="16" s="1"/>
  <c r="S341" i="16"/>
  <c r="T341" i="16" s="1"/>
  <c r="S338" i="16"/>
  <c r="T338" i="16" s="1"/>
  <c r="N331" i="16"/>
  <c r="O331" i="16" s="1"/>
  <c r="S302" i="16"/>
  <c r="T302" i="16" s="1"/>
  <c r="S298" i="16"/>
  <c r="T298" i="16" s="1"/>
  <c r="N257" i="16"/>
  <c r="O257" i="16" s="1"/>
  <c r="S248" i="16"/>
  <c r="T248" i="16" s="1"/>
  <c r="N286" i="16"/>
  <c r="O286" i="16" s="1"/>
  <c r="N236" i="16"/>
  <c r="O236" i="16" s="1"/>
  <c r="N247" i="16"/>
  <c r="O247" i="16" s="1"/>
  <c r="N240" i="16"/>
  <c r="O240" i="16" s="1"/>
  <c r="N225" i="16"/>
  <c r="O225" i="16" s="1"/>
  <c r="N223" i="16"/>
  <c r="O223" i="16" s="1"/>
  <c r="N216" i="16"/>
  <c r="O216" i="16" s="1"/>
  <c r="N200" i="16"/>
  <c r="O200" i="16" s="1"/>
  <c r="N165" i="16"/>
  <c r="O165" i="16" s="1"/>
  <c r="N208" i="16"/>
  <c r="O208" i="16" s="1"/>
  <c r="N199" i="16"/>
  <c r="O199" i="16" s="1"/>
  <c r="S135" i="16"/>
  <c r="T135" i="16" s="1"/>
  <c r="N106" i="16"/>
  <c r="O106" i="16" s="1"/>
  <c r="N95" i="16"/>
  <c r="O95" i="16" s="1"/>
  <c r="N81" i="16"/>
  <c r="O81" i="16" s="1"/>
  <c r="N71" i="16"/>
  <c r="O71" i="16" s="1"/>
  <c r="N239" i="16"/>
  <c r="O239" i="16" s="1"/>
  <c r="S219" i="16"/>
  <c r="T219" i="16" s="1"/>
  <c r="N209" i="16"/>
  <c r="O209" i="16" s="1"/>
  <c r="S198" i="16"/>
  <c r="T198" i="16" s="1"/>
  <c r="N172" i="16"/>
  <c r="O172" i="16" s="1"/>
  <c r="N167" i="16"/>
  <c r="O167" i="16" s="1"/>
  <c r="N150" i="16"/>
  <c r="O150" i="16" s="1"/>
  <c r="N142" i="16"/>
  <c r="O142" i="16" s="1"/>
  <c r="S128" i="16"/>
  <c r="T128" i="16" s="1"/>
  <c r="N115" i="16"/>
  <c r="O115" i="16" s="1"/>
  <c r="N111" i="16"/>
  <c r="O111" i="16" s="1"/>
  <c r="N107" i="16"/>
  <c r="O107" i="16" s="1"/>
  <c r="N77" i="16"/>
  <c r="O77" i="16" s="1"/>
  <c r="N60" i="16"/>
  <c r="O60" i="16" s="1"/>
  <c r="N42" i="16"/>
  <c r="O42" i="16" s="1"/>
  <c r="N295" i="16"/>
  <c r="O295" i="16" s="1"/>
  <c r="S178" i="16"/>
  <c r="T178" i="16" s="1"/>
  <c r="S164" i="16"/>
  <c r="T164" i="16" s="1"/>
  <c r="N141" i="16"/>
  <c r="O141" i="16" s="1"/>
  <c r="N139" i="16"/>
  <c r="O139" i="16" s="1"/>
  <c r="N105" i="16"/>
  <c r="O105" i="16" s="1"/>
  <c r="N94" i="16"/>
  <c r="O94" i="16" s="1"/>
  <c r="N93" i="16"/>
  <c r="O93" i="16" s="1"/>
  <c r="N75" i="16"/>
  <c r="O75" i="16" s="1"/>
  <c r="N74" i="16"/>
  <c r="O74" i="16" s="1"/>
  <c r="N68" i="16"/>
  <c r="O68" i="16" s="1"/>
  <c r="N117" i="16"/>
  <c r="O117" i="16" s="1"/>
  <c r="N54" i="16"/>
  <c r="O54" i="16" s="1"/>
  <c r="N21" i="16"/>
  <c r="O21" i="16" s="1"/>
  <c r="N20" i="16"/>
  <c r="O20" i="16" s="1"/>
  <c r="N4" i="16"/>
  <c r="O4" i="16" s="1"/>
  <c r="O432" i="16" s="1"/>
  <c r="N67" i="16"/>
  <c r="O67" i="16" s="1"/>
  <c r="N65" i="16"/>
  <c r="O65" i="16" s="1"/>
  <c r="N400" i="16"/>
  <c r="O400" i="16" s="1"/>
  <c r="N332" i="16"/>
  <c r="O332" i="16" s="1"/>
  <c r="N323" i="16"/>
  <c r="O323" i="16" s="1"/>
  <c r="N357" i="16"/>
  <c r="O357" i="16" s="1"/>
  <c r="N270" i="16"/>
  <c r="O270" i="16" s="1"/>
  <c r="S251" i="16"/>
  <c r="T251" i="16" s="1"/>
  <c r="N359" i="16"/>
  <c r="O359" i="16" s="1"/>
  <c r="N304" i="16"/>
  <c r="O304" i="16" s="1"/>
  <c r="N253" i="16"/>
  <c r="O253" i="16" s="1"/>
  <c r="N190" i="16"/>
  <c r="O190" i="16" s="1"/>
  <c r="N170" i="16"/>
  <c r="O170" i="16" s="1"/>
  <c r="N206" i="16"/>
  <c r="O206" i="16" s="1"/>
  <c r="N224" i="16"/>
  <c r="O224" i="16" s="1"/>
  <c r="N129" i="16"/>
  <c r="O129" i="16" s="1"/>
  <c r="N114" i="16"/>
  <c r="O114" i="16" s="1"/>
  <c r="N72" i="16"/>
  <c r="O72" i="16" s="1"/>
  <c r="N217" i="16"/>
  <c r="O217" i="16" s="1"/>
  <c r="N158" i="16"/>
  <c r="O158" i="16" s="1"/>
  <c r="N92" i="16"/>
  <c r="O92" i="16" s="1"/>
  <c r="S221" i="16"/>
  <c r="T221" i="16" s="1"/>
  <c r="N108" i="16"/>
  <c r="O108" i="16" s="1"/>
  <c r="N53" i="16"/>
  <c r="O53" i="16" s="1"/>
  <c r="N8" i="16"/>
  <c r="O8" i="16" s="1"/>
  <c r="N11" i="16"/>
  <c r="O11" i="16" s="1"/>
  <c r="N10" i="16"/>
  <c r="O10" i="16" s="1"/>
  <c r="N122" i="16"/>
  <c r="O122" i="16" s="1"/>
  <c r="N69" i="16"/>
  <c r="O69" i="16" s="1"/>
  <c r="S340" i="16"/>
  <c r="T340" i="16" s="1"/>
  <c r="N299" i="16"/>
  <c r="O299" i="16" s="1"/>
  <c r="N118" i="16"/>
  <c r="O118" i="16" s="1"/>
  <c r="N339" i="16"/>
  <c r="O339" i="16" s="1"/>
  <c r="N294" i="16"/>
  <c r="O294" i="16" s="1"/>
  <c r="N254" i="16"/>
  <c r="O254" i="16" s="1"/>
  <c r="N238" i="16"/>
  <c r="O238" i="16" s="1"/>
  <c r="N235" i="16"/>
  <c r="O235" i="16" s="1"/>
  <c r="N369" i="16"/>
  <c r="O369" i="16" s="1"/>
  <c r="N310" i="16"/>
  <c r="O310" i="16" s="1"/>
  <c r="N381" i="16"/>
  <c r="O381" i="16" s="1"/>
  <c r="N189" i="16"/>
  <c r="O189" i="16" s="1"/>
  <c r="N250" i="16"/>
  <c r="O250" i="16" s="1"/>
  <c r="N237" i="16"/>
  <c r="O237" i="16" s="1"/>
  <c r="S191" i="16"/>
  <c r="T191" i="16" s="1"/>
  <c r="N36" i="16"/>
  <c r="O36" i="16" s="1"/>
  <c r="N116" i="16"/>
  <c r="O116" i="16" s="1"/>
  <c r="N374" i="16"/>
  <c r="O374" i="16" s="1"/>
  <c r="N384" i="16"/>
  <c r="O384" i="16" s="1"/>
  <c r="N398" i="16"/>
  <c r="O398" i="16" s="1"/>
  <c r="S245" i="16"/>
  <c r="T245" i="16" s="1"/>
  <c r="S220" i="16"/>
  <c r="T220" i="16" s="1"/>
  <c r="N180" i="16"/>
  <c r="O180" i="16" s="1"/>
  <c r="N89" i="16"/>
  <c r="O89" i="16" s="1"/>
  <c r="N35" i="16"/>
  <c r="O35" i="16" s="1"/>
  <c r="S207" i="16"/>
  <c r="T207" i="16" s="1"/>
  <c r="N410" i="16"/>
  <c r="O410" i="16" s="1"/>
  <c r="N138" i="16"/>
  <c r="O138" i="16" s="1"/>
  <c r="N325" i="16"/>
  <c r="O325" i="16" s="1"/>
  <c r="N110" i="16"/>
  <c r="O110" i="16" s="1"/>
  <c r="N76" i="16"/>
  <c r="O76" i="16" s="1"/>
  <c r="N308" i="16"/>
  <c r="O308" i="16" s="1"/>
  <c r="N275" i="16"/>
  <c r="O275" i="16" s="1"/>
  <c r="N187" i="16"/>
  <c r="O187" i="16" s="1"/>
  <c r="N283" i="16"/>
  <c r="O283" i="16" s="1"/>
  <c r="N287" i="16"/>
  <c r="O287" i="16" s="1"/>
  <c r="N290" i="16"/>
  <c r="O290" i="16" s="1"/>
  <c r="N181" i="16"/>
  <c r="O181" i="16" s="1"/>
  <c r="N109" i="16"/>
  <c r="O109" i="16" s="1"/>
  <c r="N43" i="16"/>
  <c r="O43" i="16" s="1"/>
  <c r="N61" i="16"/>
  <c r="O61" i="16" s="1"/>
  <c r="N140" i="16"/>
  <c r="O140" i="16" s="1"/>
  <c r="N255" i="16"/>
  <c r="O255" i="16" s="1"/>
  <c r="I255" i="16"/>
  <c r="I1" i="16" s="1"/>
  <c r="N386" i="16"/>
  <c r="O386" i="16" s="1"/>
  <c r="I386" i="16"/>
  <c r="O374" i="12" l="1"/>
  <c r="O1" i="12"/>
  <c r="Q31" i="12"/>
  <c r="O374" i="13"/>
  <c r="Q147" i="12"/>
  <c r="O373" i="14"/>
  <c r="I1" i="13"/>
  <c r="H374" i="12"/>
  <c r="Q206" i="11"/>
  <c r="O374" i="11"/>
  <c r="Q226" i="11"/>
  <c r="Q158" i="11"/>
  <c r="O1" i="16"/>
  <c r="Q275" i="15"/>
  <c r="I1" i="15"/>
  <c r="Q129" i="13"/>
  <c r="O1" i="15"/>
  <c r="Q201" i="12"/>
  <c r="R263" i="12" s="1"/>
  <c r="O1" i="11"/>
  <c r="O1" i="10"/>
  <c r="Q64" i="13"/>
  <c r="H1" i="12"/>
  <c r="Q125" i="10"/>
  <c r="Q410" i="16"/>
  <c r="T432" i="16"/>
  <c r="T1" i="16"/>
  <c r="Q294" i="14"/>
  <c r="Q176" i="13"/>
  <c r="Q231" i="13"/>
  <c r="I1" i="12"/>
  <c r="Q221" i="10"/>
  <c r="O351" i="8"/>
</calcChain>
</file>

<file path=xl/sharedStrings.xml><?xml version="1.0" encoding="utf-8"?>
<sst xmlns="http://schemas.openxmlformats.org/spreadsheetml/2006/main" count="16664" uniqueCount="989">
  <si>
    <t>TOTAL MÊS</t>
  </si>
  <si>
    <t>Funcionario</t>
  </si>
  <si>
    <t>- todas -</t>
  </si>
  <si>
    <t>Serviço\ Produto</t>
  </si>
  <si>
    <t>- múltiplo -</t>
  </si>
  <si>
    <t>Agendamento</t>
  </si>
  <si>
    <t>Soma de Qtde</t>
  </si>
  <si>
    <t>Soma de Valor Total</t>
  </si>
  <si>
    <t>Booksy</t>
  </si>
  <si>
    <t>Booksy - Esporadico</t>
  </si>
  <si>
    <t>Primeiro Atendimento</t>
  </si>
  <si>
    <t>Total Resultado</t>
  </si>
  <si>
    <t>Contagem de Valor Unit.</t>
  </si>
  <si>
    <t>Barba</t>
  </si>
  <si>
    <t>Combo - Corte  + Risco + Sombrancelha</t>
  </si>
  <si>
    <t>Combo - Corte + Barba</t>
  </si>
  <si>
    <t>Combo - Corte + Barba + Sombrancelha</t>
  </si>
  <si>
    <t>Combo - Corte + Sombrancelha</t>
  </si>
  <si>
    <t>Corte</t>
  </si>
  <si>
    <t>Corte Infantil</t>
  </si>
  <si>
    <t>Depilação nariz</t>
  </si>
  <si>
    <t>Pezinho</t>
  </si>
  <si>
    <t>Raspar Cabelo</t>
  </si>
  <si>
    <t>Risco</t>
  </si>
  <si>
    <t>Sombrancelha</t>
  </si>
  <si>
    <t>Depilação nariz + orelha</t>
  </si>
  <si>
    <t>Balme - Fox</t>
  </si>
  <si>
    <t>Soma de Valor Total (S/ Desconto)</t>
  </si>
  <si>
    <t>Soma de Valor Total (C/ Desconto)</t>
  </si>
  <si>
    <t>Cerveja - Skol 350ml</t>
  </si>
  <si>
    <t>Combo Basico - 2 Corte + 2 Pezinho ou Sombrancelha</t>
  </si>
  <si>
    <t>Depilação orelha</t>
  </si>
  <si>
    <t>Limpeza de pele (facil)</t>
  </si>
  <si>
    <t>Oleo Spray</t>
  </si>
  <si>
    <t>Pomada - Modeladora</t>
  </si>
  <si>
    <t>Suco</t>
  </si>
  <si>
    <t>Pomada em Pó - Fox</t>
  </si>
  <si>
    <t>Coca Cola 350ml</t>
  </si>
  <si>
    <t>Cerveja - Amstel</t>
  </si>
  <si>
    <t>Gel Cera</t>
  </si>
  <si>
    <t>Combo - Corte + Risco</t>
  </si>
  <si>
    <t>Energetico</t>
  </si>
  <si>
    <t>Raspar Barba</t>
  </si>
  <si>
    <t>Combo Basico - 2 Corte + 2 Barba + 2 Pezinho ou Sombrancelha</t>
  </si>
  <si>
    <t>Cerveja - Petra</t>
  </si>
  <si>
    <t>Agua c/ Gás</t>
  </si>
  <si>
    <t>Coca Café</t>
  </si>
  <si>
    <t>Camiseta Time</t>
  </si>
  <si>
    <t>Cerveja Heineken</t>
  </si>
  <si>
    <t>Total Soma de Valor Total (S/ Desconto)</t>
  </si>
  <si>
    <t>Total Soma de Valor Total (C/ Desconto)</t>
  </si>
  <si>
    <t>Contagem de Qtde</t>
  </si>
  <si>
    <t>Total Contagem de Qtde</t>
  </si>
  <si>
    <t>Rótulos de linha</t>
  </si>
  <si>
    <t>Contagem de Agendamento</t>
  </si>
  <si>
    <t>Total Contagem de Agendamento</t>
  </si>
  <si>
    <t>Igor</t>
  </si>
  <si>
    <t>Camiseta (Normal)</t>
  </si>
  <si>
    <t>Combo - Corte + Progressiva</t>
  </si>
  <si>
    <t>Cueca</t>
  </si>
  <si>
    <t>Luzes</t>
  </si>
  <si>
    <t>Minoxidil</t>
  </si>
  <si>
    <t>Pente de Madeira (Barba)</t>
  </si>
  <si>
    <t>Pomada - Fox</t>
  </si>
  <si>
    <t>Shampoo - 3 em 1</t>
  </si>
  <si>
    <t>MARÇO - 2024</t>
  </si>
  <si>
    <t>Faturamento:</t>
  </si>
  <si>
    <t>Data</t>
  </si>
  <si>
    <t>Cliente</t>
  </si>
  <si>
    <t>Qtde</t>
  </si>
  <si>
    <t>Valor Unit.</t>
  </si>
  <si>
    <t>Valor Total</t>
  </si>
  <si>
    <t>Forma de Pgto</t>
  </si>
  <si>
    <t>Observação</t>
  </si>
  <si>
    <t>Serviço/ Produto</t>
  </si>
  <si>
    <t>Valor Comissão</t>
  </si>
  <si>
    <t>Total</t>
  </si>
  <si>
    <t>Kenji</t>
  </si>
  <si>
    <t>Cartão de Debito</t>
  </si>
  <si>
    <t>Dinheiro (R$)</t>
  </si>
  <si>
    <t>Corte - R$</t>
  </si>
  <si>
    <t>Vagner</t>
  </si>
  <si>
    <t>Thieco</t>
  </si>
  <si>
    <t>Pix</t>
  </si>
  <si>
    <t>Corte - Pix</t>
  </si>
  <si>
    <t>Ermano</t>
  </si>
  <si>
    <t>Cartão de Credito</t>
  </si>
  <si>
    <t>Corte - C. Débito</t>
  </si>
  <si>
    <t>Débito</t>
  </si>
  <si>
    <t>Gbriel</t>
  </si>
  <si>
    <t>Corte - C. Credito</t>
  </si>
  <si>
    <t>Credito</t>
  </si>
  <si>
    <t xml:space="preserve">Victor </t>
  </si>
  <si>
    <t>Corte Infantil - R$</t>
  </si>
  <si>
    <t>Erich</t>
  </si>
  <si>
    <t>Corte Infantil - Pix</t>
  </si>
  <si>
    <t>booksy</t>
  </si>
  <si>
    <t>Shampoo - Escurecedor de Cabelo</t>
  </si>
  <si>
    <t>Corte Infantil - C. Débito</t>
  </si>
  <si>
    <t>Barba + Pigmentação</t>
  </si>
  <si>
    <t>Corte Infantil - C. Credito</t>
  </si>
  <si>
    <t xml:space="preserve">Antonio </t>
  </si>
  <si>
    <t>Raspar Cabelo - R$</t>
  </si>
  <si>
    <t xml:space="preserve">Yan Martins </t>
  </si>
  <si>
    <t>Progressiva</t>
  </si>
  <si>
    <t>Raspar Cabelo - Pix</t>
  </si>
  <si>
    <t>Hidratação</t>
  </si>
  <si>
    <t>Raspar Cabelo - C. Débito</t>
  </si>
  <si>
    <t>Raspar Cabelo - C. Credito</t>
  </si>
  <si>
    <t>Gustavo</t>
  </si>
  <si>
    <t>Risco - R$</t>
  </si>
  <si>
    <t xml:space="preserve">Danilo </t>
  </si>
  <si>
    <t>Combo - Corte + Barba + Risco</t>
  </si>
  <si>
    <t>Risco - Pix</t>
  </si>
  <si>
    <t xml:space="preserve">Luciana </t>
  </si>
  <si>
    <t>Risco - C. Débito</t>
  </si>
  <si>
    <t>Daniel</t>
  </si>
  <si>
    <t>Risco - C. Credito</t>
  </si>
  <si>
    <t>Guilherme</t>
  </si>
  <si>
    <t>Sombrancelha - R$</t>
  </si>
  <si>
    <t>Francisco</t>
  </si>
  <si>
    <t>Platinado</t>
  </si>
  <si>
    <t>Sombrancelha - Pix</t>
  </si>
  <si>
    <t>Sombrancelha - C. Débito</t>
  </si>
  <si>
    <t>Rodrigo (Rato)</t>
  </si>
  <si>
    <t>Sombrancelha - C. Credito</t>
  </si>
  <si>
    <t>Pezinho - R$</t>
  </si>
  <si>
    <t>Marcelo</t>
  </si>
  <si>
    <t>Pezinho - Pix</t>
  </si>
  <si>
    <t xml:space="preserve">Carlos </t>
  </si>
  <si>
    <t>Pezinho - C. Débito</t>
  </si>
  <si>
    <t>Shampoo - Anticaspa</t>
  </si>
  <si>
    <t>Pezinho - C. Credito</t>
  </si>
  <si>
    <t xml:space="preserve">Tiago </t>
  </si>
  <si>
    <t>Raspar Barba - R$</t>
  </si>
  <si>
    <t xml:space="preserve">Yago martins </t>
  </si>
  <si>
    <t>Raspar Barba - Pix</t>
  </si>
  <si>
    <t>Raspar Barba - C. Débito</t>
  </si>
  <si>
    <t>Valentin</t>
  </si>
  <si>
    <t>Raspar Barba - C. Credito</t>
  </si>
  <si>
    <t xml:space="preserve">Thiago </t>
  </si>
  <si>
    <t>Barba + Pigmentação - R$</t>
  </si>
  <si>
    <t>Flavio</t>
  </si>
  <si>
    <t>Oleo para Barba</t>
  </si>
  <si>
    <t>Barba + Pigmentação - Pix</t>
  </si>
  <si>
    <t>Breno</t>
  </si>
  <si>
    <t>Barba + Pigmentação - C. Débito</t>
  </si>
  <si>
    <t xml:space="preserve">Igor </t>
  </si>
  <si>
    <t>Barba + Pigmentação - C. Credito</t>
  </si>
  <si>
    <t>Diego</t>
  </si>
  <si>
    <t>Barba - R$</t>
  </si>
  <si>
    <t xml:space="preserve">Matheus </t>
  </si>
  <si>
    <t>Maquininha Acabamento (Dragão)</t>
  </si>
  <si>
    <t>Barba - Pix</t>
  </si>
  <si>
    <t>Barba - C. Débito</t>
  </si>
  <si>
    <t>Agua Natural</t>
  </si>
  <si>
    <t>Barba - C. Credito</t>
  </si>
  <si>
    <t xml:space="preserve">Lucas </t>
  </si>
  <si>
    <t>Progressiva - R$</t>
  </si>
  <si>
    <t xml:space="preserve">Renan </t>
  </si>
  <si>
    <t>Meia Infantil</t>
  </si>
  <si>
    <t>Progressiva - Pix</t>
  </si>
  <si>
    <t>Meia Adulto</t>
  </si>
  <si>
    <t>Progressiva - C. Débito</t>
  </si>
  <si>
    <t xml:space="preserve">Marcos </t>
  </si>
  <si>
    <t>Progressiva - C. Credito</t>
  </si>
  <si>
    <t xml:space="preserve">Pedro </t>
  </si>
  <si>
    <t>Hidratação - R$</t>
  </si>
  <si>
    <t xml:space="preserve">Paulo </t>
  </si>
  <si>
    <t>Hidratação - Pix</t>
  </si>
  <si>
    <t>Cerveja - Skol 269ml</t>
  </si>
  <si>
    <t>Hidratação - C. Débito</t>
  </si>
  <si>
    <t>Adam</t>
  </si>
  <si>
    <t>Hidratação - C. Credito</t>
  </si>
  <si>
    <t>Nicolas</t>
  </si>
  <si>
    <t>corte</t>
  </si>
  <si>
    <t>Combo - Corte + Barba - R$</t>
  </si>
  <si>
    <t>Combo - Corte + Barba - Pix</t>
  </si>
  <si>
    <t xml:space="preserve">wanderson </t>
  </si>
  <si>
    <t>Coca Pequena</t>
  </si>
  <si>
    <t>Combo - Corte + Barba - C. Débito</t>
  </si>
  <si>
    <t>Combo - Corte + Barba - C. Credito</t>
  </si>
  <si>
    <t xml:space="preserve">kelson </t>
  </si>
  <si>
    <t>Guarana</t>
  </si>
  <si>
    <t>Combo - Corte + Barba + Risco - R$</t>
  </si>
  <si>
    <t xml:space="preserve">volpato </t>
  </si>
  <si>
    <t>Combo - Corte + Barba + Risco - Pix</t>
  </si>
  <si>
    <t>Combo - Corte + Barba + Risco - C. Débito</t>
  </si>
  <si>
    <t>Combo - Corte + Barba + Risco - C. Credito</t>
  </si>
  <si>
    <t>Anderson</t>
  </si>
  <si>
    <t>Combo - Corte  + Risco + Sombrancelha - R$</t>
  </si>
  <si>
    <t xml:space="preserve">gabi </t>
  </si>
  <si>
    <t>Combo - Corte  + Risco + Sombrancelha - Pix</t>
  </si>
  <si>
    <t>Combo - Corte  + Risco + Sombrancelha - C. Débito</t>
  </si>
  <si>
    <t xml:space="preserve">caique </t>
  </si>
  <si>
    <t>Combo - Corte  + Risco + Sombrancelha - C. Credito</t>
  </si>
  <si>
    <t xml:space="preserve">nikolas </t>
  </si>
  <si>
    <t>Combo - Corte + Progressiva - R$</t>
  </si>
  <si>
    <t xml:space="preserve">lucas </t>
  </si>
  <si>
    <t>Combo - Corte + Progressiva - Pix</t>
  </si>
  <si>
    <t xml:space="preserve">yan </t>
  </si>
  <si>
    <t>Combo - Corte + Progressiva - C. Débito</t>
  </si>
  <si>
    <t xml:space="preserve">walef </t>
  </si>
  <si>
    <t>Combo - Corte + Progressiva - C. Credito</t>
  </si>
  <si>
    <t xml:space="preserve">matheus </t>
  </si>
  <si>
    <t>Combo - Corte + Barba + Sombrancelha - R$</t>
  </si>
  <si>
    <t>Fabricio</t>
  </si>
  <si>
    <t>Combo - Corte + Barba + Sombrancelha - Pix</t>
  </si>
  <si>
    <t>Combo - Corte + Barba + Sombrancelha - C. Débito</t>
  </si>
  <si>
    <t>Combo - Corte + Barba + Sombrancelha - C. Credito</t>
  </si>
  <si>
    <t>João Victor</t>
  </si>
  <si>
    <t>Platinado - R$</t>
  </si>
  <si>
    <t>caio</t>
  </si>
  <si>
    <t>Platinado - Pix</t>
  </si>
  <si>
    <t>Platinado - C. Débito</t>
  </si>
  <si>
    <t xml:space="preserve">sidney </t>
  </si>
  <si>
    <t>Platinado - C. Credito</t>
  </si>
  <si>
    <t xml:space="preserve">luiz </t>
  </si>
  <si>
    <t>PIX</t>
  </si>
  <si>
    <t>Luzes - R$</t>
  </si>
  <si>
    <t xml:space="preserve">felipe </t>
  </si>
  <si>
    <t>Luzes - Pix</t>
  </si>
  <si>
    <t>Luzes - C. Débito</t>
  </si>
  <si>
    <t xml:space="preserve">zé </t>
  </si>
  <si>
    <t>Luzes - C. Credito</t>
  </si>
  <si>
    <t>Gabriel</t>
  </si>
  <si>
    <t>Shampoo - Anticaspa - R$</t>
  </si>
  <si>
    <t>Kauan</t>
  </si>
  <si>
    <t>Shampoo - Anticaspa - Pix</t>
  </si>
  <si>
    <t>Paulo</t>
  </si>
  <si>
    <t>Shampoo - Anticaspa - C. Débito</t>
  </si>
  <si>
    <t>Shampoo - Anticaspa - C. Credito</t>
  </si>
  <si>
    <t>Shampoo - 3 em 1 - R$</t>
  </si>
  <si>
    <t>Ronaldo</t>
  </si>
  <si>
    <t>Shampoo - 3 em 1 - Pix</t>
  </si>
  <si>
    <t>Shampoo - 3 em 1 - C. Débito</t>
  </si>
  <si>
    <t>Matheus</t>
  </si>
  <si>
    <t>Shampoo - 3 em 1 - C. Credito</t>
  </si>
  <si>
    <t xml:space="preserve">daniel </t>
  </si>
  <si>
    <t>Shampoo - Escurecedor de Cabelo - R$</t>
  </si>
  <si>
    <t>miguel</t>
  </si>
  <si>
    <t>Shampoo - Escurecedor de Cabelo - Pix</t>
  </si>
  <si>
    <t>Shampoo - Escurecedor de Cabelo - C. Débito</t>
  </si>
  <si>
    <t>Shampoo - Escurecedor de Cabelo - C. Credito</t>
  </si>
  <si>
    <t xml:space="preserve">dodo </t>
  </si>
  <si>
    <t>Gel Cera - R$</t>
  </si>
  <si>
    <t>Gel Cera - Pix</t>
  </si>
  <si>
    <t>will</t>
  </si>
  <si>
    <t>Gel Cera - C. Débito</t>
  </si>
  <si>
    <t>Gel Cera - C. Credito</t>
  </si>
  <si>
    <t>Pomada - Fox - R$</t>
  </si>
  <si>
    <t xml:space="preserve">breno </t>
  </si>
  <si>
    <t>Pomada - Fox - Pix</t>
  </si>
  <si>
    <t>Pomada - Fox - C. Débito</t>
  </si>
  <si>
    <t>Pomada - Fox - C. Credito</t>
  </si>
  <si>
    <t>Pomada - Modeladora - R$</t>
  </si>
  <si>
    <t xml:space="preserve">renan </t>
  </si>
  <si>
    <t>Pomada - Modeladora - Pix</t>
  </si>
  <si>
    <t>piru</t>
  </si>
  <si>
    <t>Pomada - Modeladora - C. Débito</t>
  </si>
  <si>
    <t xml:space="preserve">thais nega </t>
  </si>
  <si>
    <t>Pomada - Modeladora - C. Credito</t>
  </si>
  <si>
    <t>Adriano</t>
  </si>
  <si>
    <t>Oleo para Barba - R$</t>
  </si>
  <si>
    <t xml:space="preserve">leonardo </t>
  </si>
  <si>
    <t>Oleo para Barba - Pix</t>
  </si>
  <si>
    <t xml:space="preserve">laura </t>
  </si>
  <si>
    <t>Oleo para Barba - C. Débito</t>
  </si>
  <si>
    <t>ravi</t>
  </si>
  <si>
    <t>Oleo para Barba - C. Credito</t>
  </si>
  <si>
    <t>everton</t>
  </si>
  <si>
    <t>Oleo Spray - R$</t>
  </si>
  <si>
    <t>Mauricio</t>
  </si>
  <si>
    <t>Oleo Spray - Pix</t>
  </si>
  <si>
    <t xml:space="preserve">vyctor </t>
  </si>
  <si>
    <t>Oleo Spray - C. Débito</t>
  </si>
  <si>
    <t xml:space="preserve">ana </t>
  </si>
  <si>
    <t>Oleo Spray - C. Credito</t>
  </si>
  <si>
    <t>Balme - Fox - R$</t>
  </si>
  <si>
    <t xml:space="preserve">gilmar </t>
  </si>
  <si>
    <t>Balme - Fox - Pix</t>
  </si>
  <si>
    <t xml:space="preserve">arthur </t>
  </si>
  <si>
    <t>Balme - Fox - C. Débito</t>
  </si>
  <si>
    <t xml:space="preserve">hyago </t>
  </si>
  <si>
    <t>combo mensal (valor R$130,00)</t>
  </si>
  <si>
    <t>Balme - Fox - C. Credito</t>
  </si>
  <si>
    <t>Minoxidil - R$</t>
  </si>
  <si>
    <t>Minoxidil - Pix</t>
  </si>
  <si>
    <t>Minoxidil - C. Débito</t>
  </si>
  <si>
    <t xml:space="preserve">emerson </t>
  </si>
  <si>
    <t>Minoxidil - C. Credito</t>
  </si>
  <si>
    <t>Nilton</t>
  </si>
  <si>
    <t>Maquininha Acabamento (Dragão) - R$</t>
  </si>
  <si>
    <t>Maquininha Acabamento (Dragão) - Pix</t>
  </si>
  <si>
    <t xml:space="preserve">dudu </t>
  </si>
  <si>
    <t>Maquininha Acabamento (Dragão) - C. Débito</t>
  </si>
  <si>
    <t>Maquininha Acabamento (Dragão) - C. Credito</t>
  </si>
  <si>
    <t>raphael</t>
  </si>
  <si>
    <t>Cerveja - Amstel - R$</t>
  </si>
  <si>
    <t xml:space="preserve">bruna </t>
  </si>
  <si>
    <t>Cerveja - Amstel - Pix</t>
  </si>
  <si>
    <t xml:space="preserve">bryan </t>
  </si>
  <si>
    <t>Cerveja - Amstel - C. Débito</t>
  </si>
  <si>
    <t xml:space="preserve">biel </t>
  </si>
  <si>
    <t>Cerveja - Amstel - C. Credito</t>
  </si>
  <si>
    <t>Cerveja - Skol 350ml - R$</t>
  </si>
  <si>
    <t xml:space="preserve">erich </t>
  </si>
  <si>
    <t>Cerveja - Skol 350ml - Pix</t>
  </si>
  <si>
    <t>Thiago</t>
  </si>
  <si>
    <t>Cerveja - Skol 350ml - C. Débito</t>
  </si>
  <si>
    <t>Pietro</t>
  </si>
  <si>
    <t>Cerveja - Skol 350ml - C. Credito</t>
  </si>
  <si>
    <t>Ricardo</t>
  </si>
  <si>
    <t>Cerveja - Skol 269ml - R$</t>
  </si>
  <si>
    <t>Fabiano</t>
  </si>
  <si>
    <t>Pagou R$ 50,00 no Debito e 20,00 no Dinheiro R$</t>
  </si>
  <si>
    <t>Cerveja - Skol 269ml - Pix</t>
  </si>
  <si>
    <t>barba</t>
  </si>
  <si>
    <t>Cerveja - Skol 269ml - C. Débito</t>
  </si>
  <si>
    <t>Welder</t>
  </si>
  <si>
    <t>Cerveja - Skol 269ml - C. Credito</t>
  </si>
  <si>
    <t>Cerveja Heineken - R$</t>
  </si>
  <si>
    <t xml:space="preserve">pingo </t>
  </si>
  <si>
    <t>Cerveja Heineken - Pix</t>
  </si>
  <si>
    <t xml:space="preserve">eduardo </t>
  </si>
  <si>
    <t>Cerveja Heineken - C. Débito</t>
  </si>
  <si>
    <t>Cerveja Heineken - C. Credito</t>
  </si>
  <si>
    <t>Cerveja - Petra - R$</t>
  </si>
  <si>
    <t xml:space="preserve">joao </t>
  </si>
  <si>
    <t>Cerveja - Petra - Pix</t>
  </si>
  <si>
    <t>Cerveja - Petra - C. Débito</t>
  </si>
  <si>
    <t>Cerveja - Petra - C. Credito</t>
  </si>
  <si>
    <t>davi</t>
  </si>
  <si>
    <t>pix</t>
  </si>
  <si>
    <t>Coca Cola 350ml - R$</t>
  </si>
  <si>
    <t>Coca Cola 350ml - Pix</t>
  </si>
  <si>
    <t xml:space="preserve">LEO </t>
  </si>
  <si>
    <t>Coca Cola 350ml - C. Débito</t>
  </si>
  <si>
    <t>LEO</t>
  </si>
  <si>
    <t>Coca Cola 350ml - C. Credito</t>
  </si>
  <si>
    <t>DINHO</t>
  </si>
  <si>
    <t>Coca Pequena - R$</t>
  </si>
  <si>
    <t>Weicy</t>
  </si>
  <si>
    <t>Coca Pequena - Pix</t>
  </si>
  <si>
    <t>Diogo</t>
  </si>
  <si>
    <t>Coca Pequena - C. Débito</t>
  </si>
  <si>
    <t xml:space="preserve">kelvin </t>
  </si>
  <si>
    <t>Coca Pequena - C. Credito</t>
  </si>
  <si>
    <t>Coca Café - R$</t>
  </si>
  <si>
    <t>Coca Café - Pix</t>
  </si>
  <si>
    <t xml:space="preserve">WILLIAN </t>
  </si>
  <si>
    <t>Coca Café - C. Débito</t>
  </si>
  <si>
    <t>Coca Café - C. Credito</t>
  </si>
  <si>
    <t>Guarana - R$</t>
  </si>
  <si>
    <t xml:space="preserve">PEIXE </t>
  </si>
  <si>
    <t>Guarana - Pix</t>
  </si>
  <si>
    <t xml:space="preserve">IVAN </t>
  </si>
  <si>
    <t>Guarana - C. Débito</t>
  </si>
  <si>
    <t xml:space="preserve">LUCIANA </t>
  </si>
  <si>
    <t>Guarana - C. Credito</t>
  </si>
  <si>
    <t xml:space="preserve">GUSTAVO </t>
  </si>
  <si>
    <t>Suco - R$</t>
  </si>
  <si>
    <t>Mulher</t>
  </si>
  <si>
    <t>Suco - Pix</t>
  </si>
  <si>
    <t>Heitor</t>
  </si>
  <si>
    <t>Suco - C. Débito</t>
  </si>
  <si>
    <t xml:space="preserve">CAMILA </t>
  </si>
  <si>
    <t>Suco - C. Credito</t>
  </si>
  <si>
    <t>Agua Natural - R$</t>
  </si>
  <si>
    <t xml:space="preserve">LAERTE </t>
  </si>
  <si>
    <t>Agua Natural - Pix</t>
  </si>
  <si>
    <t xml:space="preserve">BIEL </t>
  </si>
  <si>
    <t>Agua Natural - C. Debito</t>
  </si>
  <si>
    <t xml:space="preserve">LUCAS </t>
  </si>
  <si>
    <t>Agua Natural - C. Credito</t>
  </si>
  <si>
    <t>Agua c/ Gás - R$</t>
  </si>
  <si>
    <t>Agua c/ Gás - Pix</t>
  </si>
  <si>
    <t>BOoksy</t>
  </si>
  <si>
    <t>Agua c/ Gás - C. Débito</t>
  </si>
  <si>
    <t>SAMUEL</t>
  </si>
  <si>
    <t>Agua c/ Gás - C. Credito</t>
  </si>
  <si>
    <t xml:space="preserve">DIEGO </t>
  </si>
  <si>
    <t>David</t>
  </si>
  <si>
    <t>Marcos</t>
  </si>
  <si>
    <t xml:space="preserve">NIKOLAS </t>
  </si>
  <si>
    <t xml:space="preserve">CAIQUE </t>
  </si>
  <si>
    <t>ROGER</t>
  </si>
  <si>
    <t xml:space="preserve">ROGER </t>
  </si>
  <si>
    <t xml:space="preserve">JAPA </t>
  </si>
  <si>
    <t xml:space="preserve">BRYAN </t>
  </si>
  <si>
    <t>Rai</t>
  </si>
  <si>
    <t xml:space="preserve">BRENO </t>
  </si>
  <si>
    <t xml:space="preserve">PEDRO </t>
  </si>
  <si>
    <t xml:space="preserve">DANILO </t>
  </si>
  <si>
    <t xml:space="preserve">GABRIEL </t>
  </si>
  <si>
    <t>Wesley</t>
  </si>
  <si>
    <t>Ratão</t>
  </si>
  <si>
    <t>Crescencio</t>
  </si>
  <si>
    <t>Bremer</t>
  </si>
  <si>
    <t xml:space="preserve">MAGU </t>
  </si>
  <si>
    <t xml:space="preserve">SHEILLA </t>
  </si>
  <si>
    <t>WESLEY</t>
  </si>
  <si>
    <t xml:space="preserve">TIAGO </t>
  </si>
  <si>
    <t>DANIEL</t>
  </si>
  <si>
    <t xml:space="preserve">LEVI </t>
  </si>
  <si>
    <t>Geisson</t>
  </si>
  <si>
    <t xml:space="preserve">DENIS </t>
  </si>
  <si>
    <t xml:space="preserve">CAIO </t>
  </si>
  <si>
    <t>CAIO</t>
  </si>
  <si>
    <t xml:space="preserve">GABS </t>
  </si>
  <si>
    <t>Murilo</t>
  </si>
  <si>
    <t xml:space="preserve">GOMES </t>
  </si>
  <si>
    <t xml:space="preserve">FELIPE </t>
  </si>
  <si>
    <t>Kaique</t>
  </si>
  <si>
    <t>João</t>
  </si>
  <si>
    <t>Geovani</t>
  </si>
  <si>
    <t>Criança</t>
  </si>
  <si>
    <t>wellington</t>
  </si>
  <si>
    <t xml:space="preserve">EUDES </t>
  </si>
  <si>
    <t>FABIO</t>
  </si>
  <si>
    <t>RUI</t>
  </si>
  <si>
    <t>HUGO</t>
  </si>
  <si>
    <t>Carlos Henrique</t>
  </si>
  <si>
    <t xml:space="preserve">ANDERSON </t>
  </si>
  <si>
    <t xml:space="preserve">VICTOR </t>
  </si>
  <si>
    <t xml:space="preserve">LEANDRO </t>
  </si>
  <si>
    <t>DIEGO</t>
  </si>
  <si>
    <t>Bruno</t>
  </si>
  <si>
    <t>Credito de R$ 10,00 do ultimo corte</t>
  </si>
  <si>
    <t xml:space="preserve">EDUARDO </t>
  </si>
  <si>
    <t>Wilson</t>
  </si>
  <si>
    <t>Elian</t>
  </si>
  <si>
    <t>ABRIL - 2024</t>
  </si>
  <si>
    <t>Valor Total (S/ Desconto)</t>
  </si>
  <si>
    <t>Valor Total (C/ Desconto)</t>
  </si>
  <si>
    <t xml:space="preserve">    </t>
  </si>
  <si>
    <t xml:space="preserve">Manoel </t>
  </si>
  <si>
    <t>SIDNEY</t>
  </si>
  <si>
    <t>ERICH</t>
  </si>
  <si>
    <t>ALAN</t>
  </si>
  <si>
    <t>Dinheiro</t>
  </si>
  <si>
    <t>Emanuel</t>
  </si>
  <si>
    <t>Willians</t>
  </si>
  <si>
    <t xml:space="preserve">Nikolas </t>
  </si>
  <si>
    <t xml:space="preserve">Elisangela </t>
  </si>
  <si>
    <t xml:space="preserve">Leandro </t>
  </si>
  <si>
    <t xml:space="preserve">Thais </t>
  </si>
  <si>
    <t>Combo Premium - 2 Corte + 2 Pezinho ou Sombrancelha + 2 Limpeza de Pele + 1 Depilação Nariz e Orelha</t>
  </si>
  <si>
    <t xml:space="preserve">Gabriel </t>
  </si>
  <si>
    <t>Combo Premium - 2 Corte + 2 Barba + 2 Pezinho ou Sombrancelha + 2 Limpeza de Pele + 1 Depilação Nariz e Orelha</t>
  </si>
  <si>
    <t xml:space="preserve">YAN </t>
  </si>
  <si>
    <t>YAGO</t>
  </si>
  <si>
    <t xml:space="preserve">YAGO </t>
  </si>
  <si>
    <t>VALENTIN</t>
  </si>
  <si>
    <t>Adriel</t>
  </si>
  <si>
    <t>Igor Vieira</t>
  </si>
  <si>
    <t>Tiago</t>
  </si>
  <si>
    <t xml:space="preserve">Leide </t>
  </si>
  <si>
    <t xml:space="preserve">leide </t>
  </si>
  <si>
    <t>Vitor</t>
  </si>
  <si>
    <t>Dodo</t>
  </si>
  <si>
    <t xml:space="preserve">Caique </t>
  </si>
  <si>
    <t xml:space="preserve">Adan </t>
  </si>
  <si>
    <t xml:space="preserve">tinha 30 na casa </t>
  </si>
  <si>
    <t xml:space="preserve">Cesar </t>
  </si>
  <si>
    <t>Ravi</t>
  </si>
  <si>
    <t xml:space="preserve">Leonardo </t>
  </si>
  <si>
    <t>Ismael</t>
  </si>
  <si>
    <t xml:space="preserve">Jeferson </t>
  </si>
  <si>
    <t xml:space="preserve">Anderson </t>
  </si>
  <si>
    <t>Luiz Felipe</t>
  </si>
  <si>
    <t>joao</t>
  </si>
  <si>
    <t>Cristian</t>
  </si>
  <si>
    <t xml:space="preserve">10 foi em dinheiro </t>
  </si>
  <si>
    <t>Walef</t>
  </si>
  <si>
    <t>Mateus</t>
  </si>
  <si>
    <t xml:space="preserve">samuel </t>
  </si>
  <si>
    <t>japa</t>
  </si>
  <si>
    <t>pedro</t>
  </si>
  <si>
    <t xml:space="preserve">paulo </t>
  </si>
  <si>
    <t>Desconto de R$ 5,00</t>
  </si>
  <si>
    <t xml:space="preserve">jose </t>
  </si>
  <si>
    <t xml:space="preserve">camila </t>
  </si>
  <si>
    <t xml:space="preserve">diego </t>
  </si>
  <si>
    <t xml:space="preserve">igor  </t>
  </si>
  <si>
    <t xml:space="preserve">messias </t>
  </si>
  <si>
    <t>Vanderlei</t>
  </si>
  <si>
    <t xml:space="preserve">GUINHO </t>
  </si>
  <si>
    <t>Welber</t>
  </si>
  <si>
    <t>R$ 10,00 de caixinha</t>
  </si>
  <si>
    <t xml:space="preserve">roger </t>
  </si>
  <si>
    <t xml:space="preserve">martinho </t>
  </si>
  <si>
    <t xml:space="preserve">luiz  </t>
  </si>
  <si>
    <t xml:space="preserve">bozo </t>
  </si>
  <si>
    <t>Luciana</t>
  </si>
  <si>
    <t xml:space="preserve">jardson </t>
  </si>
  <si>
    <t>michell</t>
  </si>
  <si>
    <t xml:space="preserve">antonio </t>
  </si>
  <si>
    <t xml:space="preserve">igor </t>
  </si>
  <si>
    <t>Gabriel Guedes</t>
  </si>
  <si>
    <t xml:space="preserve">mathues </t>
  </si>
  <si>
    <t xml:space="preserve">maycon </t>
  </si>
  <si>
    <t xml:space="preserve">não sei </t>
  </si>
  <si>
    <t>Messias Family</t>
  </si>
  <si>
    <t xml:space="preserve">adan </t>
  </si>
  <si>
    <t xml:space="preserve">piru </t>
  </si>
  <si>
    <t>Enzo</t>
  </si>
  <si>
    <t xml:space="preserve">Pezinho e baixar com tesoura </t>
  </si>
  <si>
    <t>Leto</t>
  </si>
  <si>
    <t>Denis</t>
  </si>
  <si>
    <t>gabriel</t>
  </si>
  <si>
    <t xml:space="preserve">guilherme </t>
  </si>
  <si>
    <t xml:space="preserve">ravi </t>
  </si>
  <si>
    <t xml:space="preserve">vinicios </t>
  </si>
  <si>
    <t>Cicero</t>
  </si>
  <si>
    <t>Tiozinho da frente</t>
  </si>
  <si>
    <t xml:space="preserve">gabriel </t>
  </si>
  <si>
    <t xml:space="preserve">gabs </t>
  </si>
  <si>
    <t xml:space="preserve">tyago </t>
  </si>
  <si>
    <t>Marcello</t>
  </si>
  <si>
    <t>Jonatan</t>
  </si>
  <si>
    <t>Mano da Frente</t>
  </si>
  <si>
    <t xml:space="preserve">raphael </t>
  </si>
  <si>
    <t>Nilton Leão</t>
  </si>
  <si>
    <t>Luiz</t>
  </si>
  <si>
    <t>Visinho da Frente</t>
  </si>
  <si>
    <t>Augusto</t>
  </si>
  <si>
    <t>levi</t>
  </si>
  <si>
    <t>Fabio</t>
  </si>
  <si>
    <t>Adler</t>
  </si>
  <si>
    <t>Desconto de R$ 10,00</t>
  </si>
  <si>
    <t xml:space="preserve">bruno </t>
  </si>
  <si>
    <t xml:space="preserve">nicolas </t>
  </si>
  <si>
    <t xml:space="preserve">danilo </t>
  </si>
  <si>
    <t>Pago em 2x</t>
  </si>
  <si>
    <t>eudes</t>
  </si>
  <si>
    <t xml:space="preserve">willian </t>
  </si>
  <si>
    <t>Carlos</t>
  </si>
  <si>
    <t xml:space="preserve">kauan </t>
  </si>
  <si>
    <t xml:space="preserve">osvaldo </t>
  </si>
  <si>
    <t>Iury</t>
  </si>
  <si>
    <t>Fabiana</t>
  </si>
  <si>
    <t>R$ 30,00 no dinheiro e R$ 13,00 no Pix. Desconto de 2 reais.</t>
  </si>
  <si>
    <t xml:space="preserve">giovane </t>
  </si>
  <si>
    <t xml:space="preserve">jonathan </t>
  </si>
  <si>
    <t xml:space="preserve">fernando </t>
  </si>
  <si>
    <t>daniel</t>
  </si>
  <si>
    <t xml:space="preserve">hugo </t>
  </si>
  <si>
    <t xml:space="preserve">marcio </t>
  </si>
  <si>
    <t xml:space="preserve">mateus </t>
  </si>
  <si>
    <t xml:space="preserve">edilson </t>
  </si>
  <si>
    <t>kelson</t>
  </si>
  <si>
    <t>dodo</t>
  </si>
  <si>
    <t>Saimon</t>
  </si>
  <si>
    <t xml:space="preserve">tiago </t>
  </si>
  <si>
    <t xml:space="preserve">victor </t>
  </si>
  <si>
    <t xml:space="preserve">jefersson </t>
  </si>
  <si>
    <t xml:space="preserve">douglas </t>
  </si>
  <si>
    <t xml:space="preserve">leandro </t>
  </si>
  <si>
    <t xml:space="preserve">gomes </t>
  </si>
  <si>
    <t>Rato</t>
  </si>
  <si>
    <t xml:space="preserve">gustavo </t>
  </si>
  <si>
    <t xml:space="preserve">thais </t>
  </si>
  <si>
    <t xml:space="preserve">enzo </t>
  </si>
  <si>
    <t xml:space="preserve">laerte </t>
  </si>
  <si>
    <t>Igor Volpato</t>
  </si>
  <si>
    <t xml:space="preserve">wesley </t>
  </si>
  <si>
    <t xml:space="preserve">duda </t>
  </si>
  <si>
    <t xml:space="preserve">sheilla </t>
  </si>
  <si>
    <t xml:space="preserve">levi </t>
  </si>
  <si>
    <t>gustavo</t>
  </si>
  <si>
    <t>hyago</t>
  </si>
  <si>
    <t xml:space="preserve">rick </t>
  </si>
  <si>
    <t xml:space="preserve">ricardo </t>
  </si>
  <si>
    <t xml:space="preserve">eudes </t>
  </si>
  <si>
    <t>wanderson</t>
  </si>
  <si>
    <t>Sergio</t>
  </si>
  <si>
    <t>well</t>
  </si>
  <si>
    <t xml:space="preserve">washington </t>
  </si>
  <si>
    <t xml:space="preserve">manoel </t>
  </si>
  <si>
    <t>Carlos Eduardo</t>
  </si>
  <si>
    <t>Valeria</t>
  </si>
  <si>
    <t>flavio</t>
  </si>
  <si>
    <t>Marcio</t>
  </si>
  <si>
    <t xml:space="preserve">rafa </t>
  </si>
  <si>
    <t xml:space="preserve">allan </t>
  </si>
  <si>
    <t xml:space="preserve">japa </t>
  </si>
  <si>
    <t>Vinicius</t>
  </si>
  <si>
    <t>Rodrigo</t>
  </si>
  <si>
    <t xml:space="preserve">ze souto </t>
  </si>
  <si>
    <t xml:space="preserve">jeferson </t>
  </si>
  <si>
    <t xml:space="preserve">pedro </t>
  </si>
  <si>
    <t>Caio</t>
  </si>
  <si>
    <t xml:space="preserve">luciana </t>
  </si>
  <si>
    <t>Jose Carlos</t>
  </si>
  <si>
    <t>Henrique</t>
  </si>
  <si>
    <t xml:space="preserve">jose claudio </t>
  </si>
  <si>
    <t xml:space="preserve">elisangela </t>
  </si>
  <si>
    <t>JUNHO - 2024</t>
  </si>
  <si>
    <t>vitor</t>
  </si>
  <si>
    <t>Limpeza de pele (facial)</t>
  </si>
  <si>
    <t>Janiel</t>
  </si>
  <si>
    <t>Maycon</t>
  </si>
  <si>
    <t>Shampoo 4 em 1 - Fox</t>
  </si>
  <si>
    <t>walef</t>
  </si>
  <si>
    <t>Josivan</t>
  </si>
  <si>
    <t>Bryan</t>
  </si>
  <si>
    <t>Shampoo Ice - Fox</t>
  </si>
  <si>
    <t>Condicionador Ice - Fox</t>
  </si>
  <si>
    <t xml:space="preserve">marinho </t>
  </si>
  <si>
    <t xml:space="preserve">murilo </t>
  </si>
  <si>
    <t xml:space="preserve">davi </t>
  </si>
  <si>
    <t>Samuel</t>
  </si>
  <si>
    <t>Veio</t>
  </si>
  <si>
    <t xml:space="preserve">vitor </t>
  </si>
  <si>
    <t xml:space="preserve">luan </t>
  </si>
  <si>
    <t>breno</t>
  </si>
  <si>
    <t xml:space="preserve">jonas </t>
  </si>
  <si>
    <t>Geraldo</t>
  </si>
  <si>
    <t xml:space="preserve">mlk chato </t>
  </si>
  <si>
    <t>Renan</t>
  </si>
  <si>
    <t xml:space="preserve">wellington </t>
  </si>
  <si>
    <t>bruno</t>
  </si>
  <si>
    <t>kaic</t>
  </si>
  <si>
    <t xml:space="preserve">mauro </t>
  </si>
  <si>
    <t xml:space="preserve">yctor </t>
  </si>
  <si>
    <t>Rau</t>
  </si>
  <si>
    <t>Erick</t>
  </si>
  <si>
    <t>yago</t>
  </si>
  <si>
    <t>jefferson</t>
  </si>
  <si>
    <t xml:space="preserve">lluciana </t>
  </si>
  <si>
    <t>Josinaldo</t>
  </si>
  <si>
    <t>Josevan</t>
  </si>
  <si>
    <t xml:space="preserve">tales </t>
  </si>
  <si>
    <t>Mario</t>
  </si>
  <si>
    <t>biel</t>
  </si>
  <si>
    <t>laerte</t>
  </si>
  <si>
    <t xml:space="preserve">kaic </t>
  </si>
  <si>
    <t>rick</t>
  </si>
  <si>
    <t>Yan</t>
  </si>
  <si>
    <t>Sergio Reis</t>
  </si>
  <si>
    <t>Bruno Henrique</t>
  </si>
  <si>
    <t xml:space="preserve">wagner </t>
  </si>
  <si>
    <t xml:space="preserve">ddaniel </t>
  </si>
  <si>
    <t>Desconto na Barba. Só alimento com a maquina</t>
  </si>
  <si>
    <t>Luciano</t>
  </si>
  <si>
    <t>Gorjeta de R$ 10,00</t>
  </si>
  <si>
    <t xml:space="preserve">flavio </t>
  </si>
  <si>
    <t xml:space="preserve">20,0o pix </t>
  </si>
  <si>
    <t xml:space="preserve">claudia </t>
  </si>
  <si>
    <t>Iuri</t>
  </si>
  <si>
    <t>Igor Gomes</t>
  </si>
  <si>
    <t>Desconto - Corte somente no topo da cabeça</t>
  </si>
  <si>
    <t>renan</t>
  </si>
  <si>
    <t>JULHO - 2024</t>
  </si>
  <si>
    <t>Caique</t>
  </si>
  <si>
    <t>Pago antecipadamente para Thieco</t>
  </si>
  <si>
    <t>Jullio Cesar</t>
  </si>
  <si>
    <t>Dinho</t>
  </si>
  <si>
    <t xml:space="preserve">ubiratam </t>
  </si>
  <si>
    <t xml:space="preserve">joao roberto </t>
  </si>
  <si>
    <t>Samyta</t>
  </si>
  <si>
    <t xml:space="preserve">edinho </t>
  </si>
  <si>
    <t>Jose Claudio</t>
  </si>
  <si>
    <t xml:space="preserve">luis </t>
  </si>
  <si>
    <t xml:space="preserve">lucas lucatti </t>
  </si>
  <si>
    <t>Enrico</t>
  </si>
  <si>
    <t xml:space="preserve">cristiano </t>
  </si>
  <si>
    <t xml:space="preserve">lucas silva </t>
  </si>
  <si>
    <t xml:space="preserve">JOSE </t>
  </si>
  <si>
    <t>Fernando</t>
  </si>
  <si>
    <t>BILL</t>
  </si>
  <si>
    <t xml:space="preserve">giovani </t>
  </si>
  <si>
    <t xml:space="preserve">everton </t>
  </si>
  <si>
    <t xml:space="preserve"> permuta camila </t>
  </si>
  <si>
    <t xml:space="preserve">joao victor </t>
  </si>
  <si>
    <t xml:space="preserve">Eduardo </t>
  </si>
  <si>
    <t>Tatiane (Anthony)</t>
  </si>
  <si>
    <t xml:space="preserve">Luis </t>
  </si>
  <si>
    <t>Michelle</t>
  </si>
  <si>
    <t xml:space="preserve">dan </t>
  </si>
  <si>
    <t xml:space="preserve">cesar </t>
  </si>
  <si>
    <t>Matheus Henrique</t>
  </si>
  <si>
    <t>Flavio Augusto</t>
  </si>
  <si>
    <t>Kauã</t>
  </si>
  <si>
    <t>Moises</t>
  </si>
  <si>
    <t xml:space="preserve">gean </t>
  </si>
  <si>
    <t xml:space="preserve">jp </t>
  </si>
  <si>
    <t>laurav</t>
  </si>
  <si>
    <t>Ari</t>
  </si>
  <si>
    <t>Leonardo</t>
  </si>
  <si>
    <t xml:space="preserve">desconto 5 reais </t>
  </si>
  <si>
    <t>Robson</t>
  </si>
  <si>
    <t xml:space="preserve">veia </t>
  </si>
  <si>
    <t>TONINHO</t>
  </si>
  <si>
    <t>Adevilson</t>
  </si>
  <si>
    <t>Bernardo</t>
  </si>
  <si>
    <t>Edimilson</t>
  </si>
  <si>
    <t>Webber</t>
  </si>
  <si>
    <t>R$ 20,00 de caixinha</t>
  </si>
  <si>
    <t>Junior</t>
  </si>
  <si>
    <t>roberto</t>
  </si>
  <si>
    <t xml:space="preserve">anderson </t>
  </si>
  <si>
    <t xml:space="preserve">kevin </t>
  </si>
  <si>
    <t>Lucas</t>
  </si>
  <si>
    <t xml:space="preserve">marcos </t>
  </si>
  <si>
    <t>nilton</t>
  </si>
  <si>
    <t xml:space="preserve">adriel </t>
  </si>
  <si>
    <t xml:space="preserve">caio </t>
  </si>
  <si>
    <t>Combo basico</t>
  </si>
  <si>
    <t xml:space="preserve">Julio </t>
  </si>
  <si>
    <t>Simon</t>
  </si>
  <si>
    <t xml:space="preserve">will </t>
  </si>
  <si>
    <t>Igor Correa</t>
  </si>
  <si>
    <t>Ric</t>
  </si>
  <si>
    <t>Igor Sena</t>
  </si>
  <si>
    <t>Felipe</t>
  </si>
  <si>
    <t>Kelvin</t>
  </si>
  <si>
    <t>AGOSTO - 2024</t>
  </si>
  <si>
    <t>Combo</t>
  </si>
  <si>
    <t>Antonio</t>
  </si>
  <si>
    <t>Andre</t>
  </si>
  <si>
    <t>thieco</t>
  </si>
  <si>
    <t xml:space="preserve">well </t>
  </si>
  <si>
    <t>Willian</t>
  </si>
  <si>
    <t>Rafael</t>
  </si>
  <si>
    <t xml:space="preserve">erick </t>
  </si>
  <si>
    <t>Manoel</t>
  </si>
  <si>
    <t xml:space="preserve">moraez </t>
  </si>
  <si>
    <t>Bruno (Titã Seboso)</t>
  </si>
  <si>
    <t>Josiel</t>
  </si>
  <si>
    <t>duda</t>
  </si>
  <si>
    <t>Higor</t>
  </si>
  <si>
    <t>R$ 10,00 pago no cartão de credito</t>
  </si>
  <si>
    <t>Leandro</t>
  </si>
  <si>
    <t>Lucas Lucati</t>
  </si>
  <si>
    <t xml:space="preserve">rodrigo </t>
  </si>
  <si>
    <t>Wagner</t>
  </si>
  <si>
    <t>felipe</t>
  </si>
  <si>
    <t>Davi</t>
  </si>
  <si>
    <t xml:space="preserve">nilton </t>
  </si>
  <si>
    <t xml:space="preserve">cacau </t>
  </si>
  <si>
    <t>Mike</t>
  </si>
  <si>
    <t xml:space="preserve">sheila </t>
  </si>
  <si>
    <t>Dyego</t>
  </si>
  <si>
    <t xml:space="preserve">wilson </t>
  </si>
  <si>
    <t>edilson</t>
  </si>
  <si>
    <t xml:space="preserve">bruno  </t>
  </si>
  <si>
    <t xml:space="preserve">rafael </t>
  </si>
  <si>
    <t>wil</t>
  </si>
  <si>
    <t xml:space="preserve">wallef </t>
  </si>
  <si>
    <t>Camila</t>
  </si>
  <si>
    <t>Jose</t>
  </si>
  <si>
    <t>Hugo</t>
  </si>
  <si>
    <t>Wiilian</t>
  </si>
  <si>
    <t>Rafael Coelho</t>
  </si>
  <si>
    <t>Desconto barba (Só marquei com a navalha)</t>
  </si>
  <si>
    <t>Lúcio</t>
  </si>
  <si>
    <t>Adan Grapp</t>
  </si>
  <si>
    <t>laura</t>
  </si>
  <si>
    <t xml:space="preserve">fabricio </t>
  </si>
  <si>
    <t xml:space="preserve">rapha </t>
  </si>
  <si>
    <t xml:space="preserve">sem nome </t>
  </si>
  <si>
    <t>SETEMBRO - 2024</t>
  </si>
  <si>
    <t>Toninho</t>
  </si>
  <si>
    <t>Germano</t>
  </si>
  <si>
    <t>Doce - Fini</t>
  </si>
  <si>
    <t>Adrian</t>
  </si>
  <si>
    <t>Risco - Cortesia</t>
  </si>
  <si>
    <t>Luide</t>
  </si>
  <si>
    <t xml:space="preserve">gustAVO </t>
  </si>
  <si>
    <t>Carlão</t>
  </si>
  <si>
    <t>Jeferson</t>
  </si>
  <si>
    <t>Victor</t>
  </si>
  <si>
    <t>Salgadinho Torcida</t>
  </si>
  <si>
    <t xml:space="preserve">sidynei </t>
  </si>
  <si>
    <t xml:space="preserve">daniel  </t>
  </si>
  <si>
    <t>Salgadinho Fofura</t>
  </si>
  <si>
    <t>Amendoim</t>
  </si>
  <si>
    <t>Salgadinho Lobits</t>
  </si>
  <si>
    <t>Werverton</t>
  </si>
  <si>
    <t>Danilo</t>
  </si>
  <si>
    <t xml:space="preserve">xandy </t>
  </si>
  <si>
    <t xml:space="preserve">ubiratan </t>
  </si>
  <si>
    <t>Eduardo</t>
  </si>
  <si>
    <t>Theo</t>
  </si>
  <si>
    <t>Gleidston</t>
  </si>
  <si>
    <t>João Paulo</t>
  </si>
  <si>
    <t>titan</t>
  </si>
  <si>
    <t>gabs</t>
  </si>
  <si>
    <t xml:space="preserve">MATHEUS </t>
  </si>
  <si>
    <t>Gustaro</t>
  </si>
  <si>
    <t>Alisio</t>
  </si>
  <si>
    <t xml:space="preserve">didi </t>
  </si>
  <si>
    <t>João Marcello</t>
  </si>
  <si>
    <t>João Pedro</t>
  </si>
  <si>
    <t>Edvaldo</t>
  </si>
  <si>
    <t xml:space="preserve">francisco </t>
  </si>
  <si>
    <t>Aline</t>
  </si>
  <si>
    <t>minho</t>
  </si>
  <si>
    <t>Igor Bispo</t>
  </si>
  <si>
    <t>Elisangela</t>
  </si>
  <si>
    <t>Henry</t>
  </si>
  <si>
    <t>Martino</t>
  </si>
  <si>
    <t xml:space="preserve">germano </t>
  </si>
  <si>
    <t xml:space="preserve">rafel </t>
  </si>
  <si>
    <t xml:space="preserve">aeliton </t>
  </si>
  <si>
    <t>Jefferson</t>
  </si>
  <si>
    <t>Iasmin</t>
  </si>
  <si>
    <t xml:space="preserve">cassio </t>
  </si>
  <si>
    <t>Desconto na sombrancelha de R$ 6,00</t>
  </si>
  <si>
    <t>Lulu</t>
  </si>
  <si>
    <t xml:space="preserve">igor sena </t>
  </si>
  <si>
    <t xml:space="preserve">fabiana </t>
  </si>
  <si>
    <t>Dyogo</t>
  </si>
  <si>
    <t>OUTUBRO - 2024</t>
  </si>
  <si>
    <t>Uanderson</t>
  </si>
  <si>
    <t xml:space="preserve">whasington </t>
  </si>
  <si>
    <t>Valter</t>
  </si>
  <si>
    <t xml:space="preserve">valentin </t>
  </si>
  <si>
    <t>yan</t>
  </si>
  <si>
    <t>Dia de Princeso (Corte + Barba + Sombrancelha + Limpeza de pele e Depilação)</t>
  </si>
  <si>
    <t>Pedro</t>
  </si>
  <si>
    <t>jefersson</t>
  </si>
  <si>
    <t xml:space="preserve">gil </t>
  </si>
  <si>
    <t>Nelson</t>
  </si>
  <si>
    <t>eduardo</t>
  </si>
  <si>
    <t xml:space="preserve">carlos </t>
  </si>
  <si>
    <t>Eric</t>
  </si>
  <si>
    <t>Aeliton</t>
  </si>
  <si>
    <t>João Roberto</t>
  </si>
  <si>
    <t>Sandro</t>
  </si>
  <si>
    <t>gomes</t>
  </si>
  <si>
    <t>Mill</t>
  </si>
  <si>
    <t>Pingo</t>
  </si>
  <si>
    <t>Cassio</t>
  </si>
  <si>
    <t>Sidiney</t>
  </si>
  <si>
    <t>Raphael</t>
  </si>
  <si>
    <t>Desconto de R$5,00</t>
  </si>
  <si>
    <t xml:space="preserve">thiago </t>
  </si>
  <si>
    <t>Lorenzo</t>
  </si>
  <si>
    <t xml:space="preserve">alisio </t>
  </si>
  <si>
    <t xml:space="preserve">mario </t>
  </si>
  <si>
    <t>Luan</t>
  </si>
  <si>
    <t>washington</t>
  </si>
  <si>
    <t xml:space="preserve">sirlene </t>
  </si>
  <si>
    <t>tyago</t>
  </si>
  <si>
    <t xml:space="preserve">gabriel  </t>
  </si>
  <si>
    <t>Maicon</t>
  </si>
  <si>
    <t>Lucio</t>
  </si>
  <si>
    <t xml:space="preserve">miguel </t>
  </si>
  <si>
    <t xml:space="preserve">UANDERSON </t>
  </si>
  <si>
    <t xml:space="preserve">uanderson </t>
  </si>
  <si>
    <t>rapha</t>
  </si>
  <si>
    <t>igor</t>
  </si>
  <si>
    <t xml:space="preserve">ranier </t>
  </si>
  <si>
    <t>mario</t>
  </si>
  <si>
    <t xml:space="preserve">bernado </t>
  </si>
  <si>
    <t xml:space="preserve">leaonrdo </t>
  </si>
  <si>
    <t xml:space="preserve">ger mano </t>
  </si>
  <si>
    <t>ze</t>
  </si>
  <si>
    <t>Aloisio</t>
  </si>
  <si>
    <t xml:space="preserve">samyta </t>
  </si>
  <si>
    <t>leandro</t>
  </si>
  <si>
    <t>NOVEMBRO - 2024</t>
  </si>
  <si>
    <t>Visa Credito</t>
  </si>
  <si>
    <t>Master Debito</t>
  </si>
  <si>
    <t>Master Credito</t>
  </si>
  <si>
    <t>Visa Debito</t>
  </si>
  <si>
    <t>Elo Debito</t>
  </si>
  <si>
    <t>Elo Credito</t>
  </si>
  <si>
    <t xml:space="preserve">willians </t>
  </si>
  <si>
    <t>Miguel</t>
  </si>
  <si>
    <t>Cezar</t>
  </si>
  <si>
    <t>Yuri</t>
  </si>
  <si>
    <t>kelven</t>
  </si>
  <si>
    <t xml:space="preserve">ghuilherme </t>
  </si>
  <si>
    <t>Josué</t>
  </si>
  <si>
    <t>david</t>
  </si>
  <si>
    <t>Andre Martins</t>
  </si>
  <si>
    <t>João Diniz</t>
  </si>
  <si>
    <t xml:space="preserve">minho </t>
  </si>
  <si>
    <t>leonardo</t>
  </si>
  <si>
    <t>Raul</t>
  </si>
  <si>
    <t>dudu</t>
  </si>
  <si>
    <t>Alison</t>
  </si>
  <si>
    <t>Seboso</t>
  </si>
  <si>
    <t>Julio</t>
  </si>
  <si>
    <t>Desconto</t>
  </si>
  <si>
    <t>Ana</t>
  </si>
  <si>
    <t>Cleide</t>
  </si>
  <si>
    <t xml:space="preserve">hyorran </t>
  </si>
  <si>
    <t>Wellington Alves</t>
  </si>
  <si>
    <t xml:space="preserve">willington </t>
  </si>
  <si>
    <t>Ray</t>
  </si>
  <si>
    <t xml:space="preserve">sidiney </t>
  </si>
  <si>
    <t>Wanderlei</t>
  </si>
  <si>
    <t>R$ 10,00 de gorjeta</t>
  </si>
  <si>
    <t>Adiel</t>
  </si>
  <si>
    <t xml:space="preserve">yago </t>
  </si>
  <si>
    <t>Nathan</t>
  </si>
  <si>
    <t>R$ 10,00 de credito para proximo corte</t>
  </si>
  <si>
    <t>isaias</t>
  </si>
  <si>
    <t xml:space="preserve">ederson </t>
  </si>
  <si>
    <t>rafa</t>
  </si>
  <si>
    <t>Otavio</t>
  </si>
  <si>
    <t xml:space="preserve">kel </t>
  </si>
  <si>
    <t xml:space="preserve">bahia </t>
  </si>
  <si>
    <t xml:space="preserve">adailton </t>
  </si>
  <si>
    <t xml:space="preserve">tiozinho </t>
  </si>
  <si>
    <t>DEZEMBRO - 2024</t>
  </si>
  <si>
    <t>IGOR</t>
  </si>
  <si>
    <t>TABITA</t>
  </si>
  <si>
    <t>Tabita</t>
  </si>
  <si>
    <t>Sobrancelha</t>
  </si>
  <si>
    <t xml:space="preserve">robson </t>
  </si>
  <si>
    <t>Combo - Corte + Sobrancelha</t>
  </si>
  <si>
    <t>Dia de Princeso (Corte + Barba + Sobrancelha + Limpeza de pele e Depilação)</t>
  </si>
  <si>
    <t xml:space="preserve">nega </t>
  </si>
  <si>
    <t>Combo Básico - 2 Corte + 2 Pezinho ou Sobrancelha</t>
  </si>
  <si>
    <t>Combo - Corte + Barba + Sobrancelha</t>
  </si>
  <si>
    <t>Combo - Corte  + Risco + Sobrancelha</t>
  </si>
  <si>
    <t>Dirceu</t>
  </si>
  <si>
    <t>Combo Premium - 2 Corte + 2 Pezinho ou Sobrancelha + 2 Limpeza de Pele + 1 Depilação Nariz e Orelha</t>
  </si>
  <si>
    <t>Combo Básico - 2 Corte + 2 Barba + 2 Pezinho ou Sobrancelha</t>
  </si>
  <si>
    <t>Combo Premium - 2 Corte + 2 Barba + 2 Pezinho ou Sobrancelha + 2 Limpeza de Pele + 1 Depilação Nariz e Orelha</t>
  </si>
  <si>
    <t xml:space="preserve">heitor </t>
  </si>
  <si>
    <t>Jessica</t>
  </si>
  <si>
    <t>Alexsandro</t>
  </si>
  <si>
    <t>Eder</t>
  </si>
  <si>
    <t>Amanda Comin</t>
  </si>
  <si>
    <t>Óleo para Barba</t>
  </si>
  <si>
    <t>Óleo Spray</t>
  </si>
  <si>
    <t>Marlon</t>
  </si>
  <si>
    <t>Balm - Fox</t>
  </si>
  <si>
    <t xml:space="preserve">adilson </t>
  </si>
  <si>
    <t>Esponja Pq.</t>
  </si>
  <si>
    <t>Esponja Gde.</t>
  </si>
  <si>
    <t>Energético</t>
  </si>
  <si>
    <t>Desconto de R$ 3,00</t>
  </si>
  <si>
    <t>Alex</t>
  </si>
  <si>
    <t xml:space="preserve">cavilan </t>
  </si>
  <si>
    <t>Cauã</t>
  </si>
  <si>
    <t xml:space="preserve">nathalie </t>
  </si>
  <si>
    <t>Cristiano</t>
  </si>
  <si>
    <t>vagner</t>
  </si>
  <si>
    <t xml:space="preserve">riquelme </t>
  </si>
  <si>
    <t>Alan</t>
  </si>
  <si>
    <t>Gabis</t>
  </si>
  <si>
    <t xml:space="preserve">will  </t>
  </si>
  <si>
    <t xml:space="preserve">eduarda </t>
  </si>
  <si>
    <t>claudemar</t>
  </si>
  <si>
    <t>alex</t>
  </si>
  <si>
    <t>luiz</t>
  </si>
  <si>
    <t>rogerio</t>
  </si>
  <si>
    <t>samuel</t>
  </si>
  <si>
    <t>Welligton</t>
  </si>
  <si>
    <t xml:space="preserve">frango </t>
  </si>
  <si>
    <t>gean</t>
  </si>
  <si>
    <t>fabiano</t>
  </si>
  <si>
    <t>Agusto</t>
  </si>
  <si>
    <t>patrik</t>
  </si>
  <si>
    <t xml:space="preserve">patrik </t>
  </si>
  <si>
    <t>xandy</t>
  </si>
  <si>
    <t>jhonata</t>
  </si>
  <si>
    <t>Igor Serra</t>
  </si>
  <si>
    <t>Brhama</t>
  </si>
  <si>
    <t>Torcida pequeno</t>
  </si>
  <si>
    <t xml:space="preserve">raphel </t>
  </si>
  <si>
    <t>fabio</t>
  </si>
  <si>
    <t>ronoeu</t>
  </si>
  <si>
    <t xml:space="preserve">david </t>
  </si>
  <si>
    <t>luis</t>
  </si>
  <si>
    <t>isidoro</t>
  </si>
  <si>
    <t xml:space="preserve">sidyney </t>
  </si>
  <si>
    <t>jeferson</t>
  </si>
  <si>
    <t xml:space="preserve">edvando </t>
  </si>
  <si>
    <t>Caixinha de R$ 20,00</t>
  </si>
  <si>
    <t xml:space="preserve">isaias </t>
  </si>
  <si>
    <t>Alan Felix</t>
  </si>
  <si>
    <t>Hernande</t>
  </si>
  <si>
    <t xml:space="preserve">clauyton </t>
  </si>
  <si>
    <t>otavio</t>
  </si>
  <si>
    <t xml:space="preserve">maykon </t>
  </si>
  <si>
    <t>FATURAMENTO GERAL</t>
  </si>
  <si>
    <t>MÊS</t>
  </si>
  <si>
    <t>FATURAMENTO (R$)</t>
  </si>
  <si>
    <t>%</t>
  </si>
  <si>
    <t>Soma de FATURAMENTO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</si>
</sst>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&quot;R$ &quot;* #,##0.00_-;&quot;-R$ &quot;* #,##0.00_-;_-&quot;R$ &quot;* \-??_-;_-@_-"/>
    <numFmt numFmtId="165" formatCode="_-[$R$-416]\ * #,##0.00_-;\-[$R$-416]\ * #,##0.00_-;_-[$R$-416]\ * \-??_-;_-@_-"/>
    <numFmt numFmtId="166" formatCode="&quot;R$ &quot;#,##0.00"/>
    <numFmt numFmtId="167" formatCode="[$R$-416]\ #,##0.00;\-[$R$-416]\ #,##0.00"/>
    <numFmt numFmtId="168" formatCode="d/m/yyyy"/>
    <numFmt numFmtId="169" formatCode="0.000"/>
    <numFmt numFmtId="170" formatCode="[$R$-416]\ #,##0.00;[Red]\-[$R$-416]\ #,##0.00"/>
    <numFmt numFmtId="171" formatCode="[$-416]mmmm\-yy;@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6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4" tint="0.59987182226020086"/>
        <bgColor rgb="FFAABAD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BBB59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4" fontId="9" fillId="0" borderId="0" applyBorder="0" applyProtection="0"/>
    <xf numFmtId="9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>
      <alignment horizontal="left"/>
    </xf>
    <xf numFmtId="0" fontId="9" fillId="0" borderId="0" applyBorder="0" applyProtection="0"/>
  </cellStyleXfs>
  <cellXfs count="130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0" fillId="0" borderId="0" xfId="3" applyFont="1"/>
    <xf numFmtId="0" fontId="0" fillId="0" borderId="1" xfId="0" applyFont="1" applyBorder="1"/>
    <xf numFmtId="0" fontId="0" fillId="0" borderId="2" xfId="3" applyFont="1" applyBorder="1"/>
    <xf numFmtId="0" fontId="0" fillId="0" borderId="3" xfId="5" applyFont="1" applyBorder="1">
      <alignment horizontal="left"/>
    </xf>
    <xf numFmtId="165" fontId="0" fillId="0" borderId="4" xfId="5" applyNumberFormat="1" applyFont="1" applyBorder="1">
      <alignment horizontal="left"/>
    </xf>
    <xf numFmtId="9" fontId="0" fillId="0" borderId="0" xfId="2" applyFont="1" applyBorder="1" applyAlignment="1" applyProtection="1"/>
    <xf numFmtId="0" fontId="0" fillId="0" borderId="5" xfId="5" applyFont="1" applyBorder="1">
      <alignment horizontal="left"/>
    </xf>
    <xf numFmtId="0" fontId="9" fillId="0" borderId="6" xfId="8" applyBorder="1"/>
    <xf numFmtId="165" fontId="9" fillId="0" borderId="7" xfId="8" applyNumberFormat="1" applyBorder="1"/>
    <xf numFmtId="0" fontId="0" fillId="0" borderId="8" xfId="5" applyFont="1" applyBorder="1">
      <alignment horizontal="left"/>
    </xf>
    <xf numFmtId="0" fontId="9" fillId="0" borderId="9" xfId="8" applyBorder="1"/>
    <xf numFmtId="165" fontId="9" fillId="0" borderId="10" xfId="8" applyNumberFormat="1" applyBorder="1"/>
    <xf numFmtId="0" fontId="9" fillId="0" borderId="11" xfId="8" applyBorder="1"/>
    <xf numFmtId="165" fontId="9" fillId="0" borderId="12" xfId="8" applyNumberFormat="1" applyBorder="1"/>
    <xf numFmtId="9" fontId="0" fillId="0" borderId="0" xfId="0" applyNumberFormat="1" applyAlignment="1" applyProtection="1"/>
    <xf numFmtId="0" fontId="1" fillId="0" borderId="13" xfId="7" applyFont="1" applyBorder="1">
      <alignment horizontal="left"/>
    </xf>
    <xf numFmtId="0" fontId="1" fillId="0" borderId="14" xfId="6" applyBorder="1"/>
    <xf numFmtId="165" fontId="1" fillId="0" borderId="15" xfId="6" applyNumberFormat="1" applyBorder="1"/>
    <xf numFmtId="0" fontId="0" fillId="0" borderId="4" xfId="5" applyFont="1" applyBorder="1">
      <alignment horizontal="left"/>
    </xf>
    <xf numFmtId="164" fontId="9" fillId="0" borderId="7" xfId="8" applyNumberFormat="1" applyBorder="1"/>
    <xf numFmtId="164" fontId="9" fillId="0" borderId="10" xfId="8" applyNumberFormat="1" applyBorder="1"/>
    <xf numFmtId="164" fontId="9" fillId="0" borderId="12" xfId="8" applyNumberFormat="1" applyBorder="1"/>
    <xf numFmtId="164" fontId="1" fillId="0" borderId="15" xfId="6" applyNumberFormat="1" applyBorder="1"/>
    <xf numFmtId="164" fontId="0" fillId="0" borderId="0" xfId="1" applyFont="1" applyBorder="1" applyAlignment="1" applyProtection="1"/>
    <xf numFmtId="164" fontId="1" fillId="0" borderId="0" xfId="0" applyNumberFormat="1" applyFont="1" applyAlignment="1" applyProtection="1"/>
    <xf numFmtId="0" fontId="0" fillId="0" borderId="16" xfId="5" applyFont="1" applyBorder="1" applyAlignment="1">
      <alignment horizontal="left" indent="1"/>
    </xf>
    <xf numFmtId="164" fontId="9" fillId="0" borderId="17" xfId="8" applyNumberFormat="1" applyBorder="1"/>
    <xf numFmtId="0" fontId="0" fillId="0" borderId="8" xfId="5" applyFont="1" applyBorder="1" applyAlignment="1">
      <alignment horizontal="left" indent="1"/>
    </xf>
    <xf numFmtId="164" fontId="9" fillId="0" borderId="18" xfId="8" applyNumberFormat="1" applyBorder="1"/>
    <xf numFmtId="0" fontId="0" fillId="0" borderId="19" xfId="5" applyFont="1" applyBorder="1" applyAlignment="1">
      <alignment horizontal="left" indent="1"/>
    </xf>
    <xf numFmtId="164" fontId="9" fillId="0" borderId="20" xfId="8" applyNumberFormat="1" applyBorder="1"/>
    <xf numFmtId="0" fontId="0" fillId="0" borderId="5" xfId="5" applyFont="1" applyBorder="1" applyAlignment="1">
      <alignment horizontal="left" indent="1"/>
    </xf>
    <xf numFmtId="164" fontId="9" fillId="0" borderId="21" xfId="8" applyNumberFormat="1" applyBorder="1"/>
    <xf numFmtId="0" fontId="1" fillId="0" borderId="22" xfId="7" applyFont="1" applyBorder="1">
      <alignment horizontal="left"/>
    </xf>
    <xf numFmtId="164" fontId="1" fillId="0" borderId="23" xfId="6" applyNumberFormat="1" applyBorder="1"/>
    <xf numFmtId="164" fontId="1" fillId="0" borderId="24" xfId="6" applyNumberFormat="1" applyBorder="1"/>
    <xf numFmtId="0" fontId="9" fillId="0" borderId="21" xfId="8" applyBorder="1"/>
    <xf numFmtId="0" fontId="9" fillId="0" borderId="18" xfId="8" applyBorder="1"/>
    <xf numFmtId="167" fontId="9" fillId="0" borderId="18" xfId="8" applyNumberFormat="1" applyBorder="1"/>
    <xf numFmtId="167" fontId="9" fillId="0" borderId="20" xfId="8" applyNumberFormat="1" applyBorder="1"/>
    <xf numFmtId="0" fontId="1" fillId="0" borderId="23" xfId="6" applyBorder="1"/>
    <xf numFmtId="167" fontId="1" fillId="0" borderId="23" xfId="6" applyNumberFormat="1" applyBorder="1"/>
    <xf numFmtId="167" fontId="1" fillId="0" borderId="24" xfId="6" applyNumberFormat="1" applyBorder="1"/>
    <xf numFmtId="0" fontId="0" fillId="0" borderId="17" xfId="0" applyBorder="1"/>
    <xf numFmtId="0" fontId="9" fillId="0" borderId="25" xfId="8" applyBorder="1"/>
    <xf numFmtId="3" fontId="0" fillId="0" borderId="0" xfId="0" applyNumberFormat="1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165" fontId="2" fillId="0" borderId="0" xfId="0" applyNumberFormat="1" applyFont="1" applyAlignment="1" applyProtection="1"/>
    <xf numFmtId="49" fontId="3" fillId="3" borderId="26" xfId="0" applyNumberFormat="1" applyFont="1" applyFill="1" applyBorder="1" applyAlignment="1" applyProtection="1">
      <alignment horizontal="center"/>
    </xf>
    <xf numFmtId="49" fontId="3" fillId="3" borderId="27" xfId="0" applyNumberFormat="1" applyFont="1" applyFill="1" applyBorder="1" applyAlignment="1" applyProtection="1"/>
    <xf numFmtId="166" fontId="3" fillId="3" borderId="27" xfId="0" applyNumberFormat="1" applyFont="1" applyFill="1" applyBorder="1" applyAlignment="1" applyProtection="1"/>
    <xf numFmtId="49" fontId="3" fillId="3" borderId="28" xfId="0" applyNumberFormat="1" applyFont="1" applyFill="1" applyBorder="1" applyAlignment="1" applyProtection="1"/>
    <xf numFmtId="0" fontId="0" fillId="4" borderId="29" xfId="0" applyFill="1" applyBorder="1" applyAlignment="1" applyProtection="1">
      <alignment horizontal="center"/>
    </xf>
    <xf numFmtId="166" fontId="0" fillId="4" borderId="30" xfId="0" applyNumberFormat="1" applyFill="1" applyBorder="1" applyAlignment="1" applyProtection="1">
      <alignment horizontal="center"/>
    </xf>
    <xf numFmtId="0" fontId="0" fillId="4" borderId="31" xfId="0" applyFill="1" applyBorder="1" applyAlignment="1" applyProtection="1">
      <alignment horizontal="center"/>
    </xf>
    <xf numFmtId="168" fontId="4" fillId="3" borderId="2" xfId="0" applyNumberFormat="1" applyFont="1" applyFill="1" applyBorder="1" applyAlignment="1" applyProtection="1">
      <alignment horizontal="center"/>
    </xf>
    <xf numFmtId="0" fontId="4" fillId="3" borderId="32" xfId="0" applyFont="1" applyFill="1" applyBorder="1" applyAlignment="1" applyProtection="1">
      <alignment horizontal="center"/>
    </xf>
    <xf numFmtId="165" fontId="4" fillId="3" borderId="32" xfId="0" applyNumberFormat="1" applyFont="1" applyFill="1" applyBorder="1" applyAlignment="1" applyProtection="1">
      <alignment horizontal="center"/>
    </xf>
    <xf numFmtId="0" fontId="4" fillId="3" borderId="25" xfId="0" applyFont="1" applyFill="1" applyBorder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1" fillId="4" borderId="33" xfId="0" applyFont="1" applyFill="1" applyBorder="1" applyAlignment="1" applyProtection="1">
      <alignment horizontal="center"/>
    </xf>
    <xf numFmtId="166" fontId="1" fillId="4" borderId="34" xfId="0" applyNumberFormat="1" applyFont="1" applyFill="1" applyBorder="1" applyAlignment="1" applyProtection="1">
      <alignment horizontal="center"/>
    </xf>
    <xf numFmtId="0" fontId="1" fillId="4" borderId="35" xfId="0" applyFont="1" applyFill="1" applyBorder="1" applyAlignment="1" applyProtection="1">
      <alignment horizontal="center"/>
    </xf>
    <xf numFmtId="0" fontId="5" fillId="5" borderId="0" xfId="0" applyFont="1" applyFill="1" applyAlignment="1" applyProtection="1">
      <alignment horizontal="center"/>
    </xf>
    <xf numFmtId="165" fontId="5" fillId="5" borderId="0" xfId="0" applyNumberFormat="1" applyFont="1" applyFill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168" fontId="0" fillId="2" borderId="22" xfId="0" applyNumberFormat="1" applyFill="1" applyBorder="1" applyAlignment="1" applyProtection="1"/>
    <xf numFmtId="0" fontId="0" fillId="2" borderId="1" xfId="0" applyFont="1" applyFill="1" applyBorder="1" applyAlignment="1" applyProtection="1">
      <alignment horizontal="center"/>
    </xf>
    <xf numFmtId="167" fontId="0" fillId="2" borderId="1" xfId="0" applyNumberFormat="1" applyFill="1" applyBorder="1" applyAlignment="1" applyProtection="1">
      <alignment horizontal="center"/>
    </xf>
    <xf numFmtId="0" fontId="0" fillId="2" borderId="23" xfId="0" applyFill="1" applyBorder="1" applyAlignment="1" applyProtection="1"/>
    <xf numFmtId="0" fontId="0" fillId="2" borderId="19" xfId="0" applyFont="1" applyFill="1" applyBorder="1" applyAlignment="1" applyProtection="1">
      <alignment horizontal="center"/>
    </xf>
    <xf numFmtId="166" fontId="0" fillId="2" borderId="36" xfId="0" applyNumberFormat="1" applyFill="1" applyBorder="1" applyAlignment="1" applyProtection="1">
      <alignment horizontal="center"/>
    </xf>
    <xf numFmtId="0" fontId="0" fillId="6" borderId="20" xfId="0" applyFont="1" applyFill="1" applyBorder="1" applyAlignment="1" applyProtection="1">
      <alignment horizontal="center"/>
    </xf>
    <xf numFmtId="165" fontId="2" fillId="0" borderId="0" xfId="1" applyNumberFormat="1" applyFont="1" applyBorder="1" applyAlignment="1" applyProtection="1"/>
    <xf numFmtId="0" fontId="0" fillId="2" borderId="22" xfId="0" applyFont="1" applyFill="1" applyBorder="1" applyAlignment="1" applyProtection="1">
      <alignment horizontal="center"/>
    </xf>
    <xf numFmtId="166" fontId="0" fillId="2" borderId="1" xfId="0" applyNumberFormat="1" applyFill="1" applyBorder="1" applyAlignment="1" applyProtection="1">
      <alignment horizontal="center"/>
    </xf>
    <xf numFmtId="0" fontId="0" fillId="6" borderId="2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center"/>
    </xf>
    <xf numFmtId="0" fontId="0" fillId="2" borderId="23" xfId="0" applyFill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/>
    </xf>
    <xf numFmtId="166" fontId="0" fillId="2" borderId="37" xfId="0" applyNumberFormat="1" applyFill="1" applyBorder="1" applyAlignment="1" applyProtection="1">
      <alignment horizontal="center"/>
    </xf>
    <xf numFmtId="0" fontId="0" fillId="2" borderId="24" xfId="0" applyFill="1" applyBorder="1" applyAlignment="1" applyProtection="1">
      <alignment horizontal="center"/>
    </xf>
    <xf numFmtId="165" fontId="6" fillId="2" borderId="0" xfId="0" applyNumberFormat="1" applyFont="1" applyFill="1" applyAlignment="1" applyProtection="1"/>
    <xf numFmtId="166" fontId="6" fillId="2" borderId="0" xfId="0" applyNumberFormat="1" applyFont="1" applyFill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165" fontId="7" fillId="0" borderId="0" xfId="0" applyNumberFormat="1" applyFont="1" applyAlignment="1" applyProtection="1"/>
    <xf numFmtId="0" fontId="4" fillId="5" borderId="0" xfId="0" applyFont="1" applyFill="1" applyAlignment="1" applyProtection="1">
      <alignment horizontal="center"/>
    </xf>
    <xf numFmtId="165" fontId="4" fillId="5" borderId="0" xfId="0" applyNumberFormat="1" applyFont="1" applyFill="1" applyAlignment="1" applyProtection="1">
      <alignment horizontal="center"/>
    </xf>
    <xf numFmtId="168" fontId="0" fillId="2" borderId="22" xfId="0" applyNumberFormat="1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</xf>
    <xf numFmtId="0" fontId="0" fillId="6" borderId="20" xfId="0" applyFill="1" applyBorder="1" applyAlignment="1" applyProtection="1">
      <alignment horizontal="center"/>
    </xf>
    <xf numFmtId="165" fontId="7" fillId="0" borderId="0" xfId="1" applyNumberFormat="1" applyFont="1" applyBorder="1" applyAlignment="1" applyProtection="1"/>
    <xf numFmtId="0" fontId="0" fillId="2" borderId="22" xfId="0" applyFill="1" applyBorder="1" applyAlignment="1" applyProtection="1">
      <alignment horizontal="center"/>
    </xf>
    <xf numFmtId="0" fontId="0" fillId="6" borderId="23" xfId="0" applyFill="1" applyBorder="1" applyAlignment="1" applyProtection="1">
      <alignment horizontal="center"/>
    </xf>
    <xf numFmtId="0" fontId="7" fillId="0" borderId="0" xfId="0" applyFont="1" applyAlignment="1" applyProtection="1">
      <alignment horizontal="left"/>
    </xf>
    <xf numFmtId="2" fontId="7" fillId="0" borderId="0" xfId="0" applyNumberFormat="1" applyFont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166" fontId="1" fillId="4" borderId="30" xfId="0" applyNumberFormat="1" applyFont="1" applyFill="1" applyBorder="1" applyAlignment="1" applyProtection="1">
      <alignment horizontal="center"/>
    </xf>
    <xf numFmtId="166" fontId="1" fillId="2" borderId="0" xfId="0" applyNumberFormat="1" applyFont="1" applyFill="1" applyAlignment="1" applyProtection="1"/>
    <xf numFmtId="0" fontId="0" fillId="0" borderId="20" xfId="0" applyBorder="1" applyAlignment="1" applyProtection="1">
      <alignment horizontal="center"/>
    </xf>
    <xf numFmtId="169" fontId="2" fillId="0" borderId="0" xfId="0" applyNumberFormat="1" applyFont="1" applyAlignment="1" applyProtection="1">
      <alignment horizontal="center"/>
    </xf>
    <xf numFmtId="0" fontId="8" fillId="4" borderId="29" xfId="0" applyFont="1" applyFill="1" applyBorder="1" applyAlignment="1" applyProtection="1">
      <alignment horizontal="center"/>
    </xf>
    <xf numFmtId="166" fontId="0" fillId="6" borderId="36" xfId="0" applyNumberFormat="1" applyFill="1" applyBorder="1" applyAlignment="1" applyProtection="1">
      <alignment horizontal="center"/>
    </xf>
    <xf numFmtId="0" fontId="0" fillId="0" borderId="20" xfId="0" applyFont="1" applyBorder="1" applyAlignment="1" applyProtection="1">
      <alignment horizontal="center"/>
    </xf>
    <xf numFmtId="0" fontId="0" fillId="0" borderId="23" xfId="0" applyFont="1" applyBorder="1" applyAlignment="1" applyProtection="1">
      <alignment horizontal="center"/>
    </xf>
    <xf numFmtId="170" fontId="1" fillId="2" borderId="0" xfId="0" applyNumberFormat="1" applyFont="1" applyFill="1" applyAlignment="1" applyProtection="1"/>
    <xf numFmtId="0" fontId="4" fillId="3" borderId="1" xfId="0" applyFont="1" applyFill="1" applyBorder="1" applyAlignment="1" applyProtection="1">
      <alignment horizontal="center"/>
    </xf>
    <xf numFmtId="0" fontId="4" fillId="3" borderId="0" xfId="0" applyFont="1" applyFill="1" applyAlignment="1" applyProtection="1">
      <alignment horizontal="center"/>
    </xf>
    <xf numFmtId="4" fontId="4" fillId="3" borderId="1" xfId="1" applyNumberFormat="1" applyFont="1" applyFill="1" applyBorder="1" applyAlignment="1" applyProtection="1">
      <alignment horizontal="center"/>
    </xf>
    <xf numFmtId="4" fontId="4" fillId="3" borderId="0" xfId="1" applyNumberFormat="1" applyFont="1" applyFill="1" applyBorder="1" applyAlignment="1" applyProtection="1">
      <alignment horizontal="center"/>
    </xf>
    <xf numFmtId="0" fontId="0" fillId="0" borderId="25" xfId="4" applyFont="1" applyBorder="1"/>
    <xf numFmtId="171" fontId="0" fillId="0" borderId="1" xfId="0" applyNumberFormat="1" applyBorder="1" applyAlignment="1" applyProtection="1">
      <alignment horizontal="center"/>
    </xf>
    <xf numFmtId="4" fontId="0" fillId="0" borderId="1" xfId="1" applyNumberFormat="1" applyFont="1" applyBorder="1" applyAlignment="1" applyProtection="1">
      <alignment horizontal="center"/>
    </xf>
    <xf numFmtId="9" fontId="0" fillId="0" borderId="0" xfId="2" applyFont="1" applyBorder="1" applyAlignment="1" applyProtection="1">
      <alignment horizontal="center"/>
    </xf>
    <xf numFmtId="9" fontId="9" fillId="0" borderId="5" xfId="5" applyNumberFormat="1" applyBorder="1" applyAlignment="1">
      <alignment horizontal="left" indent="1"/>
    </xf>
    <xf numFmtId="166" fontId="9" fillId="0" borderId="21" xfId="8" applyNumberFormat="1" applyBorder="1"/>
    <xf numFmtId="9" fontId="9" fillId="0" borderId="19" xfId="5" applyNumberFormat="1" applyBorder="1" applyAlignment="1">
      <alignment horizontal="left" indent="1"/>
    </xf>
    <xf numFmtId="166" fontId="9" fillId="0" borderId="20" xfId="8" applyNumberFormat="1" applyBorder="1"/>
    <xf numFmtId="9" fontId="1" fillId="0" borderId="13" xfId="7" applyNumberFormat="1" applyFont="1" applyBorder="1">
      <alignment horizontal="left"/>
    </xf>
    <xf numFmtId="166" fontId="1" fillId="0" borderId="24" xfId="6" applyNumberFormat="1" applyBorder="1"/>
    <xf numFmtId="4" fontId="0" fillId="0" borderId="1" xfId="0" applyNumberFormat="1" applyBorder="1" applyAlignment="1" applyProtection="1">
      <alignment horizontal="center"/>
    </xf>
    <xf numFmtId="171" fontId="0" fillId="0" borderId="0" xfId="0" applyNumberFormat="1" applyAlignment="1" applyProtection="1">
      <alignment horizontal="center"/>
    </xf>
  </cellXfs>
  <cellStyles count="9">
    <cellStyle name="Campo da tabela dinâmica" xfId="3"/>
    <cellStyle name="Canto da tabela dinâmica" xfId="4"/>
    <cellStyle name="Categoria da tabela dinâmica" xfId="5"/>
    <cellStyle name="Moeda" xfId="1" builtinId="4"/>
    <cellStyle name="Normal" xfId="0" builtinId="0"/>
    <cellStyle name="Porcentagem" xfId="2" builtinId="5"/>
    <cellStyle name="Resultado da tabela dinâmica" xfId="6"/>
    <cellStyle name="Título da tabela dinâmica" xfId="7"/>
    <cellStyle name="Valor da tabela dinâmica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4F81BD"/>
      <rgbColor rgb="FFAABAD7"/>
      <rgbColor rgb="FF878787"/>
      <rgbColor rgb="FF9999FF"/>
      <rgbColor rgb="FF9F423F"/>
      <rgbColor rgb="FFFFFFCC"/>
      <rgbColor rgb="FFCCFFFF"/>
      <rgbColor rgb="FF660066"/>
      <rgbColor rgb="FFCC7C3A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D8AAA9"/>
      <rgbColor rgb="FFCC99FF"/>
      <rgbColor rgb="FFFFCC99"/>
      <rgbColor rgb="FF416A9C"/>
      <rgbColor rgb="FF4BACC6"/>
      <rgbColor rgb="FF92D050"/>
      <rgbColor rgb="FFFFCC00"/>
      <rgbColor rgb="FFF79646"/>
      <rgbColor rgb="FFFF6600"/>
      <rgbColor rgb="FF8064A2"/>
      <rgbColor rgb="FF809B49"/>
      <rgbColor rgb="FF003366"/>
      <rgbColor rgb="FF3E8EA4"/>
      <rgbColor rgb="FF003300"/>
      <rgbColor rgb="FF333300"/>
      <rgbColor rgb="FF993300"/>
      <rgbColor rgb="FFC0504D"/>
      <rgbColor rgb="FF6A52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3"/>
  <sheetViews>
    <sheetView workbookViewId="0"/>
  </sheetViews>
  <sheetFormatPr defaultRowHeight="15" x14ac:dyDescent="0.25"/>
  <sheetData>
    <row r="3" spans="2:3" x14ac:dyDescent="0.25">
      <c r="B3" s="3" t="s">
        <v>0</v>
      </c>
      <c r="C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B1" sqref="B1"/>
    </sheetView>
  </sheetViews>
  <sheetFormatPr defaultRowHeight="15" x14ac:dyDescent="0.25"/>
  <sheetData>
    <row r="1" spans="1:4" x14ac:dyDescent="0.25">
      <c r="A1" s="4" t="s">
        <v>1</v>
      </c>
      <c r="B1" s="5" t="s">
        <v>2</v>
      </c>
    </row>
    <row r="2" spans="1:4" x14ac:dyDescent="0.25">
      <c r="A2" s="4" t="s">
        <v>3</v>
      </c>
      <c r="B2" s="5" t="s">
        <v>4</v>
      </c>
    </row>
    <row r="4" spans="1:4" x14ac:dyDescent="0.25">
      <c r="A4" s="6" t="s">
        <v>5</v>
      </c>
      <c r="B4" s="7" t="s">
        <v>6</v>
      </c>
      <c r="C4" s="8" t="s">
        <v>7</v>
      </c>
      <c r="D4" s="9" t="e">
        <f>GETPIVOTDATA("Soma de Valor Total",$A$3,"Agendamento","Booksy")/GETPIVOTDATA("Soma de Valor Total",$A$3)</f>
        <v>#REF!</v>
      </c>
    </row>
    <row r="5" spans="1:4" x14ac:dyDescent="0.25">
      <c r="A5" s="10" t="s">
        <v>8</v>
      </c>
      <c r="B5" s="11">
        <v>191</v>
      </c>
      <c r="C5" s="12">
        <v>7700</v>
      </c>
      <c r="D5" s="9" t="e">
        <f>GETPIVOTDATA("Soma de Valor Total",$A$3,"Agendamento","Booksy - Esporadico")/GETPIVOTDATA("Soma de Valor Total",$A$3)</f>
        <v>#REF!</v>
      </c>
    </row>
    <row r="6" spans="1:4" x14ac:dyDescent="0.25">
      <c r="A6" s="13" t="s">
        <v>9</v>
      </c>
      <c r="B6" s="14">
        <v>14</v>
      </c>
      <c r="C6" s="15">
        <v>550</v>
      </c>
      <c r="D6" s="9" t="e">
        <f>GETPIVOTDATA("Soma de Valor Total",$A$3,"Agendamento","Primeiro Atendimento")/GETPIVOTDATA("Soma de Valor Total",$A$3)</f>
        <v>#REF!</v>
      </c>
    </row>
    <row r="7" spans="1:4" x14ac:dyDescent="0.25">
      <c r="A7" s="13" t="s">
        <v>10</v>
      </c>
      <c r="B7" s="16">
        <v>32</v>
      </c>
      <c r="C7" s="17">
        <v>1255</v>
      </c>
      <c r="D7" s="18" t="e">
        <f>SUM(D4:D6)</f>
        <v>#REF!</v>
      </c>
    </row>
    <row r="8" spans="1:4" x14ac:dyDescent="0.25">
      <c r="A8" s="19" t="s">
        <v>11</v>
      </c>
      <c r="B8" s="20">
        <v>237</v>
      </c>
      <c r="C8" s="21">
        <v>9505</v>
      </c>
      <c r="D8" s="1" t="e">
        <f>GETPIVOTDATA("Soma de Valor Total",$A$4)/GETPIVOTDATA("Soma de Qtde",$A$4)</f>
        <v>#REF!</v>
      </c>
    </row>
    <row r="17" spans="1:3" x14ac:dyDescent="0.25">
      <c r="A17" s="4" t="s">
        <v>1</v>
      </c>
      <c r="B17" s="5" t="s">
        <v>2</v>
      </c>
    </row>
    <row r="19" spans="1:3" x14ac:dyDescent="0.25">
      <c r="A19" s="6" t="s">
        <v>3</v>
      </c>
      <c r="B19" s="7" t="s">
        <v>12</v>
      </c>
      <c r="C19" s="22" t="s">
        <v>7</v>
      </c>
    </row>
    <row r="20" spans="1:3" x14ac:dyDescent="0.25">
      <c r="A20" s="10" t="s">
        <v>13</v>
      </c>
      <c r="B20" s="11">
        <v>12</v>
      </c>
      <c r="C20" s="23">
        <v>360</v>
      </c>
    </row>
    <row r="21" spans="1:3" x14ac:dyDescent="0.25">
      <c r="A21" s="13" t="s">
        <v>14</v>
      </c>
      <c r="B21" s="14">
        <v>1</v>
      </c>
      <c r="C21" s="24">
        <v>55</v>
      </c>
    </row>
    <row r="22" spans="1:3" x14ac:dyDescent="0.25">
      <c r="A22" s="13" t="s">
        <v>15</v>
      </c>
      <c r="B22" s="14">
        <v>26</v>
      </c>
      <c r="C22" s="24">
        <v>1820</v>
      </c>
    </row>
    <row r="23" spans="1:3" x14ac:dyDescent="0.25">
      <c r="A23" s="13" t="s">
        <v>16</v>
      </c>
      <c r="B23" s="14">
        <v>11</v>
      </c>
      <c r="C23" s="24">
        <v>930</v>
      </c>
    </row>
    <row r="24" spans="1:3" x14ac:dyDescent="0.25">
      <c r="A24" s="13" t="s">
        <v>17</v>
      </c>
      <c r="B24" s="14">
        <v>22</v>
      </c>
      <c r="C24" s="24">
        <v>1100</v>
      </c>
    </row>
    <row r="25" spans="1:3" x14ac:dyDescent="0.25">
      <c r="A25" s="13" t="s">
        <v>18</v>
      </c>
      <c r="B25" s="14">
        <v>104</v>
      </c>
      <c r="C25" s="24">
        <v>4360</v>
      </c>
    </row>
    <row r="26" spans="1:3" x14ac:dyDescent="0.25">
      <c r="A26" s="13" t="s">
        <v>19</v>
      </c>
      <c r="B26" s="14">
        <v>1</v>
      </c>
      <c r="C26" s="24">
        <v>40</v>
      </c>
    </row>
    <row r="27" spans="1:3" x14ac:dyDescent="0.25">
      <c r="A27" s="13" t="s">
        <v>20</v>
      </c>
      <c r="B27" s="14">
        <v>3</v>
      </c>
      <c r="C27" s="24">
        <v>45</v>
      </c>
    </row>
    <row r="28" spans="1:3" x14ac:dyDescent="0.25">
      <c r="A28" s="13" t="s">
        <v>21</v>
      </c>
      <c r="B28" s="14">
        <v>3</v>
      </c>
      <c r="C28" s="24">
        <v>30</v>
      </c>
    </row>
    <row r="29" spans="1:3" x14ac:dyDescent="0.25">
      <c r="A29" s="13" t="s">
        <v>22</v>
      </c>
      <c r="B29" s="14">
        <v>10</v>
      </c>
      <c r="C29" s="24">
        <v>315</v>
      </c>
    </row>
    <row r="30" spans="1:3" x14ac:dyDescent="0.25">
      <c r="A30" s="13" t="s">
        <v>23</v>
      </c>
      <c r="B30" s="14">
        <v>24</v>
      </c>
      <c r="C30" s="24">
        <v>120</v>
      </c>
    </row>
    <row r="31" spans="1:3" x14ac:dyDescent="0.25">
      <c r="A31" s="13" t="s">
        <v>24</v>
      </c>
      <c r="B31" s="14">
        <v>10</v>
      </c>
      <c r="C31" s="24">
        <v>90</v>
      </c>
    </row>
    <row r="32" spans="1:3" x14ac:dyDescent="0.25">
      <c r="A32" s="13" t="s">
        <v>25</v>
      </c>
      <c r="B32" s="16">
        <v>1</v>
      </c>
      <c r="C32" s="25">
        <v>30</v>
      </c>
    </row>
    <row r="33" spans="1:3" x14ac:dyDescent="0.25">
      <c r="A33" s="19" t="s">
        <v>11</v>
      </c>
      <c r="B33" s="20">
        <v>228</v>
      </c>
      <c r="C33" s="26">
        <v>9295</v>
      </c>
    </row>
    <row r="35" spans="1:3" x14ac:dyDescent="0.25">
      <c r="B35" s="2">
        <v>64</v>
      </c>
      <c r="C35" s="27">
        <f>130*B35</f>
        <v>8320</v>
      </c>
    </row>
    <row r="36" spans="1:3" x14ac:dyDescent="0.25">
      <c r="B36" s="2">
        <v>114</v>
      </c>
      <c r="C36" s="27">
        <f>90*B36</f>
        <v>10260</v>
      </c>
    </row>
    <row r="37" spans="1:3" x14ac:dyDescent="0.25">
      <c r="B37" s="2">
        <v>30</v>
      </c>
      <c r="C37" s="27">
        <f>180*B37</f>
        <v>5400</v>
      </c>
    </row>
    <row r="38" spans="1:3" x14ac:dyDescent="0.25">
      <c r="B38" s="2">
        <v>20</v>
      </c>
      <c r="C38" s="27">
        <f>240*B38</f>
        <v>4800</v>
      </c>
    </row>
    <row r="39" spans="1:3" x14ac:dyDescent="0.25">
      <c r="C39" s="28">
        <f>SUM(C35:C38)</f>
        <v>28780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>
      <selection sqref="A1:XFD1048576"/>
    </sheetView>
  </sheetViews>
  <sheetFormatPr defaultRowHeight="15" x14ac:dyDescent="0.25"/>
  <cols>
    <col min="1" max="1" width="58.42578125" bestFit="1" customWidth="1"/>
    <col min="2" max="2" width="13.28515625" bestFit="1" customWidth="1"/>
  </cols>
  <sheetData>
    <row r="1" spans="1:2" x14ac:dyDescent="0.25">
      <c r="A1" s="29" t="s">
        <v>26</v>
      </c>
      <c r="B1" s="30"/>
    </row>
    <row r="2" spans="1:2" x14ac:dyDescent="0.25">
      <c r="A2" s="31" t="s">
        <v>27</v>
      </c>
      <c r="B2" s="32">
        <v>140</v>
      </c>
    </row>
    <row r="3" spans="1:2" x14ac:dyDescent="0.25">
      <c r="A3" s="33" t="s">
        <v>28</v>
      </c>
      <c r="B3" s="34">
        <v>139.1635</v>
      </c>
    </row>
    <row r="4" spans="1:2" x14ac:dyDescent="0.25">
      <c r="A4" s="35" t="s">
        <v>29</v>
      </c>
      <c r="B4" s="36"/>
    </row>
    <row r="5" spans="1:2" x14ac:dyDescent="0.25">
      <c r="A5" s="31" t="s">
        <v>27</v>
      </c>
      <c r="B5" s="32">
        <v>42</v>
      </c>
    </row>
    <row r="6" spans="1:2" x14ac:dyDescent="0.25">
      <c r="A6" s="33" t="s">
        <v>28</v>
      </c>
      <c r="B6" s="34">
        <v>41.498100000000001</v>
      </c>
    </row>
    <row r="7" spans="1:2" x14ac:dyDescent="0.25">
      <c r="A7" s="35" t="s">
        <v>16</v>
      </c>
      <c r="B7" s="36"/>
    </row>
    <row r="8" spans="1:2" x14ac:dyDescent="0.25">
      <c r="A8" s="31" t="s">
        <v>27</v>
      </c>
      <c r="B8" s="32">
        <v>1200</v>
      </c>
    </row>
    <row r="9" spans="1:2" x14ac:dyDescent="0.25">
      <c r="A9" s="33" t="s">
        <v>28</v>
      </c>
      <c r="B9" s="34">
        <v>1180.2080000000001</v>
      </c>
    </row>
    <row r="10" spans="1:2" x14ac:dyDescent="0.25">
      <c r="A10" s="35" t="s">
        <v>17</v>
      </c>
      <c r="B10" s="36"/>
    </row>
    <row r="11" spans="1:2" x14ac:dyDescent="0.25">
      <c r="A11" s="31" t="s">
        <v>27</v>
      </c>
      <c r="B11" s="32">
        <v>1250</v>
      </c>
    </row>
    <row r="12" spans="1:2" x14ac:dyDescent="0.25">
      <c r="A12" s="33" t="s">
        <v>28</v>
      </c>
      <c r="B12" s="34">
        <v>1236.54</v>
      </c>
    </row>
    <row r="13" spans="1:2" x14ac:dyDescent="0.25">
      <c r="A13" s="35" t="s">
        <v>30</v>
      </c>
      <c r="B13" s="36"/>
    </row>
    <row r="14" spans="1:2" x14ac:dyDescent="0.25">
      <c r="A14" s="31" t="s">
        <v>27</v>
      </c>
      <c r="B14" s="32">
        <v>270</v>
      </c>
    </row>
    <row r="15" spans="1:2" x14ac:dyDescent="0.25">
      <c r="A15" s="33" t="s">
        <v>28</v>
      </c>
      <c r="B15" s="34">
        <v>265.50900000000001</v>
      </c>
    </row>
    <row r="16" spans="1:2" x14ac:dyDescent="0.25">
      <c r="A16" s="35" t="s">
        <v>18</v>
      </c>
      <c r="B16" s="36"/>
    </row>
    <row r="17" spans="1:2" x14ac:dyDescent="0.25">
      <c r="A17" s="31" t="s">
        <v>27</v>
      </c>
      <c r="B17" s="32">
        <v>3830</v>
      </c>
    </row>
    <row r="18" spans="1:2" x14ac:dyDescent="0.25">
      <c r="A18" s="33" t="s">
        <v>28</v>
      </c>
      <c r="B18" s="34">
        <v>3772.8270000000002</v>
      </c>
    </row>
    <row r="19" spans="1:2" x14ac:dyDescent="0.25">
      <c r="A19" s="35" t="s">
        <v>19</v>
      </c>
      <c r="B19" s="36"/>
    </row>
    <row r="20" spans="1:2" x14ac:dyDescent="0.25">
      <c r="A20" s="31" t="s">
        <v>27</v>
      </c>
      <c r="B20" s="32">
        <v>210</v>
      </c>
    </row>
    <row r="21" spans="1:2" x14ac:dyDescent="0.25">
      <c r="A21" s="33" t="s">
        <v>28</v>
      </c>
      <c r="B21" s="34">
        <v>209.28299999999999</v>
      </c>
    </row>
    <row r="22" spans="1:2" x14ac:dyDescent="0.25">
      <c r="A22" s="35" t="s">
        <v>25</v>
      </c>
      <c r="B22" s="36"/>
    </row>
    <row r="23" spans="1:2" x14ac:dyDescent="0.25">
      <c r="A23" s="31" t="s">
        <v>27</v>
      </c>
      <c r="B23" s="32">
        <v>40</v>
      </c>
    </row>
    <row r="24" spans="1:2" x14ac:dyDescent="0.25">
      <c r="A24" s="33" t="s">
        <v>28</v>
      </c>
      <c r="B24" s="34">
        <v>39.761000000000003</v>
      </c>
    </row>
    <row r="25" spans="1:2" x14ac:dyDescent="0.25">
      <c r="A25" s="35" t="s">
        <v>31</v>
      </c>
      <c r="B25" s="36"/>
    </row>
    <row r="26" spans="1:2" x14ac:dyDescent="0.25">
      <c r="A26" s="31" t="s">
        <v>27</v>
      </c>
      <c r="B26" s="32">
        <v>15</v>
      </c>
    </row>
    <row r="27" spans="1:2" x14ac:dyDescent="0.25">
      <c r="A27" s="33" t="s">
        <v>28</v>
      </c>
      <c r="B27" s="34">
        <v>15</v>
      </c>
    </row>
    <row r="28" spans="1:2" x14ac:dyDescent="0.25">
      <c r="A28" s="35" t="s">
        <v>32</v>
      </c>
      <c r="B28" s="36"/>
    </row>
    <row r="29" spans="1:2" x14ac:dyDescent="0.25">
      <c r="A29" s="31" t="s">
        <v>27</v>
      </c>
      <c r="B29" s="32">
        <v>100</v>
      </c>
    </row>
    <row r="30" spans="1:2" x14ac:dyDescent="0.25">
      <c r="A30" s="33" t="s">
        <v>28</v>
      </c>
      <c r="B30" s="34">
        <v>98.805000000000007</v>
      </c>
    </row>
    <row r="31" spans="1:2" x14ac:dyDescent="0.25">
      <c r="A31" s="35" t="s">
        <v>33</v>
      </c>
      <c r="B31" s="36"/>
    </row>
    <row r="32" spans="1:2" x14ac:dyDescent="0.25">
      <c r="A32" s="31" t="s">
        <v>27</v>
      </c>
      <c r="B32" s="32">
        <v>65</v>
      </c>
    </row>
    <row r="33" spans="1:2" x14ac:dyDescent="0.25">
      <c r="A33" s="33" t="s">
        <v>28</v>
      </c>
      <c r="B33" s="34">
        <v>65</v>
      </c>
    </row>
    <row r="34" spans="1:2" x14ac:dyDescent="0.25">
      <c r="A34" s="35" t="s">
        <v>34</v>
      </c>
      <c r="B34" s="36"/>
    </row>
    <row r="35" spans="1:2" x14ac:dyDescent="0.25">
      <c r="A35" s="31" t="s">
        <v>27</v>
      </c>
      <c r="B35" s="32">
        <v>20</v>
      </c>
    </row>
    <row r="36" spans="1:2" x14ac:dyDescent="0.25">
      <c r="A36" s="33" t="s">
        <v>28</v>
      </c>
      <c r="B36" s="34">
        <v>19.501000000000001</v>
      </c>
    </row>
    <row r="37" spans="1:2" x14ac:dyDescent="0.25">
      <c r="A37" s="35" t="s">
        <v>22</v>
      </c>
      <c r="B37" s="36"/>
    </row>
    <row r="38" spans="1:2" x14ac:dyDescent="0.25">
      <c r="A38" s="31" t="s">
        <v>27</v>
      </c>
      <c r="B38" s="32">
        <v>330</v>
      </c>
    </row>
    <row r="39" spans="1:2" x14ac:dyDescent="0.25">
      <c r="A39" s="33" t="s">
        <v>28</v>
      </c>
      <c r="B39" s="34">
        <v>326.35199999999998</v>
      </c>
    </row>
    <row r="40" spans="1:2" x14ac:dyDescent="0.25">
      <c r="A40" s="35" t="s">
        <v>23</v>
      </c>
      <c r="B40" s="36"/>
    </row>
    <row r="41" spans="1:2" x14ac:dyDescent="0.25">
      <c r="A41" s="31" t="s">
        <v>27</v>
      </c>
      <c r="B41" s="32">
        <v>40</v>
      </c>
    </row>
    <row r="42" spans="1:2" x14ac:dyDescent="0.25">
      <c r="A42" s="33" t="s">
        <v>28</v>
      </c>
      <c r="B42" s="34">
        <v>39.272500000000001</v>
      </c>
    </row>
    <row r="43" spans="1:2" x14ac:dyDescent="0.25">
      <c r="A43" s="35" t="s">
        <v>35</v>
      </c>
      <c r="B43" s="36"/>
    </row>
    <row r="44" spans="1:2" x14ac:dyDescent="0.25">
      <c r="A44" s="31" t="s">
        <v>27</v>
      </c>
      <c r="B44" s="32">
        <v>24</v>
      </c>
    </row>
    <row r="45" spans="1:2" x14ac:dyDescent="0.25">
      <c r="A45" s="33" t="s">
        <v>28</v>
      </c>
      <c r="B45" s="34">
        <v>24</v>
      </c>
    </row>
    <row r="46" spans="1:2" x14ac:dyDescent="0.25">
      <c r="A46" s="35" t="s">
        <v>36</v>
      </c>
      <c r="B46" s="36"/>
    </row>
    <row r="47" spans="1:2" x14ac:dyDescent="0.25">
      <c r="A47" s="31" t="s">
        <v>27</v>
      </c>
      <c r="B47" s="32">
        <v>105</v>
      </c>
    </row>
    <row r="48" spans="1:2" x14ac:dyDescent="0.25">
      <c r="A48" s="33" t="s">
        <v>28</v>
      </c>
      <c r="B48" s="34">
        <v>102.417</v>
      </c>
    </row>
    <row r="49" spans="1:2" x14ac:dyDescent="0.25">
      <c r="A49" s="35" t="s">
        <v>15</v>
      </c>
      <c r="B49" s="36"/>
    </row>
    <row r="50" spans="1:2" x14ac:dyDescent="0.25">
      <c r="A50" s="31" t="s">
        <v>27</v>
      </c>
      <c r="B50" s="32">
        <v>1330</v>
      </c>
    </row>
    <row r="51" spans="1:2" x14ac:dyDescent="0.25">
      <c r="A51" s="33" t="s">
        <v>28</v>
      </c>
      <c r="B51" s="34">
        <v>1323.1610000000001</v>
      </c>
    </row>
    <row r="52" spans="1:2" x14ac:dyDescent="0.25">
      <c r="A52" s="35" t="s">
        <v>37</v>
      </c>
      <c r="B52" s="36"/>
    </row>
    <row r="53" spans="1:2" x14ac:dyDescent="0.25">
      <c r="A53" s="31" t="s">
        <v>27</v>
      </c>
      <c r="B53" s="32">
        <v>28</v>
      </c>
    </row>
    <row r="54" spans="1:2" x14ac:dyDescent="0.25">
      <c r="A54" s="33" t="s">
        <v>28</v>
      </c>
      <c r="B54" s="34">
        <v>27.301400000000001</v>
      </c>
    </row>
    <row r="55" spans="1:2" x14ac:dyDescent="0.25">
      <c r="A55" s="35" t="s">
        <v>38</v>
      </c>
      <c r="B55" s="36"/>
    </row>
    <row r="56" spans="1:2" x14ac:dyDescent="0.25">
      <c r="A56" s="31" t="s">
        <v>27</v>
      </c>
      <c r="B56" s="32">
        <v>24</v>
      </c>
    </row>
    <row r="57" spans="1:2" x14ac:dyDescent="0.25">
      <c r="A57" s="33" t="s">
        <v>28</v>
      </c>
      <c r="B57" s="34">
        <v>24</v>
      </c>
    </row>
    <row r="58" spans="1:2" x14ac:dyDescent="0.25">
      <c r="A58" s="35" t="s">
        <v>39</v>
      </c>
      <c r="B58" s="36"/>
    </row>
    <row r="59" spans="1:2" x14ac:dyDescent="0.25">
      <c r="A59" s="31" t="s">
        <v>27</v>
      </c>
      <c r="B59" s="32">
        <v>20</v>
      </c>
    </row>
    <row r="60" spans="1:2" x14ac:dyDescent="0.25">
      <c r="A60" s="33" t="s">
        <v>28</v>
      </c>
      <c r="B60" s="34">
        <v>20</v>
      </c>
    </row>
    <row r="61" spans="1:2" x14ac:dyDescent="0.25">
      <c r="A61" s="35" t="s">
        <v>13</v>
      </c>
      <c r="B61" s="36"/>
    </row>
    <row r="62" spans="1:2" x14ac:dyDescent="0.25">
      <c r="A62" s="31" t="s">
        <v>27</v>
      </c>
      <c r="B62" s="32">
        <v>250</v>
      </c>
    </row>
    <row r="63" spans="1:2" x14ac:dyDescent="0.25">
      <c r="A63" s="33" t="s">
        <v>28</v>
      </c>
      <c r="B63" s="34">
        <v>246.113</v>
      </c>
    </row>
    <row r="64" spans="1:2" x14ac:dyDescent="0.25">
      <c r="A64" s="35" t="s">
        <v>20</v>
      </c>
      <c r="B64" s="36"/>
    </row>
    <row r="65" spans="1:2" x14ac:dyDescent="0.25">
      <c r="A65" s="31" t="s">
        <v>27</v>
      </c>
      <c r="B65" s="32">
        <v>10</v>
      </c>
    </row>
    <row r="66" spans="1:2" x14ac:dyDescent="0.25">
      <c r="A66" s="33" t="s">
        <v>28</v>
      </c>
      <c r="B66" s="34">
        <v>10</v>
      </c>
    </row>
    <row r="67" spans="1:2" x14ac:dyDescent="0.25">
      <c r="A67" s="35" t="s">
        <v>40</v>
      </c>
      <c r="B67" s="36"/>
    </row>
    <row r="68" spans="1:2" x14ac:dyDescent="0.25">
      <c r="A68" s="31" t="s">
        <v>27</v>
      </c>
      <c r="B68" s="32">
        <v>403</v>
      </c>
    </row>
    <row r="69" spans="1:2" x14ac:dyDescent="0.25">
      <c r="A69" s="33" t="s">
        <v>28</v>
      </c>
      <c r="B69" s="34">
        <v>397.52800000000002</v>
      </c>
    </row>
    <row r="70" spans="1:2" x14ac:dyDescent="0.25">
      <c r="A70" s="35" t="s">
        <v>41</v>
      </c>
      <c r="B70" s="36"/>
    </row>
    <row r="71" spans="1:2" x14ac:dyDescent="0.25">
      <c r="A71" s="31" t="s">
        <v>27</v>
      </c>
      <c r="B71" s="32">
        <v>14</v>
      </c>
    </row>
    <row r="72" spans="1:2" x14ac:dyDescent="0.25">
      <c r="A72" s="33" t="s">
        <v>28</v>
      </c>
      <c r="B72" s="34">
        <v>13.832700000000001</v>
      </c>
    </row>
    <row r="73" spans="1:2" x14ac:dyDescent="0.25">
      <c r="A73" s="35" t="s">
        <v>42</v>
      </c>
      <c r="B73" s="36"/>
    </row>
    <row r="74" spans="1:2" x14ac:dyDescent="0.25">
      <c r="A74" s="31" t="s">
        <v>27</v>
      </c>
      <c r="B74" s="32">
        <v>40</v>
      </c>
    </row>
    <row r="75" spans="1:2" x14ac:dyDescent="0.25">
      <c r="A75" s="33" t="s">
        <v>28</v>
      </c>
      <c r="B75" s="34">
        <v>39.002000000000002</v>
      </c>
    </row>
    <row r="76" spans="1:2" x14ac:dyDescent="0.25">
      <c r="A76" s="35" t="s">
        <v>43</v>
      </c>
      <c r="B76" s="36"/>
    </row>
    <row r="77" spans="1:2" x14ac:dyDescent="0.25">
      <c r="A77" s="31" t="s">
        <v>27</v>
      </c>
      <c r="B77" s="32">
        <v>390</v>
      </c>
    </row>
    <row r="78" spans="1:2" x14ac:dyDescent="0.25">
      <c r="A78" s="33" t="s">
        <v>28</v>
      </c>
      <c r="B78" s="34">
        <v>370.53899999999999</v>
      </c>
    </row>
    <row r="79" spans="1:2" x14ac:dyDescent="0.25">
      <c r="A79" s="35" t="s">
        <v>24</v>
      </c>
      <c r="B79" s="36"/>
    </row>
    <row r="80" spans="1:2" x14ac:dyDescent="0.25">
      <c r="A80" s="31" t="s">
        <v>27</v>
      </c>
      <c r="B80" s="32">
        <v>40</v>
      </c>
    </row>
    <row r="81" spans="1:2" x14ac:dyDescent="0.25">
      <c r="A81" s="33" t="s">
        <v>28</v>
      </c>
      <c r="B81" s="34">
        <v>39.262</v>
      </c>
    </row>
    <row r="82" spans="1:2" x14ac:dyDescent="0.25">
      <c r="A82" s="35" t="s">
        <v>44</v>
      </c>
      <c r="B82" s="36"/>
    </row>
    <row r="83" spans="1:2" x14ac:dyDescent="0.25">
      <c r="A83" s="31" t="s">
        <v>27</v>
      </c>
      <c r="B83" s="32">
        <v>25</v>
      </c>
    </row>
    <row r="84" spans="1:2" x14ac:dyDescent="0.25">
      <c r="A84" s="33" t="s">
        <v>28</v>
      </c>
      <c r="B84" s="34">
        <v>25</v>
      </c>
    </row>
    <row r="85" spans="1:2" x14ac:dyDescent="0.25">
      <c r="A85" s="35" t="s">
        <v>21</v>
      </c>
      <c r="B85" s="36"/>
    </row>
    <row r="86" spans="1:2" x14ac:dyDescent="0.25">
      <c r="A86" s="31" t="s">
        <v>27</v>
      </c>
      <c r="B86" s="32">
        <v>10</v>
      </c>
    </row>
    <row r="87" spans="1:2" x14ac:dyDescent="0.25">
      <c r="A87" s="33" t="s">
        <v>28</v>
      </c>
      <c r="B87" s="34">
        <v>10</v>
      </c>
    </row>
    <row r="88" spans="1:2" x14ac:dyDescent="0.25">
      <c r="A88" s="35" t="s">
        <v>45</v>
      </c>
      <c r="B88" s="36"/>
    </row>
    <row r="89" spans="1:2" x14ac:dyDescent="0.25">
      <c r="A89" s="31" t="s">
        <v>27</v>
      </c>
      <c r="B89" s="32">
        <v>3.5</v>
      </c>
    </row>
    <row r="90" spans="1:2" x14ac:dyDescent="0.25">
      <c r="A90" s="33" t="s">
        <v>28</v>
      </c>
      <c r="B90" s="34">
        <v>3.5</v>
      </c>
    </row>
    <row r="91" spans="1:2" x14ac:dyDescent="0.25">
      <c r="A91" s="35" t="s">
        <v>46</v>
      </c>
      <c r="B91" s="36"/>
    </row>
    <row r="92" spans="1:2" x14ac:dyDescent="0.25">
      <c r="A92" s="31" t="s">
        <v>27</v>
      </c>
      <c r="B92" s="32">
        <v>5</v>
      </c>
    </row>
    <row r="93" spans="1:2" x14ac:dyDescent="0.25">
      <c r="A93" s="33" t="s">
        <v>28</v>
      </c>
      <c r="B93" s="34">
        <v>4.7504999999999997</v>
      </c>
    </row>
    <row r="94" spans="1:2" x14ac:dyDescent="0.25">
      <c r="A94" s="35" t="s">
        <v>47</v>
      </c>
      <c r="B94" s="36"/>
    </row>
    <row r="95" spans="1:2" x14ac:dyDescent="0.25">
      <c r="A95" s="31" t="s">
        <v>27</v>
      </c>
      <c r="B95" s="32">
        <v>65</v>
      </c>
    </row>
    <row r="96" spans="1:2" x14ac:dyDescent="0.25">
      <c r="A96" s="33" t="s">
        <v>28</v>
      </c>
      <c r="B96" s="34">
        <v>65</v>
      </c>
    </row>
    <row r="97" spans="1:2" x14ac:dyDescent="0.25">
      <c r="A97" s="35" t="s">
        <v>48</v>
      </c>
      <c r="B97" s="36"/>
    </row>
    <row r="98" spans="1:2" x14ac:dyDescent="0.25">
      <c r="A98" s="31" t="s">
        <v>27</v>
      </c>
      <c r="B98" s="32">
        <v>10</v>
      </c>
    </row>
    <row r="99" spans="1:2" x14ac:dyDescent="0.25">
      <c r="A99" s="33" t="s">
        <v>28</v>
      </c>
      <c r="B99" s="34">
        <v>9.7609999999999992</v>
      </c>
    </row>
    <row r="100" spans="1:2" x14ac:dyDescent="0.25">
      <c r="A100" s="37" t="s">
        <v>49</v>
      </c>
      <c r="B100" s="38">
        <v>10348.5</v>
      </c>
    </row>
    <row r="101" spans="1:2" x14ac:dyDescent="0.25">
      <c r="A101" s="19" t="s">
        <v>50</v>
      </c>
      <c r="B101" s="39">
        <v>10203.887699999999</v>
      </c>
    </row>
    <row r="102" spans="1:2" x14ac:dyDescent="0.25">
      <c r="A102" s="35" t="s">
        <v>39</v>
      </c>
      <c r="B102" s="40"/>
    </row>
    <row r="103" spans="1:2" x14ac:dyDescent="0.25">
      <c r="A103" s="31" t="s">
        <v>51</v>
      </c>
      <c r="B103" s="41">
        <v>2</v>
      </c>
    </row>
    <row r="104" spans="1:2" x14ac:dyDescent="0.25">
      <c r="A104" s="31" t="s">
        <v>27</v>
      </c>
      <c r="B104" s="42">
        <v>20</v>
      </c>
    </row>
    <row r="105" spans="1:2" x14ac:dyDescent="0.25">
      <c r="A105" s="33" t="s">
        <v>28</v>
      </c>
      <c r="B105" s="43">
        <v>20</v>
      </c>
    </row>
    <row r="106" spans="1:2" x14ac:dyDescent="0.25">
      <c r="A106" s="35" t="s">
        <v>13</v>
      </c>
      <c r="B106" s="40"/>
    </row>
    <row r="107" spans="1:2" x14ac:dyDescent="0.25">
      <c r="A107" s="31" t="s">
        <v>51</v>
      </c>
      <c r="B107" s="41">
        <v>8</v>
      </c>
    </row>
    <row r="108" spans="1:2" x14ac:dyDescent="0.25">
      <c r="A108" s="31" t="s">
        <v>27</v>
      </c>
      <c r="B108" s="42">
        <v>250</v>
      </c>
    </row>
    <row r="109" spans="1:2" x14ac:dyDescent="0.25">
      <c r="A109" s="33" t="s">
        <v>28</v>
      </c>
      <c r="B109" s="43">
        <v>246.113</v>
      </c>
    </row>
    <row r="110" spans="1:2" x14ac:dyDescent="0.25">
      <c r="A110" s="35" t="s">
        <v>20</v>
      </c>
      <c r="B110" s="40"/>
    </row>
    <row r="111" spans="1:2" x14ac:dyDescent="0.25">
      <c r="A111" s="31" t="s">
        <v>51</v>
      </c>
      <c r="B111" s="41">
        <v>1</v>
      </c>
    </row>
    <row r="112" spans="1:2" x14ac:dyDescent="0.25">
      <c r="A112" s="31" t="s">
        <v>27</v>
      </c>
      <c r="B112" s="42">
        <v>10</v>
      </c>
    </row>
    <row r="113" spans="1:2" x14ac:dyDescent="0.25">
      <c r="A113" s="33" t="s">
        <v>28</v>
      </c>
      <c r="B113" s="43">
        <v>10</v>
      </c>
    </row>
    <row r="114" spans="1:2" x14ac:dyDescent="0.25">
      <c r="A114" s="35" t="s">
        <v>40</v>
      </c>
      <c r="B114" s="40"/>
    </row>
    <row r="115" spans="1:2" x14ac:dyDescent="0.25">
      <c r="A115" s="31" t="s">
        <v>51</v>
      </c>
      <c r="B115" s="41">
        <v>9</v>
      </c>
    </row>
    <row r="116" spans="1:2" x14ac:dyDescent="0.25">
      <c r="A116" s="31" t="s">
        <v>27</v>
      </c>
      <c r="B116" s="42">
        <v>403</v>
      </c>
    </row>
    <row r="117" spans="1:2" x14ac:dyDescent="0.25">
      <c r="A117" s="33" t="s">
        <v>28</v>
      </c>
      <c r="B117" s="43">
        <v>397.52800000000002</v>
      </c>
    </row>
    <row r="118" spans="1:2" x14ac:dyDescent="0.25">
      <c r="A118" s="35" t="s">
        <v>41</v>
      </c>
      <c r="B118" s="40"/>
    </row>
    <row r="119" spans="1:2" x14ac:dyDescent="0.25">
      <c r="A119" s="31" t="s">
        <v>51</v>
      </c>
      <c r="B119" s="41">
        <v>2</v>
      </c>
    </row>
    <row r="120" spans="1:2" x14ac:dyDescent="0.25">
      <c r="A120" s="31" t="s">
        <v>27</v>
      </c>
      <c r="B120" s="42">
        <v>14</v>
      </c>
    </row>
    <row r="121" spans="1:2" x14ac:dyDescent="0.25">
      <c r="A121" s="33" t="s">
        <v>28</v>
      </c>
      <c r="B121" s="43">
        <v>13.832700000000001</v>
      </c>
    </row>
    <row r="122" spans="1:2" x14ac:dyDescent="0.25">
      <c r="A122" s="35" t="s">
        <v>42</v>
      </c>
      <c r="B122" s="40"/>
    </row>
    <row r="123" spans="1:2" x14ac:dyDescent="0.25">
      <c r="A123" s="31" t="s">
        <v>51</v>
      </c>
      <c r="B123" s="41">
        <v>2</v>
      </c>
    </row>
    <row r="124" spans="1:2" x14ac:dyDescent="0.25">
      <c r="A124" s="31" t="s">
        <v>27</v>
      </c>
      <c r="B124" s="42">
        <v>40</v>
      </c>
    </row>
    <row r="125" spans="1:2" x14ac:dyDescent="0.25">
      <c r="A125" s="33" t="s">
        <v>28</v>
      </c>
      <c r="B125" s="43">
        <v>39.002000000000002</v>
      </c>
    </row>
    <row r="126" spans="1:2" x14ac:dyDescent="0.25">
      <c r="A126" s="35" t="s">
        <v>43</v>
      </c>
      <c r="B126" s="40"/>
    </row>
    <row r="127" spans="1:2" x14ac:dyDescent="0.25">
      <c r="A127" s="31" t="s">
        <v>51</v>
      </c>
      <c r="B127" s="41">
        <v>3</v>
      </c>
    </row>
    <row r="128" spans="1:2" x14ac:dyDescent="0.25">
      <c r="A128" s="31" t="s">
        <v>27</v>
      </c>
      <c r="B128" s="42">
        <v>390</v>
      </c>
    </row>
    <row r="129" spans="1:2" x14ac:dyDescent="0.25">
      <c r="A129" s="33" t="s">
        <v>28</v>
      </c>
      <c r="B129" s="43">
        <v>370.53899999999999</v>
      </c>
    </row>
    <row r="130" spans="1:2" x14ac:dyDescent="0.25">
      <c r="A130" s="35" t="s">
        <v>24</v>
      </c>
      <c r="B130" s="40"/>
    </row>
    <row r="131" spans="1:2" x14ac:dyDescent="0.25">
      <c r="A131" s="31" t="s">
        <v>51</v>
      </c>
      <c r="B131" s="41">
        <v>4</v>
      </c>
    </row>
    <row r="132" spans="1:2" x14ac:dyDescent="0.25">
      <c r="A132" s="31" t="s">
        <v>27</v>
      </c>
      <c r="B132" s="42">
        <v>40</v>
      </c>
    </row>
    <row r="133" spans="1:2" x14ac:dyDescent="0.25">
      <c r="A133" s="33" t="s">
        <v>28</v>
      </c>
      <c r="B133" s="43">
        <v>39.262</v>
      </c>
    </row>
    <row r="134" spans="1:2" x14ac:dyDescent="0.25">
      <c r="A134" s="35" t="s">
        <v>44</v>
      </c>
      <c r="B134" s="40"/>
    </row>
    <row r="135" spans="1:2" x14ac:dyDescent="0.25">
      <c r="A135" s="31" t="s">
        <v>51</v>
      </c>
      <c r="B135" s="41">
        <v>1</v>
      </c>
    </row>
    <row r="136" spans="1:2" x14ac:dyDescent="0.25">
      <c r="A136" s="31" t="s">
        <v>27</v>
      </c>
      <c r="B136" s="42">
        <v>25</v>
      </c>
    </row>
    <row r="137" spans="1:2" x14ac:dyDescent="0.25">
      <c r="A137" s="33" t="s">
        <v>28</v>
      </c>
      <c r="B137" s="43">
        <v>25</v>
      </c>
    </row>
    <row r="138" spans="1:2" x14ac:dyDescent="0.25">
      <c r="A138" s="35" t="s">
        <v>21</v>
      </c>
      <c r="B138" s="40"/>
    </row>
    <row r="139" spans="1:2" x14ac:dyDescent="0.25">
      <c r="A139" s="31" t="s">
        <v>51</v>
      </c>
      <c r="B139" s="41">
        <v>1</v>
      </c>
    </row>
    <row r="140" spans="1:2" x14ac:dyDescent="0.25">
      <c r="A140" s="31" t="s">
        <v>27</v>
      </c>
      <c r="B140" s="42">
        <v>10</v>
      </c>
    </row>
    <row r="141" spans="1:2" x14ac:dyDescent="0.25">
      <c r="A141" s="33" t="s">
        <v>28</v>
      </c>
      <c r="B141" s="43">
        <v>10</v>
      </c>
    </row>
    <row r="142" spans="1:2" x14ac:dyDescent="0.25">
      <c r="A142" s="35" t="s">
        <v>45</v>
      </c>
      <c r="B142" s="40"/>
    </row>
    <row r="143" spans="1:2" x14ac:dyDescent="0.25">
      <c r="A143" s="31" t="s">
        <v>51</v>
      </c>
      <c r="B143" s="41">
        <v>1</v>
      </c>
    </row>
    <row r="144" spans="1:2" x14ac:dyDescent="0.25">
      <c r="A144" s="31" t="s">
        <v>27</v>
      </c>
      <c r="B144" s="42">
        <v>3.5</v>
      </c>
    </row>
    <row r="145" spans="1:2" x14ac:dyDescent="0.25">
      <c r="A145" s="33" t="s">
        <v>28</v>
      </c>
      <c r="B145" s="43">
        <v>3.5</v>
      </c>
    </row>
    <row r="146" spans="1:2" x14ac:dyDescent="0.25">
      <c r="A146" s="35" t="s">
        <v>46</v>
      </c>
      <c r="B146" s="40"/>
    </row>
    <row r="147" spans="1:2" x14ac:dyDescent="0.25">
      <c r="A147" s="31" t="s">
        <v>51</v>
      </c>
      <c r="B147" s="41">
        <v>1</v>
      </c>
    </row>
    <row r="148" spans="1:2" x14ac:dyDescent="0.25">
      <c r="A148" s="31" t="s">
        <v>27</v>
      </c>
      <c r="B148" s="42">
        <v>5</v>
      </c>
    </row>
    <row r="149" spans="1:2" x14ac:dyDescent="0.25">
      <c r="A149" s="33" t="s">
        <v>28</v>
      </c>
      <c r="B149" s="43">
        <v>4.7504999999999997</v>
      </c>
    </row>
    <row r="150" spans="1:2" x14ac:dyDescent="0.25">
      <c r="A150" s="35" t="s">
        <v>47</v>
      </c>
      <c r="B150" s="40"/>
    </row>
    <row r="151" spans="1:2" x14ac:dyDescent="0.25">
      <c r="A151" s="31" t="s">
        <v>51</v>
      </c>
      <c r="B151" s="41">
        <v>1</v>
      </c>
    </row>
    <row r="152" spans="1:2" x14ac:dyDescent="0.25">
      <c r="A152" s="31" t="s">
        <v>27</v>
      </c>
      <c r="B152" s="42">
        <v>65</v>
      </c>
    </row>
    <row r="153" spans="1:2" x14ac:dyDescent="0.25">
      <c r="A153" s="33" t="s">
        <v>28</v>
      </c>
      <c r="B153" s="43">
        <v>65</v>
      </c>
    </row>
    <row r="154" spans="1:2" x14ac:dyDescent="0.25">
      <c r="A154" s="35" t="s">
        <v>48</v>
      </c>
      <c r="B154" s="40"/>
    </row>
    <row r="155" spans="1:2" x14ac:dyDescent="0.25">
      <c r="A155" s="31" t="s">
        <v>51</v>
      </c>
      <c r="B155" s="41">
        <v>1</v>
      </c>
    </row>
    <row r="156" spans="1:2" x14ac:dyDescent="0.25">
      <c r="A156" s="31" t="s">
        <v>27</v>
      </c>
      <c r="B156" s="42">
        <v>10</v>
      </c>
    </row>
    <row r="157" spans="1:2" x14ac:dyDescent="0.25">
      <c r="A157" s="33" t="s">
        <v>28</v>
      </c>
      <c r="B157" s="43">
        <v>9.7609999999999992</v>
      </c>
    </row>
    <row r="158" spans="1:2" x14ac:dyDescent="0.25">
      <c r="A158" s="37" t="s">
        <v>52</v>
      </c>
      <c r="B158" s="44">
        <v>245</v>
      </c>
    </row>
    <row r="159" spans="1:2" x14ac:dyDescent="0.25">
      <c r="A159" s="37" t="s">
        <v>49</v>
      </c>
      <c r="B159" s="45">
        <v>10348.5</v>
      </c>
    </row>
    <row r="160" spans="1:2" x14ac:dyDescent="0.25">
      <c r="A160" s="19" t="s">
        <v>50</v>
      </c>
      <c r="B160" s="46">
        <v>10203.887699999999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 x14ac:dyDescent="0.25"/>
  <sheetData>
    <row r="1" spans="1:10" x14ac:dyDescent="0.25">
      <c r="A1" s="4" t="s">
        <v>1</v>
      </c>
      <c r="B1" s="5" t="s">
        <v>2</v>
      </c>
    </row>
    <row r="2" spans="1:10" x14ac:dyDescent="0.25">
      <c r="A2" s="4" t="s">
        <v>3</v>
      </c>
      <c r="B2" s="5" t="s">
        <v>4</v>
      </c>
    </row>
    <row r="3" spans="1:10" x14ac:dyDescent="0.25">
      <c r="A3" s="4" t="s">
        <v>53</v>
      </c>
      <c r="B3" s="47"/>
    </row>
    <row r="4" spans="1:10" x14ac:dyDescent="0.25">
      <c r="A4" s="29" t="s">
        <v>8</v>
      </c>
      <c r="B4" s="48"/>
    </row>
    <row r="5" spans="1:10" x14ac:dyDescent="0.25">
      <c r="A5" s="31" t="s">
        <v>54</v>
      </c>
      <c r="B5" s="41">
        <v>175</v>
      </c>
    </row>
    <row r="6" spans="1:10" x14ac:dyDescent="0.25">
      <c r="A6" s="33" t="s">
        <v>27</v>
      </c>
      <c r="B6" s="43">
        <v>8530</v>
      </c>
    </row>
    <row r="7" spans="1:10" x14ac:dyDescent="0.25">
      <c r="A7" s="35" t="s">
        <v>9</v>
      </c>
      <c r="B7" s="40"/>
    </row>
    <row r="8" spans="1:10" x14ac:dyDescent="0.25">
      <c r="A8" s="31" t="s">
        <v>54</v>
      </c>
      <c r="B8" s="41">
        <v>16</v>
      </c>
      <c r="H8" s="49">
        <v>14000</v>
      </c>
      <c r="J8" s="1">
        <v>20</v>
      </c>
    </row>
    <row r="9" spans="1:10" x14ac:dyDescent="0.25">
      <c r="A9" s="33" t="s">
        <v>27</v>
      </c>
      <c r="B9" s="43">
        <v>680</v>
      </c>
      <c r="D9" s="1" t="e">
        <f>GETPIVOTDATA("Soma de Valor Total (S/ Desconto)",$A$5)/GETPIVOTDATA("Contagem de Agendamento",$A$5)</f>
        <v>#REF!</v>
      </c>
    </row>
    <row r="10" spans="1:10" x14ac:dyDescent="0.25">
      <c r="A10" s="35" t="s">
        <v>10</v>
      </c>
      <c r="B10" s="40"/>
      <c r="H10" s="1">
        <f>H8/J8</f>
        <v>700</v>
      </c>
    </row>
    <row r="11" spans="1:10" x14ac:dyDescent="0.25">
      <c r="A11" s="31" t="s">
        <v>54</v>
      </c>
      <c r="B11" s="41">
        <v>27</v>
      </c>
      <c r="H11" s="1">
        <v>120</v>
      </c>
    </row>
    <row r="12" spans="1:10" x14ac:dyDescent="0.25">
      <c r="A12" s="33" t="s">
        <v>27</v>
      </c>
      <c r="B12" s="43">
        <v>1000</v>
      </c>
      <c r="H12" s="9">
        <f>H11/H10</f>
        <v>0.17142857142857143</v>
      </c>
    </row>
    <row r="13" spans="1:10" x14ac:dyDescent="0.25">
      <c r="A13" s="37" t="s">
        <v>55</v>
      </c>
      <c r="B13" s="44">
        <v>218</v>
      </c>
    </row>
    <row r="14" spans="1:10" x14ac:dyDescent="0.25">
      <c r="A14" s="19" t="s">
        <v>49</v>
      </c>
      <c r="B14" s="46">
        <v>10210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1"/>
  <sheetViews>
    <sheetView workbookViewId="0">
      <selection activeCell="D8" sqref="D8"/>
    </sheetView>
  </sheetViews>
  <sheetFormatPr defaultRowHeight="15" x14ac:dyDescent="0.25"/>
  <cols>
    <col min="1" max="1" width="19.85546875" bestFit="1" customWidth="1"/>
    <col min="2" max="2" width="15.28515625" bestFit="1" customWidth="1"/>
    <col min="3" max="3" width="21.42578125" bestFit="1" customWidth="1"/>
    <col min="4" max="4" width="35.8554687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18.140625" bestFit="1" customWidth="1"/>
    <col min="9" max="9" width="16.5703125" bestFit="1" customWidth="1"/>
    <col min="10" max="10" width="44.28515625" bestFit="1" customWidth="1"/>
    <col min="12" max="12" width="35.85546875" bestFit="1" customWidth="1"/>
    <col min="13" max="13" width="14.7109375" bestFit="1" customWidth="1"/>
    <col min="14" max="14" width="8.140625" bestFit="1" customWidth="1"/>
    <col min="15" max="15" width="11.42578125" bestFit="1" customWidth="1"/>
    <col min="18" max="18" width="35.85546875" bestFit="1" customWidth="1"/>
    <col min="19" max="19" width="10.5703125" bestFit="1" customWidth="1"/>
    <col min="20" max="20" width="9.5703125" bestFit="1" customWidth="1"/>
    <col min="21" max="21" width="6.85546875" bestFit="1" customWidth="1"/>
    <col min="22" max="22" width="16.5703125" bestFit="1" customWidth="1"/>
    <col min="23" max="23" width="21.42578125" bestFit="1" customWidth="1"/>
    <col min="24" max="24" width="46.5703125" bestFit="1" customWidth="1"/>
    <col min="25" max="25" width="10.5703125" bestFit="1" customWidth="1"/>
    <col min="26" max="26" width="9.5703125" bestFit="1" customWidth="1"/>
    <col min="28" max="28" width="4.5703125" bestFit="1" customWidth="1"/>
    <col min="29" max="29" width="7.5703125" bestFit="1" customWidth="1"/>
  </cols>
  <sheetData>
    <row r="1" spans="1:31" ht="21" x14ac:dyDescent="0.35">
      <c r="A1" s="53" t="s">
        <v>65</v>
      </c>
      <c r="B1" s="53"/>
      <c r="C1" s="53"/>
      <c r="D1" s="53"/>
      <c r="E1" s="53"/>
      <c r="F1" s="54"/>
      <c r="G1" s="54" t="s">
        <v>66</v>
      </c>
      <c r="H1" s="55">
        <f>SUM(H3:H275)</f>
        <v>10298.5</v>
      </c>
      <c r="I1" s="54"/>
      <c r="J1" s="56"/>
      <c r="L1" s="57"/>
      <c r="M1" s="58"/>
      <c r="N1" s="58"/>
      <c r="O1" s="59"/>
    </row>
    <row r="2" spans="1:31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71</v>
      </c>
      <c r="I2" s="61" t="s">
        <v>72</v>
      </c>
      <c r="J2" s="63" t="s">
        <v>73</v>
      </c>
      <c r="K2" s="64"/>
      <c r="L2" s="65" t="s">
        <v>74</v>
      </c>
      <c r="M2" s="66" t="s">
        <v>75</v>
      </c>
      <c r="N2" s="66" t="s">
        <v>76</v>
      </c>
      <c r="O2" s="67" t="s">
        <v>1</v>
      </c>
      <c r="P2" s="64"/>
      <c r="Q2" s="64"/>
      <c r="R2" s="68"/>
      <c r="S2" s="68"/>
      <c r="T2" s="68"/>
      <c r="U2" s="68"/>
      <c r="V2" s="68"/>
      <c r="W2" s="68"/>
      <c r="X2" s="68"/>
      <c r="Y2" s="69"/>
      <c r="Z2" s="68"/>
      <c r="AA2" s="68"/>
      <c r="AB2" s="68"/>
      <c r="AC2" s="70"/>
      <c r="AD2" s="70"/>
      <c r="AE2" s="70"/>
    </row>
    <row r="3" spans="1:31" x14ac:dyDescent="0.25">
      <c r="A3" s="71">
        <v>45352</v>
      </c>
      <c r="B3" s="72" t="s">
        <v>77</v>
      </c>
      <c r="C3" s="72" t="s">
        <v>8</v>
      </c>
      <c r="D3" s="72" t="s">
        <v>18</v>
      </c>
      <c r="E3" s="72" t="s">
        <v>56</v>
      </c>
      <c r="F3" s="72">
        <v>1</v>
      </c>
      <c r="G3" s="73">
        <f>VLOOKUP(D3,$R$3:$S$36,2,0)</f>
        <v>40</v>
      </c>
      <c r="H3" s="73">
        <f t="shared" ref="H3:H66" si="0">F3*G3</f>
        <v>40</v>
      </c>
      <c r="I3" s="72" t="s">
        <v>78</v>
      </c>
      <c r="J3" s="74"/>
      <c r="L3" s="75" t="s">
        <v>18</v>
      </c>
      <c r="M3" s="76">
        <f t="shared" ref="M3:M40" si="1">VLOOKUP(L3,$R$3:$T$54,3,0)</f>
        <v>16</v>
      </c>
      <c r="N3" s="76">
        <f t="shared" ref="N3:N34" si="2">M3*F3</f>
        <v>16</v>
      </c>
      <c r="O3" s="77" t="s">
        <v>56</v>
      </c>
      <c r="R3" s="50" t="s">
        <v>18</v>
      </c>
      <c r="S3" s="52">
        <v>40</v>
      </c>
      <c r="T3" s="52">
        <f t="shared" ref="T3:T25" si="3">S3*0.4</f>
        <v>16</v>
      </c>
      <c r="U3" s="51" t="s">
        <v>56</v>
      </c>
      <c r="V3" s="51" t="s">
        <v>79</v>
      </c>
      <c r="W3" s="51" t="s">
        <v>8</v>
      </c>
      <c r="X3" s="50" t="s">
        <v>80</v>
      </c>
      <c r="Y3" s="78">
        <v>40</v>
      </c>
      <c r="Z3" s="52">
        <f t="shared" ref="Z3:Z34" si="4">Y3*0.4</f>
        <v>16</v>
      </c>
      <c r="AA3" s="52"/>
    </row>
    <row r="4" spans="1:31" x14ac:dyDescent="0.25">
      <c r="A4" s="71">
        <v>45352</v>
      </c>
      <c r="B4" s="72" t="s">
        <v>81</v>
      </c>
      <c r="C4" s="72" t="s">
        <v>10</v>
      </c>
      <c r="D4" s="72" t="s">
        <v>18</v>
      </c>
      <c r="E4" s="72" t="s">
        <v>56</v>
      </c>
      <c r="F4" s="72">
        <v>1</v>
      </c>
      <c r="G4" s="73">
        <f>VLOOKUP(D4,$R$3:$S$36,2,0)</f>
        <v>40</v>
      </c>
      <c r="H4" s="73">
        <f t="shared" si="0"/>
        <v>40</v>
      </c>
      <c r="I4" s="72" t="s">
        <v>78</v>
      </c>
      <c r="J4" s="74"/>
      <c r="L4" s="79" t="s">
        <v>18</v>
      </c>
      <c r="M4" s="80">
        <f t="shared" si="1"/>
        <v>16</v>
      </c>
      <c r="N4" s="80">
        <f t="shared" si="2"/>
        <v>16</v>
      </c>
      <c r="O4" s="81" t="s">
        <v>56</v>
      </c>
      <c r="R4" s="50" t="s">
        <v>19</v>
      </c>
      <c r="S4" s="52">
        <v>40</v>
      </c>
      <c r="T4" s="52">
        <f t="shared" si="3"/>
        <v>16</v>
      </c>
      <c r="U4" s="51" t="s">
        <v>82</v>
      </c>
      <c r="V4" s="51" t="s">
        <v>83</v>
      </c>
      <c r="W4" s="51" t="s">
        <v>9</v>
      </c>
      <c r="X4" s="82" t="s">
        <v>84</v>
      </c>
      <c r="Y4" s="78">
        <v>40</v>
      </c>
      <c r="Z4" s="52">
        <f t="shared" si="4"/>
        <v>16</v>
      </c>
      <c r="AA4" s="52"/>
    </row>
    <row r="5" spans="1:31" x14ac:dyDescent="0.25">
      <c r="A5" s="71">
        <v>45352</v>
      </c>
      <c r="B5" s="72" t="s">
        <v>85</v>
      </c>
      <c r="C5" s="72" t="s">
        <v>10</v>
      </c>
      <c r="D5" s="72" t="s">
        <v>15</v>
      </c>
      <c r="E5" s="72" t="s">
        <v>56</v>
      </c>
      <c r="F5" s="72">
        <v>1</v>
      </c>
      <c r="G5" s="73">
        <f>VLOOKUP(D5,$R$3:$S$36,2,0)</f>
        <v>70</v>
      </c>
      <c r="H5" s="73">
        <f t="shared" si="0"/>
        <v>70</v>
      </c>
      <c r="I5" s="72" t="s">
        <v>86</v>
      </c>
      <c r="J5" s="74"/>
      <c r="L5" s="79" t="s">
        <v>15</v>
      </c>
      <c r="M5" s="80">
        <f t="shared" si="1"/>
        <v>28</v>
      </c>
      <c r="N5" s="80">
        <f t="shared" si="2"/>
        <v>28</v>
      </c>
      <c r="O5" s="81" t="s">
        <v>56</v>
      </c>
      <c r="R5" s="50" t="s">
        <v>22</v>
      </c>
      <c r="S5" s="52">
        <v>30</v>
      </c>
      <c r="T5" s="52">
        <f t="shared" si="3"/>
        <v>12</v>
      </c>
      <c r="V5" s="51" t="s">
        <v>78</v>
      </c>
      <c r="W5" s="51" t="s">
        <v>10</v>
      </c>
      <c r="X5" s="50" t="s">
        <v>87</v>
      </c>
      <c r="Y5" s="52">
        <v>39.043999999999997</v>
      </c>
      <c r="Z5" s="52">
        <f t="shared" si="4"/>
        <v>15.617599999999999</v>
      </c>
      <c r="AA5" s="52"/>
      <c r="AB5" s="83">
        <v>2.3900000000000001E-2</v>
      </c>
      <c r="AC5" s="50" t="s">
        <v>88</v>
      </c>
    </row>
    <row r="6" spans="1:31" x14ac:dyDescent="0.25">
      <c r="A6" s="71">
        <v>45352</v>
      </c>
      <c r="B6" s="72" t="s">
        <v>89</v>
      </c>
      <c r="C6" s="72" t="s">
        <v>8</v>
      </c>
      <c r="D6" s="72" t="s">
        <v>16</v>
      </c>
      <c r="E6" s="72" t="s">
        <v>82</v>
      </c>
      <c r="F6" s="72">
        <v>1</v>
      </c>
      <c r="G6" s="73">
        <f t="shared" ref="G6:G17" si="5">VLOOKUP(D6,$R$3:$S$114,2,0)</f>
        <v>80</v>
      </c>
      <c r="H6" s="73">
        <f t="shared" si="0"/>
        <v>80</v>
      </c>
      <c r="I6" s="72" t="s">
        <v>83</v>
      </c>
      <c r="J6" s="74"/>
      <c r="L6" s="79" t="s">
        <v>18</v>
      </c>
      <c r="M6" s="80">
        <f t="shared" si="1"/>
        <v>16</v>
      </c>
      <c r="N6" s="80">
        <f t="shared" si="2"/>
        <v>16</v>
      </c>
      <c r="O6" s="81" t="s">
        <v>56</v>
      </c>
      <c r="R6" s="50" t="s">
        <v>23</v>
      </c>
      <c r="S6" s="52">
        <v>5</v>
      </c>
      <c r="T6" s="52">
        <f t="shared" si="3"/>
        <v>2</v>
      </c>
      <c r="V6" s="51" t="s">
        <v>86</v>
      </c>
      <c r="X6" s="50" t="s">
        <v>90</v>
      </c>
      <c r="Y6" s="52">
        <v>38.003999999999998</v>
      </c>
      <c r="Z6" s="52">
        <f t="shared" si="4"/>
        <v>15.201599999999999</v>
      </c>
      <c r="AA6" s="52"/>
      <c r="AB6" s="83">
        <v>4.99E-2</v>
      </c>
      <c r="AC6" s="50" t="s">
        <v>91</v>
      </c>
    </row>
    <row r="7" spans="1:31" x14ac:dyDescent="0.25">
      <c r="A7" s="71">
        <v>45352</v>
      </c>
      <c r="B7" s="72" t="s">
        <v>92</v>
      </c>
      <c r="C7" s="72" t="s">
        <v>8</v>
      </c>
      <c r="D7" s="72" t="s">
        <v>13</v>
      </c>
      <c r="E7" s="72" t="s">
        <v>82</v>
      </c>
      <c r="F7" s="72">
        <v>1</v>
      </c>
      <c r="G7" s="73">
        <f t="shared" si="5"/>
        <v>30</v>
      </c>
      <c r="H7" s="73">
        <f t="shared" si="0"/>
        <v>30</v>
      </c>
      <c r="I7" s="72" t="s">
        <v>83</v>
      </c>
      <c r="J7" s="74"/>
      <c r="L7" s="79" t="s">
        <v>13</v>
      </c>
      <c r="M7" s="80">
        <f t="shared" si="1"/>
        <v>12</v>
      </c>
      <c r="N7" s="80">
        <f t="shared" si="2"/>
        <v>12</v>
      </c>
      <c r="O7" s="81" t="s">
        <v>56</v>
      </c>
      <c r="R7" s="50" t="s">
        <v>24</v>
      </c>
      <c r="S7" s="52">
        <v>10</v>
      </c>
      <c r="T7" s="52">
        <f t="shared" si="3"/>
        <v>4</v>
      </c>
      <c r="X7" s="50" t="s">
        <v>93</v>
      </c>
      <c r="Y7" s="52">
        <v>40</v>
      </c>
      <c r="Z7" s="52">
        <f t="shared" si="4"/>
        <v>16</v>
      </c>
      <c r="AA7" s="52"/>
    </row>
    <row r="8" spans="1:31" x14ac:dyDescent="0.25">
      <c r="A8" s="71">
        <v>45352</v>
      </c>
      <c r="B8" s="72" t="s">
        <v>94</v>
      </c>
      <c r="C8" s="72" t="s">
        <v>8</v>
      </c>
      <c r="D8" s="72" t="s">
        <v>15</v>
      </c>
      <c r="E8" s="72" t="s">
        <v>82</v>
      </c>
      <c r="F8" s="72">
        <v>1</v>
      </c>
      <c r="G8" s="73">
        <f t="shared" si="5"/>
        <v>70</v>
      </c>
      <c r="H8" s="73">
        <f t="shared" si="0"/>
        <v>70</v>
      </c>
      <c r="I8" s="72" t="s">
        <v>86</v>
      </c>
      <c r="J8" s="74"/>
      <c r="L8" s="79" t="s">
        <v>18</v>
      </c>
      <c r="M8" s="80">
        <f t="shared" si="1"/>
        <v>16</v>
      </c>
      <c r="N8" s="80">
        <f t="shared" si="2"/>
        <v>16</v>
      </c>
      <c r="O8" s="81" t="s">
        <v>56</v>
      </c>
      <c r="R8" s="50" t="s">
        <v>21</v>
      </c>
      <c r="S8" s="52">
        <v>10</v>
      </c>
      <c r="T8" s="52">
        <f t="shared" si="3"/>
        <v>4</v>
      </c>
      <c r="X8" s="50" t="s">
        <v>95</v>
      </c>
      <c r="Y8" s="52">
        <v>40</v>
      </c>
      <c r="Z8" s="52">
        <f t="shared" si="4"/>
        <v>16</v>
      </c>
      <c r="AA8" s="52"/>
    </row>
    <row r="9" spans="1:31" x14ac:dyDescent="0.25">
      <c r="A9" s="71">
        <v>45352</v>
      </c>
      <c r="B9" s="72" t="s">
        <v>94</v>
      </c>
      <c r="C9" s="72" t="s">
        <v>96</v>
      </c>
      <c r="D9" s="72" t="s">
        <v>34</v>
      </c>
      <c r="E9" s="72" t="s">
        <v>82</v>
      </c>
      <c r="F9" s="72">
        <v>1</v>
      </c>
      <c r="G9" s="73">
        <f t="shared" si="5"/>
        <v>10</v>
      </c>
      <c r="H9" s="73">
        <f t="shared" si="0"/>
        <v>10</v>
      </c>
      <c r="I9" s="72" t="s">
        <v>86</v>
      </c>
      <c r="J9" s="74"/>
      <c r="L9" s="79" t="s">
        <v>97</v>
      </c>
      <c r="M9" s="80">
        <f t="shared" si="1"/>
        <v>3</v>
      </c>
      <c r="N9" s="80">
        <f t="shared" si="2"/>
        <v>3</v>
      </c>
      <c r="O9" s="81" t="s">
        <v>56</v>
      </c>
      <c r="R9" s="50" t="s">
        <v>42</v>
      </c>
      <c r="S9" s="52">
        <v>20</v>
      </c>
      <c r="T9" s="52">
        <f t="shared" si="3"/>
        <v>8</v>
      </c>
      <c r="X9" s="50" t="s">
        <v>98</v>
      </c>
      <c r="Y9" s="52">
        <v>39.043999999999997</v>
      </c>
      <c r="Z9" s="52">
        <f t="shared" si="4"/>
        <v>15.617599999999999</v>
      </c>
      <c r="AA9" s="52"/>
    </row>
    <row r="10" spans="1:31" x14ac:dyDescent="0.25">
      <c r="A10" s="71">
        <v>45352</v>
      </c>
      <c r="B10" s="72" t="s">
        <v>94</v>
      </c>
      <c r="C10" s="72" t="s">
        <v>8</v>
      </c>
      <c r="D10" s="72" t="s">
        <v>64</v>
      </c>
      <c r="E10" s="72" t="s">
        <v>82</v>
      </c>
      <c r="F10" s="72">
        <v>1</v>
      </c>
      <c r="G10" s="73">
        <f t="shared" si="5"/>
        <v>30</v>
      </c>
      <c r="H10" s="73">
        <f t="shared" si="0"/>
        <v>30</v>
      </c>
      <c r="I10" s="72" t="s">
        <v>86</v>
      </c>
      <c r="J10" s="74"/>
      <c r="L10" s="79" t="s">
        <v>18</v>
      </c>
      <c r="M10" s="80">
        <f t="shared" si="1"/>
        <v>16</v>
      </c>
      <c r="N10" s="80">
        <f t="shared" si="2"/>
        <v>16</v>
      </c>
      <c r="O10" s="81" t="s">
        <v>56</v>
      </c>
      <c r="R10" s="50" t="s">
        <v>99</v>
      </c>
      <c r="S10" s="52">
        <v>40</v>
      </c>
      <c r="T10" s="52">
        <f t="shared" si="3"/>
        <v>16</v>
      </c>
      <c r="X10" s="50" t="s">
        <v>100</v>
      </c>
      <c r="Y10" s="52">
        <v>38.003999999999998</v>
      </c>
      <c r="Z10" s="52">
        <f t="shared" si="4"/>
        <v>15.201599999999999</v>
      </c>
      <c r="AA10" s="52"/>
    </row>
    <row r="11" spans="1:31" x14ac:dyDescent="0.25">
      <c r="A11" s="71">
        <v>45352</v>
      </c>
      <c r="B11" s="72" t="s">
        <v>101</v>
      </c>
      <c r="C11" s="72" t="s">
        <v>8</v>
      </c>
      <c r="D11" s="72" t="s">
        <v>18</v>
      </c>
      <c r="E11" s="72" t="s">
        <v>82</v>
      </c>
      <c r="F11" s="72">
        <v>1</v>
      </c>
      <c r="G11" s="73">
        <f t="shared" si="5"/>
        <v>40</v>
      </c>
      <c r="H11" s="73">
        <f t="shared" si="0"/>
        <v>40</v>
      </c>
      <c r="I11" s="72" t="s">
        <v>86</v>
      </c>
      <c r="J11" s="74"/>
      <c r="L11" s="79" t="s">
        <v>23</v>
      </c>
      <c r="M11" s="80">
        <f t="shared" si="1"/>
        <v>2</v>
      </c>
      <c r="N11" s="80">
        <f t="shared" si="2"/>
        <v>2</v>
      </c>
      <c r="O11" s="81" t="s">
        <v>56</v>
      </c>
      <c r="R11" s="50" t="s">
        <v>13</v>
      </c>
      <c r="S11" s="52">
        <v>30</v>
      </c>
      <c r="T11" s="52">
        <f t="shared" si="3"/>
        <v>12</v>
      </c>
      <c r="X11" s="50" t="s">
        <v>102</v>
      </c>
      <c r="Y11" s="52">
        <v>30</v>
      </c>
      <c r="Z11" s="52">
        <f t="shared" si="4"/>
        <v>12</v>
      </c>
      <c r="AA11" s="52"/>
    </row>
    <row r="12" spans="1:31" x14ac:dyDescent="0.25">
      <c r="A12" s="71">
        <v>45352</v>
      </c>
      <c r="B12" s="72" t="s">
        <v>103</v>
      </c>
      <c r="C12" s="72" t="s">
        <v>8</v>
      </c>
      <c r="D12" s="72" t="s">
        <v>18</v>
      </c>
      <c r="E12" s="72" t="s">
        <v>82</v>
      </c>
      <c r="F12" s="72">
        <v>1</v>
      </c>
      <c r="G12" s="73">
        <f t="shared" si="5"/>
        <v>40</v>
      </c>
      <c r="H12" s="73">
        <f t="shared" si="0"/>
        <v>40</v>
      </c>
      <c r="I12" s="72" t="s">
        <v>83</v>
      </c>
      <c r="J12" s="74"/>
      <c r="L12" s="79" t="s">
        <v>18</v>
      </c>
      <c r="M12" s="80">
        <f t="shared" si="1"/>
        <v>16</v>
      </c>
      <c r="N12" s="80">
        <f t="shared" si="2"/>
        <v>16</v>
      </c>
      <c r="O12" s="81" t="s">
        <v>56</v>
      </c>
      <c r="R12" s="50" t="s">
        <v>104</v>
      </c>
      <c r="S12" s="52">
        <v>60</v>
      </c>
      <c r="T12" s="52">
        <f t="shared" si="3"/>
        <v>24</v>
      </c>
      <c r="X12" s="50" t="s">
        <v>105</v>
      </c>
      <c r="Y12" s="52">
        <v>30</v>
      </c>
      <c r="Z12" s="52">
        <f t="shared" si="4"/>
        <v>12</v>
      </c>
      <c r="AA12" s="52"/>
    </row>
    <row r="13" spans="1:31" x14ac:dyDescent="0.25">
      <c r="A13" s="71">
        <v>45352</v>
      </c>
      <c r="B13" s="72" t="s">
        <v>103</v>
      </c>
      <c r="C13" s="72" t="s">
        <v>8</v>
      </c>
      <c r="D13" s="72" t="s">
        <v>24</v>
      </c>
      <c r="E13" s="72" t="s">
        <v>82</v>
      </c>
      <c r="F13" s="72">
        <v>1</v>
      </c>
      <c r="G13" s="73">
        <f t="shared" si="5"/>
        <v>10</v>
      </c>
      <c r="H13" s="73">
        <f t="shared" si="0"/>
        <v>10</v>
      </c>
      <c r="I13" s="72" t="s">
        <v>83</v>
      </c>
      <c r="J13" s="74"/>
      <c r="L13" s="79" t="s">
        <v>15</v>
      </c>
      <c r="M13" s="80">
        <f t="shared" si="1"/>
        <v>28</v>
      </c>
      <c r="N13" s="80">
        <f t="shared" si="2"/>
        <v>28</v>
      </c>
      <c r="O13" s="81" t="s">
        <v>56</v>
      </c>
      <c r="R13" s="50" t="s">
        <v>106</v>
      </c>
      <c r="S13" s="52">
        <v>15</v>
      </c>
      <c r="T13" s="52">
        <f t="shared" si="3"/>
        <v>6</v>
      </c>
      <c r="X13" s="50" t="s">
        <v>107</v>
      </c>
      <c r="Y13" s="52">
        <v>29.283000000000001</v>
      </c>
      <c r="Z13" s="52">
        <f t="shared" si="4"/>
        <v>11.713200000000001</v>
      </c>
      <c r="AA13" s="52"/>
    </row>
    <row r="14" spans="1:31" x14ac:dyDescent="0.25">
      <c r="A14" s="71">
        <v>45352</v>
      </c>
      <c r="B14" s="72"/>
      <c r="C14" s="72" t="s">
        <v>8</v>
      </c>
      <c r="D14" s="72" t="s">
        <v>18</v>
      </c>
      <c r="E14" s="72" t="s">
        <v>82</v>
      </c>
      <c r="F14" s="72">
        <v>1</v>
      </c>
      <c r="G14" s="73">
        <f t="shared" si="5"/>
        <v>40</v>
      </c>
      <c r="H14" s="73">
        <f t="shared" si="0"/>
        <v>40</v>
      </c>
      <c r="I14" s="72" t="s">
        <v>86</v>
      </c>
      <c r="J14" s="74"/>
      <c r="L14" s="79" t="s">
        <v>15</v>
      </c>
      <c r="M14" s="80">
        <f t="shared" si="1"/>
        <v>28</v>
      </c>
      <c r="N14" s="80">
        <f t="shared" si="2"/>
        <v>28</v>
      </c>
      <c r="O14" s="81" t="s">
        <v>56</v>
      </c>
      <c r="R14" s="50" t="s">
        <v>15</v>
      </c>
      <c r="S14" s="52">
        <v>70</v>
      </c>
      <c r="T14" s="52">
        <f t="shared" si="3"/>
        <v>28</v>
      </c>
      <c r="X14" s="50" t="s">
        <v>108</v>
      </c>
      <c r="Y14" s="52">
        <v>28.503</v>
      </c>
      <c r="Z14" s="52">
        <f t="shared" si="4"/>
        <v>11.401200000000001</v>
      </c>
      <c r="AA14" s="52"/>
    </row>
    <row r="15" spans="1:31" x14ac:dyDescent="0.25">
      <c r="A15" s="71">
        <v>45352</v>
      </c>
      <c r="B15" s="72" t="s">
        <v>109</v>
      </c>
      <c r="C15" s="72" t="s">
        <v>8</v>
      </c>
      <c r="D15" s="72" t="s">
        <v>16</v>
      </c>
      <c r="E15" s="72" t="s">
        <v>82</v>
      </c>
      <c r="F15" s="72">
        <v>1</v>
      </c>
      <c r="G15" s="73">
        <f t="shared" si="5"/>
        <v>80</v>
      </c>
      <c r="H15" s="73">
        <f t="shared" si="0"/>
        <v>80</v>
      </c>
      <c r="I15" s="72" t="s">
        <v>83</v>
      </c>
      <c r="J15" s="74"/>
      <c r="L15" s="79" t="s">
        <v>18</v>
      </c>
      <c r="M15" s="80">
        <f t="shared" si="1"/>
        <v>16</v>
      </c>
      <c r="N15" s="80">
        <f t="shared" si="2"/>
        <v>16</v>
      </c>
      <c r="O15" s="81" t="s">
        <v>56</v>
      </c>
      <c r="R15" s="50" t="s">
        <v>17</v>
      </c>
      <c r="S15" s="52">
        <v>50</v>
      </c>
      <c r="T15" s="52">
        <f t="shared" si="3"/>
        <v>20</v>
      </c>
      <c r="X15" s="50" t="s">
        <v>110</v>
      </c>
      <c r="Y15" s="52">
        <v>5</v>
      </c>
      <c r="Z15" s="52">
        <f t="shared" si="4"/>
        <v>2</v>
      </c>
      <c r="AA15" s="52"/>
    </row>
    <row r="16" spans="1:31" x14ac:dyDescent="0.25">
      <c r="A16" s="71">
        <v>45352</v>
      </c>
      <c r="B16" s="72" t="s">
        <v>111</v>
      </c>
      <c r="C16" s="72" t="s">
        <v>8</v>
      </c>
      <c r="D16" s="72" t="s">
        <v>15</v>
      </c>
      <c r="E16" s="72" t="s">
        <v>82</v>
      </c>
      <c r="F16" s="72">
        <v>1</v>
      </c>
      <c r="G16" s="73">
        <f t="shared" si="5"/>
        <v>70</v>
      </c>
      <c r="H16" s="73">
        <f t="shared" si="0"/>
        <v>70</v>
      </c>
      <c r="I16" s="72" t="s">
        <v>86</v>
      </c>
      <c r="J16" s="74"/>
      <c r="L16" s="79" t="s">
        <v>15</v>
      </c>
      <c r="M16" s="80">
        <f t="shared" si="1"/>
        <v>28</v>
      </c>
      <c r="N16" s="80">
        <f t="shared" si="2"/>
        <v>28</v>
      </c>
      <c r="O16" s="81" t="s">
        <v>56</v>
      </c>
      <c r="R16" s="50" t="s">
        <v>112</v>
      </c>
      <c r="S16" s="52">
        <v>75</v>
      </c>
      <c r="T16" s="52">
        <f t="shared" si="3"/>
        <v>30</v>
      </c>
      <c r="X16" s="50" t="s">
        <v>113</v>
      </c>
      <c r="Y16" s="52">
        <v>5</v>
      </c>
      <c r="Z16" s="52">
        <f t="shared" si="4"/>
        <v>2</v>
      </c>
      <c r="AA16" s="52"/>
    </row>
    <row r="17" spans="1:27" x14ac:dyDescent="0.25">
      <c r="A17" s="71">
        <v>45352</v>
      </c>
      <c r="B17" s="72" t="s">
        <v>114</v>
      </c>
      <c r="C17" s="72" t="s">
        <v>8</v>
      </c>
      <c r="D17" s="72" t="s">
        <v>18</v>
      </c>
      <c r="E17" s="72" t="s">
        <v>82</v>
      </c>
      <c r="F17" s="72">
        <v>1</v>
      </c>
      <c r="G17" s="73">
        <f t="shared" si="5"/>
        <v>40</v>
      </c>
      <c r="H17" s="73">
        <f t="shared" si="0"/>
        <v>40</v>
      </c>
      <c r="I17" s="72" t="s">
        <v>86</v>
      </c>
      <c r="J17" s="74"/>
      <c r="L17" s="79" t="s">
        <v>22</v>
      </c>
      <c r="M17" s="80">
        <f t="shared" si="1"/>
        <v>12</v>
      </c>
      <c r="N17" s="80">
        <f t="shared" si="2"/>
        <v>12</v>
      </c>
      <c r="O17" s="81" t="s">
        <v>56</v>
      </c>
      <c r="R17" s="50" t="s">
        <v>14</v>
      </c>
      <c r="S17" s="52">
        <v>55</v>
      </c>
      <c r="T17" s="52">
        <f t="shared" si="3"/>
        <v>22</v>
      </c>
      <c r="X17" s="50" t="s">
        <v>115</v>
      </c>
      <c r="Y17" s="52">
        <v>4.8804999999999996</v>
      </c>
      <c r="Z17" s="52">
        <f t="shared" si="4"/>
        <v>1.9521999999999999</v>
      </c>
      <c r="AA17" s="52"/>
    </row>
    <row r="18" spans="1:27" x14ac:dyDescent="0.25">
      <c r="A18" s="71">
        <v>45353</v>
      </c>
      <c r="B18" s="72" t="s">
        <v>116</v>
      </c>
      <c r="C18" s="72" t="s">
        <v>10</v>
      </c>
      <c r="D18" s="72" t="s">
        <v>18</v>
      </c>
      <c r="E18" s="72" t="s">
        <v>56</v>
      </c>
      <c r="F18" s="72">
        <v>1</v>
      </c>
      <c r="G18" s="73">
        <f t="shared" ref="G18:G24" si="6">VLOOKUP(D18,$R$3:$S$36,2,0)</f>
        <v>40</v>
      </c>
      <c r="H18" s="73">
        <f t="shared" si="0"/>
        <v>40</v>
      </c>
      <c r="I18" s="72" t="s">
        <v>79</v>
      </c>
      <c r="J18" s="74"/>
      <c r="L18" s="79" t="s">
        <v>13</v>
      </c>
      <c r="M18" s="80">
        <f t="shared" si="1"/>
        <v>12</v>
      </c>
      <c r="N18" s="80">
        <f t="shared" si="2"/>
        <v>12</v>
      </c>
      <c r="O18" s="81" t="s">
        <v>56</v>
      </c>
      <c r="R18" s="50" t="s">
        <v>58</v>
      </c>
      <c r="S18" s="52">
        <v>100</v>
      </c>
      <c r="T18" s="52">
        <f t="shared" si="3"/>
        <v>40</v>
      </c>
      <c r="X18" s="50" t="s">
        <v>117</v>
      </c>
      <c r="Y18" s="52">
        <v>4.7504999999999997</v>
      </c>
      <c r="Z18" s="52">
        <f t="shared" si="4"/>
        <v>1.9001999999999999</v>
      </c>
    </row>
    <row r="19" spans="1:27" x14ac:dyDescent="0.25">
      <c r="A19" s="71">
        <v>45353</v>
      </c>
      <c r="B19" s="72" t="s">
        <v>118</v>
      </c>
      <c r="C19" s="72" t="s">
        <v>8</v>
      </c>
      <c r="D19" s="72" t="s">
        <v>13</v>
      </c>
      <c r="E19" s="72" t="s">
        <v>56</v>
      </c>
      <c r="F19" s="72">
        <v>1</v>
      </c>
      <c r="G19" s="73">
        <f t="shared" si="6"/>
        <v>30</v>
      </c>
      <c r="H19" s="73">
        <f t="shared" si="0"/>
        <v>30</v>
      </c>
      <c r="I19" s="72" t="s">
        <v>83</v>
      </c>
      <c r="J19" s="74"/>
      <c r="L19" s="79" t="s">
        <v>14</v>
      </c>
      <c r="M19" s="80">
        <f t="shared" si="1"/>
        <v>22</v>
      </c>
      <c r="N19" s="80">
        <f t="shared" si="2"/>
        <v>22</v>
      </c>
      <c r="O19" s="81" t="s">
        <v>56</v>
      </c>
      <c r="R19" s="50" t="s">
        <v>16</v>
      </c>
      <c r="S19" s="52">
        <v>80</v>
      </c>
      <c r="T19" s="52">
        <f t="shared" si="3"/>
        <v>32</v>
      </c>
      <c r="X19" s="50" t="s">
        <v>119</v>
      </c>
      <c r="Y19" s="52">
        <v>10</v>
      </c>
      <c r="Z19" s="52">
        <f t="shared" si="4"/>
        <v>4</v>
      </c>
    </row>
    <row r="20" spans="1:27" x14ac:dyDescent="0.25">
      <c r="A20" s="71">
        <v>45353</v>
      </c>
      <c r="B20" s="72" t="s">
        <v>120</v>
      </c>
      <c r="C20" s="72" t="s">
        <v>9</v>
      </c>
      <c r="D20" s="72" t="s">
        <v>18</v>
      </c>
      <c r="E20" s="72" t="s">
        <v>56</v>
      </c>
      <c r="F20" s="72">
        <v>1</v>
      </c>
      <c r="G20" s="73">
        <f t="shared" si="6"/>
        <v>40</v>
      </c>
      <c r="H20" s="73">
        <f t="shared" si="0"/>
        <v>40</v>
      </c>
      <c r="I20" s="72" t="s">
        <v>83</v>
      </c>
      <c r="J20" s="74"/>
      <c r="L20" s="79" t="s">
        <v>18</v>
      </c>
      <c r="M20" s="80">
        <f t="shared" si="1"/>
        <v>16</v>
      </c>
      <c r="N20" s="80">
        <f t="shared" si="2"/>
        <v>16</v>
      </c>
      <c r="O20" s="81" t="s">
        <v>56</v>
      </c>
      <c r="R20" s="50" t="s">
        <v>121</v>
      </c>
      <c r="S20" s="52">
        <v>130</v>
      </c>
      <c r="T20" s="52">
        <f t="shared" si="3"/>
        <v>52</v>
      </c>
      <c r="X20" s="50" t="s">
        <v>122</v>
      </c>
      <c r="Y20" s="52">
        <v>10</v>
      </c>
      <c r="Z20" s="52">
        <f t="shared" si="4"/>
        <v>4</v>
      </c>
    </row>
    <row r="21" spans="1:27" x14ac:dyDescent="0.25">
      <c r="A21" s="71">
        <v>45353</v>
      </c>
      <c r="B21" s="72" t="s">
        <v>120</v>
      </c>
      <c r="C21" s="72" t="s">
        <v>9</v>
      </c>
      <c r="D21" s="72" t="s">
        <v>97</v>
      </c>
      <c r="E21" s="72" t="s">
        <v>56</v>
      </c>
      <c r="F21" s="72">
        <v>1</v>
      </c>
      <c r="G21" s="73">
        <f t="shared" si="6"/>
        <v>30</v>
      </c>
      <c r="H21" s="73">
        <f t="shared" si="0"/>
        <v>30</v>
      </c>
      <c r="I21" s="72" t="s">
        <v>78</v>
      </c>
      <c r="J21" s="74"/>
      <c r="L21" s="79" t="s">
        <v>18</v>
      </c>
      <c r="M21" s="80">
        <f t="shared" si="1"/>
        <v>16</v>
      </c>
      <c r="N21" s="80">
        <f t="shared" si="2"/>
        <v>16</v>
      </c>
      <c r="O21" s="81" t="s">
        <v>56</v>
      </c>
      <c r="R21" s="50" t="s">
        <v>60</v>
      </c>
      <c r="S21" s="52">
        <v>90</v>
      </c>
      <c r="T21" s="52">
        <f t="shared" si="3"/>
        <v>36</v>
      </c>
      <c r="X21" s="50" t="s">
        <v>123</v>
      </c>
      <c r="Y21" s="52">
        <v>9.7609999999999992</v>
      </c>
      <c r="Z21" s="52">
        <f t="shared" si="4"/>
        <v>3.9043999999999999</v>
      </c>
    </row>
    <row r="22" spans="1:27" x14ac:dyDescent="0.25">
      <c r="A22" s="71">
        <v>45353</v>
      </c>
      <c r="B22" s="72" t="s">
        <v>124</v>
      </c>
      <c r="C22" s="72" t="s">
        <v>10</v>
      </c>
      <c r="D22" s="72" t="s">
        <v>18</v>
      </c>
      <c r="E22" s="72" t="s">
        <v>56</v>
      </c>
      <c r="F22" s="72">
        <v>1</v>
      </c>
      <c r="G22" s="73">
        <f t="shared" si="6"/>
        <v>40</v>
      </c>
      <c r="H22" s="73">
        <f t="shared" si="0"/>
        <v>40</v>
      </c>
      <c r="I22" s="72" t="s">
        <v>78</v>
      </c>
      <c r="J22" s="74"/>
      <c r="L22" s="79" t="s">
        <v>13</v>
      </c>
      <c r="M22" s="80">
        <f t="shared" si="1"/>
        <v>12</v>
      </c>
      <c r="N22" s="80">
        <f t="shared" si="2"/>
        <v>12</v>
      </c>
      <c r="O22" s="81" t="s">
        <v>56</v>
      </c>
      <c r="R22" s="50" t="s">
        <v>32</v>
      </c>
      <c r="S22" s="52">
        <v>50</v>
      </c>
      <c r="T22" s="52">
        <f t="shared" si="3"/>
        <v>20</v>
      </c>
      <c r="X22" s="50" t="s">
        <v>125</v>
      </c>
      <c r="Y22" s="52">
        <v>9.5009999999999994</v>
      </c>
      <c r="Z22" s="52">
        <f t="shared" si="4"/>
        <v>3.8003999999999998</v>
      </c>
      <c r="AA22" s="52"/>
    </row>
    <row r="23" spans="1:27" x14ac:dyDescent="0.25">
      <c r="A23" s="71">
        <v>45353</v>
      </c>
      <c r="B23" s="72" t="s">
        <v>124</v>
      </c>
      <c r="C23" s="72" t="s">
        <v>10</v>
      </c>
      <c r="D23" s="72" t="s">
        <v>23</v>
      </c>
      <c r="E23" s="72" t="s">
        <v>56</v>
      </c>
      <c r="F23" s="72">
        <v>1</v>
      </c>
      <c r="G23" s="73">
        <f t="shared" si="6"/>
        <v>5</v>
      </c>
      <c r="H23" s="73">
        <f t="shared" si="0"/>
        <v>5</v>
      </c>
      <c r="I23" s="72" t="s">
        <v>78</v>
      </c>
      <c r="J23" s="74"/>
      <c r="L23" s="79" t="s">
        <v>21</v>
      </c>
      <c r="M23" s="80">
        <f t="shared" si="1"/>
        <v>4</v>
      </c>
      <c r="N23" s="80">
        <f t="shared" si="2"/>
        <v>4</v>
      </c>
      <c r="O23" s="81" t="s">
        <v>56</v>
      </c>
      <c r="R23" s="50" t="s">
        <v>20</v>
      </c>
      <c r="S23" s="52">
        <v>15</v>
      </c>
      <c r="T23" s="52">
        <f t="shared" si="3"/>
        <v>6</v>
      </c>
      <c r="X23" s="50" t="s">
        <v>126</v>
      </c>
      <c r="Y23" s="52">
        <v>10</v>
      </c>
      <c r="Z23" s="52">
        <f t="shared" si="4"/>
        <v>4</v>
      </c>
      <c r="AA23" s="52"/>
    </row>
    <row r="24" spans="1:27" x14ac:dyDescent="0.25">
      <c r="A24" s="71">
        <v>45353</v>
      </c>
      <c r="B24" s="72" t="s">
        <v>127</v>
      </c>
      <c r="C24" s="72" t="s">
        <v>8</v>
      </c>
      <c r="D24" s="72" t="s">
        <v>18</v>
      </c>
      <c r="E24" s="72" t="s">
        <v>56</v>
      </c>
      <c r="F24" s="72">
        <v>1</v>
      </c>
      <c r="G24" s="73">
        <f t="shared" si="6"/>
        <v>40</v>
      </c>
      <c r="H24" s="73">
        <f t="shared" si="0"/>
        <v>40</v>
      </c>
      <c r="I24" s="72" t="s">
        <v>78</v>
      </c>
      <c r="J24" s="74"/>
      <c r="L24" s="79" t="s">
        <v>64</v>
      </c>
      <c r="M24" s="80">
        <f t="shared" si="1"/>
        <v>3</v>
      </c>
      <c r="N24" s="80">
        <f t="shared" si="2"/>
        <v>3</v>
      </c>
      <c r="O24" s="81" t="s">
        <v>56</v>
      </c>
      <c r="R24" s="50" t="s">
        <v>31</v>
      </c>
      <c r="S24" s="52">
        <v>15</v>
      </c>
      <c r="T24" s="52">
        <f t="shared" si="3"/>
        <v>6</v>
      </c>
      <c r="X24" s="50" t="s">
        <v>128</v>
      </c>
      <c r="Y24" s="52">
        <v>10</v>
      </c>
      <c r="Z24" s="52">
        <f t="shared" si="4"/>
        <v>4</v>
      </c>
    </row>
    <row r="25" spans="1:27" x14ac:dyDescent="0.25">
      <c r="A25" s="71">
        <v>45353</v>
      </c>
      <c r="B25" s="72" t="s">
        <v>129</v>
      </c>
      <c r="C25" s="72" t="s">
        <v>8</v>
      </c>
      <c r="D25" s="72" t="s">
        <v>24</v>
      </c>
      <c r="E25" s="72" t="s">
        <v>82</v>
      </c>
      <c r="F25" s="72">
        <v>1</v>
      </c>
      <c r="G25" s="73">
        <f t="shared" ref="G25:G30" si="7">VLOOKUP(D25,$R$3:$S$114,2,0)</f>
        <v>10</v>
      </c>
      <c r="H25" s="73">
        <f t="shared" si="0"/>
        <v>10</v>
      </c>
      <c r="I25" s="72" t="s">
        <v>83</v>
      </c>
      <c r="J25" s="74"/>
      <c r="L25" s="79" t="s">
        <v>18</v>
      </c>
      <c r="M25" s="80">
        <f t="shared" si="1"/>
        <v>16</v>
      </c>
      <c r="N25" s="80">
        <f t="shared" si="2"/>
        <v>16</v>
      </c>
      <c r="O25" s="81" t="s">
        <v>56</v>
      </c>
      <c r="R25" s="50" t="s">
        <v>25</v>
      </c>
      <c r="S25" s="52">
        <v>30</v>
      </c>
      <c r="T25" s="52">
        <f t="shared" si="3"/>
        <v>12</v>
      </c>
      <c r="X25" s="50" t="s">
        <v>130</v>
      </c>
      <c r="Y25" s="52">
        <v>9.7609999999999992</v>
      </c>
      <c r="Z25" s="52">
        <f t="shared" si="4"/>
        <v>3.9043999999999999</v>
      </c>
    </row>
    <row r="26" spans="1:27" x14ac:dyDescent="0.25">
      <c r="A26" s="71">
        <v>45353</v>
      </c>
      <c r="B26" s="72" t="s">
        <v>129</v>
      </c>
      <c r="C26" s="72" t="s">
        <v>8</v>
      </c>
      <c r="D26" s="72" t="s">
        <v>21</v>
      </c>
      <c r="E26" s="72" t="s">
        <v>82</v>
      </c>
      <c r="F26" s="72">
        <v>1</v>
      </c>
      <c r="G26" s="73">
        <f t="shared" si="7"/>
        <v>10</v>
      </c>
      <c r="H26" s="73">
        <f t="shared" si="0"/>
        <v>10</v>
      </c>
      <c r="I26" s="72" t="s">
        <v>83</v>
      </c>
      <c r="J26" s="74"/>
      <c r="L26" s="79" t="s">
        <v>45</v>
      </c>
      <c r="M26" s="80">
        <f t="shared" si="1"/>
        <v>0.35000000000000003</v>
      </c>
      <c r="N26" s="80">
        <f t="shared" si="2"/>
        <v>0.35000000000000003</v>
      </c>
      <c r="O26" s="81" t="s">
        <v>56</v>
      </c>
      <c r="R26" s="50" t="s">
        <v>131</v>
      </c>
      <c r="S26" s="52">
        <v>30</v>
      </c>
      <c r="T26" s="52">
        <f t="shared" ref="T26:T54" si="8">S26*0.1</f>
        <v>3</v>
      </c>
      <c r="X26" s="50" t="s">
        <v>132</v>
      </c>
      <c r="Y26" s="52">
        <v>9.5009999999999994</v>
      </c>
      <c r="Z26" s="52">
        <f t="shared" si="4"/>
        <v>3.8003999999999998</v>
      </c>
    </row>
    <row r="27" spans="1:27" x14ac:dyDescent="0.25">
      <c r="A27" s="71">
        <v>45353</v>
      </c>
      <c r="B27" s="72" t="s">
        <v>133</v>
      </c>
      <c r="C27" s="72" t="s">
        <v>8</v>
      </c>
      <c r="D27" s="72" t="s">
        <v>17</v>
      </c>
      <c r="E27" s="72" t="s">
        <v>82</v>
      </c>
      <c r="F27" s="72">
        <v>1</v>
      </c>
      <c r="G27" s="73">
        <f t="shared" si="7"/>
        <v>50</v>
      </c>
      <c r="H27" s="73">
        <f t="shared" si="0"/>
        <v>50</v>
      </c>
      <c r="I27" s="72" t="s">
        <v>83</v>
      </c>
      <c r="J27" s="74"/>
      <c r="L27" s="79" t="s">
        <v>16</v>
      </c>
      <c r="M27" s="80">
        <f t="shared" si="1"/>
        <v>32</v>
      </c>
      <c r="N27" s="80">
        <f t="shared" si="2"/>
        <v>32</v>
      </c>
      <c r="O27" s="81" t="s">
        <v>56</v>
      </c>
      <c r="R27" s="50" t="s">
        <v>64</v>
      </c>
      <c r="S27" s="52">
        <v>30</v>
      </c>
      <c r="T27" s="52">
        <f t="shared" si="8"/>
        <v>3</v>
      </c>
      <c r="X27" s="50" t="s">
        <v>134</v>
      </c>
      <c r="Y27" s="52">
        <v>20</v>
      </c>
      <c r="Z27" s="52">
        <f t="shared" si="4"/>
        <v>8</v>
      </c>
    </row>
    <row r="28" spans="1:27" x14ac:dyDescent="0.25">
      <c r="A28" s="71">
        <v>45353</v>
      </c>
      <c r="B28" s="72" t="s">
        <v>135</v>
      </c>
      <c r="C28" s="72" t="s">
        <v>8</v>
      </c>
      <c r="D28" s="72" t="s">
        <v>18</v>
      </c>
      <c r="E28" s="72" t="s">
        <v>82</v>
      </c>
      <c r="F28" s="72">
        <v>1</v>
      </c>
      <c r="G28" s="73">
        <f t="shared" si="7"/>
        <v>40</v>
      </c>
      <c r="H28" s="73">
        <f t="shared" si="0"/>
        <v>40</v>
      </c>
      <c r="I28" s="72" t="s">
        <v>83</v>
      </c>
      <c r="J28" s="74"/>
      <c r="L28" s="79" t="s">
        <v>18</v>
      </c>
      <c r="M28" s="80">
        <f t="shared" si="1"/>
        <v>16</v>
      </c>
      <c r="N28" s="80">
        <f t="shared" si="2"/>
        <v>16</v>
      </c>
      <c r="O28" s="81" t="s">
        <v>56</v>
      </c>
      <c r="R28" s="50" t="s">
        <v>97</v>
      </c>
      <c r="S28" s="52">
        <v>30</v>
      </c>
      <c r="T28" s="52">
        <f t="shared" si="8"/>
        <v>3</v>
      </c>
      <c r="X28" s="50" t="s">
        <v>136</v>
      </c>
      <c r="Y28" s="52">
        <v>20</v>
      </c>
      <c r="Z28" s="52">
        <f t="shared" si="4"/>
        <v>8</v>
      </c>
      <c r="AA28" s="52"/>
    </row>
    <row r="29" spans="1:27" x14ac:dyDescent="0.25">
      <c r="A29" s="71">
        <v>45353</v>
      </c>
      <c r="B29" s="72" t="s">
        <v>135</v>
      </c>
      <c r="C29" s="72" t="s">
        <v>8</v>
      </c>
      <c r="D29" s="72" t="s">
        <v>23</v>
      </c>
      <c r="E29" s="72" t="s">
        <v>82</v>
      </c>
      <c r="F29" s="72">
        <v>1</v>
      </c>
      <c r="G29" s="73">
        <f t="shared" si="7"/>
        <v>5</v>
      </c>
      <c r="H29" s="73">
        <f t="shared" si="0"/>
        <v>5</v>
      </c>
      <c r="I29" s="72" t="s">
        <v>83</v>
      </c>
      <c r="J29" s="74"/>
      <c r="L29" s="79" t="s">
        <v>18</v>
      </c>
      <c r="M29" s="80">
        <f t="shared" si="1"/>
        <v>16</v>
      </c>
      <c r="N29" s="80">
        <f t="shared" si="2"/>
        <v>16</v>
      </c>
      <c r="O29" s="81" t="s">
        <v>56</v>
      </c>
      <c r="R29" s="50" t="s">
        <v>39</v>
      </c>
      <c r="S29" s="52">
        <v>10</v>
      </c>
      <c r="T29" s="52">
        <f t="shared" si="8"/>
        <v>1</v>
      </c>
      <c r="X29" s="50" t="s">
        <v>137</v>
      </c>
      <c r="Y29" s="52">
        <v>19.521999999999998</v>
      </c>
      <c r="Z29" s="52">
        <f t="shared" si="4"/>
        <v>7.8087999999999997</v>
      </c>
      <c r="AA29" s="52"/>
    </row>
    <row r="30" spans="1:27" x14ac:dyDescent="0.25">
      <c r="A30" s="71">
        <v>45353</v>
      </c>
      <c r="B30" s="72" t="s">
        <v>138</v>
      </c>
      <c r="C30" s="72" t="s">
        <v>8</v>
      </c>
      <c r="D30" s="72" t="s">
        <v>22</v>
      </c>
      <c r="E30" s="72" t="s">
        <v>82</v>
      </c>
      <c r="F30" s="72">
        <v>1</v>
      </c>
      <c r="G30" s="73">
        <f t="shared" si="7"/>
        <v>30</v>
      </c>
      <c r="H30" s="73">
        <f t="shared" si="0"/>
        <v>30</v>
      </c>
      <c r="I30" s="72" t="s">
        <v>83</v>
      </c>
      <c r="J30" s="74"/>
      <c r="L30" s="79" t="s">
        <v>18</v>
      </c>
      <c r="M30" s="80">
        <f t="shared" si="1"/>
        <v>16</v>
      </c>
      <c r="N30" s="80">
        <f t="shared" si="2"/>
        <v>16</v>
      </c>
      <c r="O30" s="81" t="s">
        <v>56</v>
      </c>
      <c r="R30" s="50" t="s">
        <v>63</v>
      </c>
      <c r="S30" s="52">
        <v>20</v>
      </c>
      <c r="T30" s="52">
        <f t="shared" si="8"/>
        <v>2</v>
      </c>
      <c r="X30" s="50" t="s">
        <v>139</v>
      </c>
      <c r="Y30" s="52">
        <v>19.001999999999999</v>
      </c>
      <c r="Z30" s="52">
        <f t="shared" si="4"/>
        <v>7.6007999999999996</v>
      </c>
      <c r="AA30" s="52"/>
    </row>
    <row r="31" spans="1:27" x14ac:dyDescent="0.25">
      <c r="A31" s="71">
        <v>45353</v>
      </c>
      <c r="B31" s="72" t="s">
        <v>140</v>
      </c>
      <c r="C31" s="72" t="s">
        <v>8</v>
      </c>
      <c r="D31" s="72" t="s">
        <v>59</v>
      </c>
      <c r="E31" s="72" t="s">
        <v>82</v>
      </c>
      <c r="F31" s="72">
        <v>2</v>
      </c>
      <c r="G31" s="73">
        <v>16</v>
      </c>
      <c r="H31" s="73">
        <f t="shared" si="0"/>
        <v>32</v>
      </c>
      <c r="I31" s="72" t="s">
        <v>83</v>
      </c>
      <c r="J31" s="74"/>
      <c r="L31" s="79" t="s">
        <v>18</v>
      </c>
      <c r="M31" s="80">
        <f t="shared" si="1"/>
        <v>16</v>
      </c>
      <c r="N31" s="80">
        <f t="shared" si="2"/>
        <v>32</v>
      </c>
      <c r="O31" s="81" t="s">
        <v>56</v>
      </c>
      <c r="R31" s="50" t="s">
        <v>34</v>
      </c>
      <c r="S31" s="52">
        <v>10</v>
      </c>
      <c r="T31" s="52">
        <f t="shared" si="8"/>
        <v>1</v>
      </c>
      <c r="X31" s="50" t="s">
        <v>141</v>
      </c>
      <c r="Y31" s="52">
        <v>40</v>
      </c>
      <c r="Z31" s="52">
        <f t="shared" si="4"/>
        <v>16</v>
      </c>
    </row>
    <row r="32" spans="1:27" x14ac:dyDescent="0.25">
      <c r="A32" s="71">
        <v>45353</v>
      </c>
      <c r="B32" s="72" t="s">
        <v>142</v>
      </c>
      <c r="C32" s="72" t="s">
        <v>10</v>
      </c>
      <c r="D32" s="72" t="s">
        <v>15</v>
      </c>
      <c r="E32" s="72" t="s">
        <v>82</v>
      </c>
      <c r="F32" s="72">
        <v>1</v>
      </c>
      <c r="G32" s="73">
        <f t="shared" ref="G32:G45" si="9">VLOOKUP(D32,$R$3:$S$114,2,0)</f>
        <v>70</v>
      </c>
      <c r="H32" s="73">
        <f t="shared" si="0"/>
        <v>70</v>
      </c>
      <c r="I32" s="72" t="s">
        <v>86</v>
      </c>
      <c r="J32" s="74"/>
      <c r="L32" s="79" t="s">
        <v>18</v>
      </c>
      <c r="M32" s="80">
        <f t="shared" si="1"/>
        <v>16</v>
      </c>
      <c r="N32" s="80">
        <f t="shared" si="2"/>
        <v>16</v>
      </c>
      <c r="O32" s="81" t="s">
        <v>56</v>
      </c>
      <c r="R32" s="50" t="s">
        <v>143</v>
      </c>
      <c r="S32" s="52">
        <v>35</v>
      </c>
      <c r="T32" s="52">
        <f t="shared" si="8"/>
        <v>3.5</v>
      </c>
      <c r="X32" s="50" t="s">
        <v>144</v>
      </c>
      <c r="Y32" s="52">
        <v>40</v>
      </c>
      <c r="Z32" s="52">
        <f t="shared" si="4"/>
        <v>16</v>
      </c>
    </row>
    <row r="33" spans="1:26" x14ac:dyDescent="0.25">
      <c r="A33" s="71">
        <v>45353</v>
      </c>
      <c r="B33" s="72" t="s">
        <v>145</v>
      </c>
      <c r="C33" s="72" t="s">
        <v>8</v>
      </c>
      <c r="D33" s="72" t="s">
        <v>24</v>
      </c>
      <c r="E33" s="72" t="s">
        <v>82</v>
      </c>
      <c r="F33" s="72">
        <v>1</v>
      </c>
      <c r="G33" s="73">
        <f t="shared" si="9"/>
        <v>10</v>
      </c>
      <c r="H33" s="73">
        <f t="shared" si="0"/>
        <v>10</v>
      </c>
      <c r="I33" s="72" t="s">
        <v>78</v>
      </c>
      <c r="J33" s="74"/>
      <c r="L33" s="79" t="s">
        <v>18</v>
      </c>
      <c r="M33" s="80">
        <f t="shared" si="1"/>
        <v>16</v>
      </c>
      <c r="N33" s="80">
        <f t="shared" si="2"/>
        <v>16</v>
      </c>
      <c r="O33" s="81" t="s">
        <v>56</v>
      </c>
      <c r="R33" s="50" t="s">
        <v>33</v>
      </c>
      <c r="S33" s="52">
        <v>35</v>
      </c>
      <c r="T33" s="52">
        <f t="shared" si="8"/>
        <v>3.5</v>
      </c>
      <c r="X33" s="50" t="s">
        <v>146</v>
      </c>
      <c r="Y33" s="52">
        <v>39.043999999999997</v>
      </c>
      <c r="Z33" s="52">
        <f t="shared" si="4"/>
        <v>15.617599999999999</v>
      </c>
    </row>
    <row r="34" spans="1:26" x14ac:dyDescent="0.25">
      <c r="A34" s="71">
        <v>45353</v>
      </c>
      <c r="B34" s="72" t="s">
        <v>147</v>
      </c>
      <c r="C34" s="72" t="s">
        <v>8</v>
      </c>
      <c r="D34" s="72" t="s">
        <v>18</v>
      </c>
      <c r="E34" s="72" t="s">
        <v>82</v>
      </c>
      <c r="F34" s="72">
        <v>1</v>
      </c>
      <c r="G34" s="73">
        <f t="shared" si="9"/>
        <v>40</v>
      </c>
      <c r="H34" s="73">
        <f t="shared" si="0"/>
        <v>40</v>
      </c>
      <c r="I34" s="72" t="s">
        <v>78</v>
      </c>
      <c r="J34" s="74"/>
      <c r="L34" s="79" t="s">
        <v>15</v>
      </c>
      <c r="M34" s="80">
        <f t="shared" si="1"/>
        <v>28</v>
      </c>
      <c r="N34" s="80">
        <f t="shared" si="2"/>
        <v>28</v>
      </c>
      <c r="O34" s="81" t="s">
        <v>56</v>
      </c>
      <c r="R34" s="50" t="s">
        <v>26</v>
      </c>
      <c r="S34" s="52">
        <v>35</v>
      </c>
      <c r="T34" s="52">
        <f t="shared" si="8"/>
        <v>3.5</v>
      </c>
      <c r="X34" s="50" t="s">
        <v>148</v>
      </c>
      <c r="Y34" s="52">
        <v>38.003999999999998</v>
      </c>
      <c r="Z34" s="52">
        <f t="shared" si="4"/>
        <v>15.201599999999999</v>
      </c>
    </row>
    <row r="35" spans="1:26" x14ac:dyDescent="0.25">
      <c r="A35" s="71">
        <v>45353</v>
      </c>
      <c r="B35" s="72" t="s">
        <v>149</v>
      </c>
      <c r="C35" s="72" t="s">
        <v>8</v>
      </c>
      <c r="D35" s="72" t="s">
        <v>19</v>
      </c>
      <c r="E35" s="72" t="s">
        <v>82</v>
      </c>
      <c r="F35" s="72">
        <v>1</v>
      </c>
      <c r="G35" s="73">
        <f t="shared" si="9"/>
        <v>40</v>
      </c>
      <c r="H35" s="73">
        <f t="shared" si="0"/>
        <v>40</v>
      </c>
      <c r="I35" s="72" t="s">
        <v>78</v>
      </c>
      <c r="J35" s="74"/>
      <c r="L35" s="79" t="s">
        <v>18</v>
      </c>
      <c r="M35" s="80">
        <f t="shared" si="1"/>
        <v>16</v>
      </c>
      <c r="N35" s="80">
        <f t="shared" ref="N35:N64" si="10">M35*F35</f>
        <v>16</v>
      </c>
      <c r="O35" s="81" t="s">
        <v>56</v>
      </c>
      <c r="R35" s="50" t="s">
        <v>61</v>
      </c>
      <c r="S35" s="52">
        <v>35</v>
      </c>
      <c r="T35" s="52">
        <f t="shared" si="8"/>
        <v>3.5</v>
      </c>
      <c r="X35" s="50" t="s">
        <v>150</v>
      </c>
      <c r="Y35" s="52">
        <v>30</v>
      </c>
      <c r="Z35" s="52">
        <f t="shared" ref="Z35:Z66" si="11">Y35*0.4</f>
        <v>12</v>
      </c>
    </row>
    <row r="36" spans="1:26" x14ac:dyDescent="0.25">
      <c r="A36" s="71">
        <v>45353</v>
      </c>
      <c r="B36" s="72" t="s">
        <v>151</v>
      </c>
      <c r="C36" s="72" t="s">
        <v>8</v>
      </c>
      <c r="D36" s="72" t="s">
        <v>15</v>
      </c>
      <c r="E36" s="72" t="s">
        <v>82</v>
      </c>
      <c r="F36" s="72">
        <v>1</v>
      </c>
      <c r="G36" s="73">
        <f t="shared" si="9"/>
        <v>70</v>
      </c>
      <c r="H36" s="73">
        <f t="shared" si="0"/>
        <v>70</v>
      </c>
      <c r="I36" s="72" t="s">
        <v>86</v>
      </c>
      <c r="J36" s="74"/>
      <c r="L36" s="79" t="s">
        <v>13</v>
      </c>
      <c r="M36" s="80">
        <f t="shared" si="1"/>
        <v>12</v>
      </c>
      <c r="N36" s="80">
        <f t="shared" si="10"/>
        <v>12</v>
      </c>
      <c r="O36" s="81" t="s">
        <v>56</v>
      </c>
      <c r="R36" s="50" t="s">
        <v>152</v>
      </c>
      <c r="S36" s="52">
        <v>60</v>
      </c>
      <c r="T36" s="52">
        <f t="shared" si="8"/>
        <v>6</v>
      </c>
      <c r="X36" s="50" t="s">
        <v>153</v>
      </c>
      <c r="Y36" s="52">
        <v>30</v>
      </c>
      <c r="Z36" s="52">
        <f t="shared" si="11"/>
        <v>12</v>
      </c>
    </row>
    <row r="37" spans="1:26" x14ac:dyDescent="0.25">
      <c r="A37" s="71">
        <v>45353</v>
      </c>
      <c r="B37" s="72" t="s">
        <v>151</v>
      </c>
      <c r="C37" s="72" t="s">
        <v>8</v>
      </c>
      <c r="D37" s="72" t="s">
        <v>37</v>
      </c>
      <c r="E37" s="72" t="s">
        <v>82</v>
      </c>
      <c r="F37" s="72">
        <v>1</v>
      </c>
      <c r="G37" s="73">
        <f t="shared" si="9"/>
        <v>7</v>
      </c>
      <c r="H37" s="73">
        <f t="shared" si="0"/>
        <v>7</v>
      </c>
      <c r="I37" s="72" t="s">
        <v>86</v>
      </c>
      <c r="J37" s="74"/>
      <c r="L37" s="79" t="s">
        <v>18</v>
      </c>
      <c r="M37" s="80">
        <f t="shared" si="1"/>
        <v>16</v>
      </c>
      <c r="N37" s="80">
        <f t="shared" si="10"/>
        <v>16</v>
      </c>
      <c r="O37" s="81" t="s">
        <v>56</v>
      </c>
      <c r="R37" s="50" t="s">
        <v>47</v>
      </c>
      <c r="S37" s="52">
        <v>65</v>
      </c>
      <c r="T37" s="52">
        <f t="shared" si="8"/>
        <v>6.5</v>
      </c>
      <c r="X37" s="50" t="s">
        <v>154</v>
      </c>
      <c r="Y37" s="52">
        <v>29.283000000000001</v>
      </c>
      <c r="Z37" s="52">
        <f t="shared" si="11"/>
        <v>11.713200000000001</v>
      </c>
    </row>
    <row r="38" spans="1:26" x14ac:dyDescent="0.25">
      <c r="A38" s="71">
        <v>45353</v>
      </c>
      <c r="B38" s="72" t="s">
        <v>151</v>
      </c>
      <c r="C38" s="72" t="s">
        <v>8</v>
      </c>
      <c r="D38" s="72" t="s">
        <v>155</v>
      </c>
      <c r="E38" s="72" t="s">
        <v>82</v>
      </c>
      <c r="F38" s="72">
        <v>1</v>
      </c>
      <c r="G38" s="73">
        <f t="shared" si="9"/>
        <v>3.5</v>
      </c>
      <c r="H38" s="73">
        <f t="shared" si="0"/>
        <v>3.5</v>
      </c>
      <c r="I38" s="72" t="s">
        <v>86</v>
      </c>
      <c r="J38" s="74"/>
      <c r="L38" s="79" t="s">
        <v>64</v>
      </c>
      <c r="M38" s="80">
        <f t="shared" si="1"/>
        <v>3</v>
      </c>
      <c r="N38" s="80">
        <f t="shared" si="10"/>
        <v>3</v>
      </c>
      <c r="O38" s="81" t="s">
        <v>56</v>
      </c>
      <c r="R38" s="50" t="s">
        <v>57</v>
      </c>
      <c r="S38" s="52">
        <v>40</v>
      </c>
      <c r="T38" s="52">
        <f t="shared" si="8"/>
        <v>4</v>
      </c>
      <c r="X38" s="50" t="s">
        <v>156</v>
      </c>
      <c r="Y38" s="52">
        <v>28.503</v>
      </c>
      <c r="Z38" s="52">
        <f t="shared" si="11"/>
        <v>11.401200000000001</v>
      </c>
    </row>
    <row r="39" spans="1:26" x14ac:dyDescent="0.25">
      <c r="A39" s="71">
        <v>45356</v>
      </c>
      <c r="B39" s="72" t="s">
        <v>157</v>
      </c>
      <c r="C39" s="72" t="s">
        <v>8</v>
      </c>
      <c r="D39" s="72" t="s">
        <v>18</v>
      </c>
      <c r="E39" s="72" t="s">
        <v>82</v>
      </c>
      <c r="F39" s="72">
        <v>1</v>
      </c>
      <c r="G39" s="73">
        <f t="shared" si="9"/>
        <v>40</v>
      </c>
      <c r="H39" s="73">
        <f t="shared" si="0"/>
        <v>40</v>
      </c>
      <c r="I39" s="72" t="s">
        <v>83</v>
      </c>
      <c r="J39" s="74"/>
      <c r="L39" s="79" t="s">
        <v>15</v>
      </c>
      <c r="M39" s="80">
        <f t="shared" si="1"/>
        <v>28</v>
      </c>
      <c r="N39" s="80">
        <f t="shared" si="10"/>
        <v>28</v>
      </c>
      <c r="O39" s="81" t="s">
        <v>56</v>
      </c>
      <c r="R39" s="50" t="s">
        <v>59</v>
      </c>
      <c r="S39" s="52"/>
      <c r="T39" s="52">
        <f t="shared" si="8"/>
        <v>0</v>
      </c>
      <c r="X39" s="50" t="s">
        <v>158</v>
      </c>
      <c r="Y39" s="52">
        <v>60</v>
      </c>
      <c r="Z39" s="52">
        <f t="shared" si="11"/>
        <v>24</v>
      </c>
    </row>
    <row r="40" spans="1:26" x14ac:dyDescent="0.25">
      <c r="A40" s="71">
        <v>45356</v>
      </c>
      <c r="B40" s="72" t="s">
        <v>159</v>
      </c>
      <c r="C40" s="72" t="s">
        <v>8</v>
      </c>
      <c r="D40" s="72" t="s">
        <v>18</v>
      </c>
      <c r="E40" s="72" t="s">
        <v>82</v>
      </c>
      <c r="F40" s="72">
        <v>1</v>
      </c>
      <c r="G40" s="73">
        <f t="shared" si="9"/>
        <v>40</v>
      </c>
      <c r="H40" s="73">
        <f t="shared" si="0"/>
        <v>40</v>
      </c>
      <c r="I40" s="72" t="s">
        <v>83</v>
      </c>
      <c r="J40" s="74"/>
      <c r="L40" s="79" t="s">
        <v>18</v>
      </c>
      <c r="M40" s="80">
        <f t="shared" si="1"/>
        <v>16</v>
      </c>
      <c r="N40" s="80">
        <f t="shared" si="10"/>
        <v>16</v>
      </c>
      <c r="O40" s="81" t="s">
        <v>56</v>
      </c>
      <c r="R40" s="50" t="s">
        <v>160</v>
      </c>
      <c r="S40" s="52">
        <v>12</v>
      </c>
      <c r="T40" s="52">
        <f t="shared" si="8"/>
        <v>1.2000000000000002</v>
      </c>
      <c r="X40" s="50" t="s">
        <v>161</v>
      </c>
      <c r="Y40" s="52">
        <v>60</v>
      </c>
      <c r="Z40" s="52">
        <f t="shared" si="11"/>
        <v>24</v>
      </c>
    </row>
    <row r="41" spans="1:26" x14ac:dyDescent="0.25">
      <c r="A41" s="71">
        <v>45356</v>
      </c>
      <c r="B41" s="72" t="s">
        <v>159</v>
      </c>
      <c r="C41" s="72" t="s">
        <v>8</v>
      </c>
      <c r="D41" s="72" t="s">
        <v>48</v>
      </c>
      <c r="E41" s="72" t="s">
        <v>82</v>
      </c>
      <c r="F41" s="72">
        <v>1</v>
      </c>
      <c r="G41" s="73">
        <f t="shared" si="9"/>
        <v>10</v>
      </c>
      <c r="H41" s="73">
        <f t="shared" si="0"/>
        <v>10</v>
      </c>
      <c r="I41" s="72" t="s">
        <v>83</v>
      </c>
      <c r="J41" s="74"/>
      <c r="L41" s="79" t="s">
        <v>59</v>
      </c>
      <c r="M41" s="80">
        <v>1.2</v>
      </c>
      <c r="N41" s="80">
        <f t="shared" si="10"/>
        <v>1.2</v>
      </c>
      <c r="O41" s="81" t="s">
        <v>56</v>
      </c>
      <c r="R41" s="50" t="s">
        <v>162</v>
      </c>
      <c r="S41" s="52">
        <v>8</v>
      </c>
      <c r="T41" s="52">
        <f t="shared" si="8"/>
        <v>0.8</v>
      </c>
      <c r="X41" s="50" t="s">
        <v>163</v>
      </c>
      <c r="Y41" s="52">
        <v>58.566000000000003</v>
      </c>
      <c r="Z41" s="52">
        <f t="shared" si="11"/>
        <v>23.426400000000001</v>
      </c>
    </row>
    <row r="42" spans="1:26" x14ac:dyDescent="0.25">
      <c r="A42" s="71">
        <v>45356</v>
      </c>
      <c r="B42" s="72" t="s">
        <v>164</v>
      </c>
      <c r="C42" s="72" t="s">
        <v>8</v>
      </c>
      <c r="D42" s="72" t="s">
        <v>18</v>
      </c>
      <c r="E42" s="72" t="s">
        <v>82</v>
      </c>
      <c r="F42" s="72">
        <v>1</v>
      </c>
      <c r="G42" s="73">
        <f t="shared" si="9"/>
        <v>40</v>
      </c>
      <c r="H42" s="73">
        <f t="shared" si="0"/>
        <v>40</v>
      </c>
      <c r="I42" s="72" t="s">
        <v>78</v>
      </c>
      <c r="J42" s="74"/>
      <c r="L42" s="79" t="s">
        <v>18</v>
      </c>
      <c r="M42" s="80">
        <f t="shared" ref="M42:M64" si="12">VLOOKUP(L42,$R$3:$T$54,3,0)</f>
        <v>16</v>
      </c>
      <c r="N42" s="80">
        <f t="shared" si="10"/>
        <v>16</v>
      </c>
      <c r="O42" s="81" t="s">
        <v>56</v>
      </c>
      <c r="R42" s="50" t="s">
        <v>41</v>
      </c>
      <c r="S42" s="52">
        <v>7</v>
      </c>
      <c r="T42" s="52">
        <f t="shared" si="8"/>
        <v>0.70000000000000007</v>
      </c>
      <c r="X42" s="50" t="s">
        <v>165</v>
      </c>
      <c r="Y42" s="52">
        <v>57.006</v>
      </c>
      <c r="Z42" s="52">
        <f t="shared" si="11"/>
        <v>22.802400000000002</v>
      </c>
    </row>
    <row r="43" spans="1:26" x14ac:dyDescent="0.25">
      <c r="A43" s="71">
        <v>45356</v>
      </c>
      <c r="B43" s="72" t="s">
        <v>166</v>
      </c>
      <c r="C43" s="72" t="s">
        <v>8</v>
      </c>
      <c r="D43" s="72" t="s">
        <v>17</v>
      </c>
      <c r="E43" s="72" t="s">
        <v>82</v>
      </c>
      <c r="F43" s="72">
        <v>1</v>
      </c>
      <c r="G43" s="73">
        <f t="shared" si="9"/>
        <v>50</v>
      </c>
      <c r="H43" s="73">
        <f t="shared" si="0"/>
        <v>50</v>
      </c>
      <c r="I43" s="72" t="s">
        <v>78</v>
      </c>
      <c r="J43" s="74"/>
      <c r="L43" s="79" t="s">
        <v>16</v>
      </c>
      <c r="M43" s="80">
        <f t="shared" si="12"/>
        <v>32</v>
      </c>
      <c r="N43" s="80">
        <f t="shared" si="10"/>
        <v>32</v>
      </c>
      <c r="O43" s="81" t="s">
        <v>56</v>
      </c>
      <c r="R43" s="50" t="s">
        <v>38</v>
      </c>
      <c r="S43" s="52">
        <v>6</v>
      </c>
      <c r="T43" s="52">
        <f t="shared" si="8"/>
        <v>0.60000000000000009</v>
      </c>
      <c r="X43" s="50" t="s">
        <v>167</v>
      </c>
      <c r="Y43" s="52">
        <v>15</v>
      </c>
      <c r="Z43" s="52">
        <f t="shared" si="11"/>
        <v>6</v>
      </c>
    </row>
    <row r="44" spans="1:26" x14ac:dyDescent="0.25">
      <c r="A44" s="71">
        <v>45356</v>
      </c>
      <c r="B44" s="72" t="s">
        <v>168</v>
      </c>
      <c r="C44" s="72" t="s">
        <v>8</v>
      </c>
      <c r="D44" s="72" t="s">
        <v>18</v>
      </c>
      <c r="E44" s="72" t="s">
        <v>82</v>
      </c>
      <c r="F44" s="72">
        <v>1</v>
      </c>
      <c r="G44" s="73">
        <f t="shared" si="9"/>
        <v>40</v>
      </c>
      <c r="H44" s="73">
        <f t="shared" si="0"/>
        <v>40</v>
      </c>
      <c r="I44" s="72" t="s">
        <v>78</v>
      </c>
      <c r="J44" s="74"/>
      <c r="L44" s="79" t="s">
        <v>15</v>
      </c>
      <c r="M44" s="80">
        <f t="shared" si="12"/>
        <v>28</v>
      </c>
      <c r="N44" s="80">
        <f t="shared" si="10"/>
        <v>28</v>
      </c>
      <c r="O44" s="81" t="s">
        <v>56</v>
      </c>
      <c r="R44" s="50" t="s">
        <v>29</v>
      </c>
      <c r="S44" s="52">
        <v>7</v>
      </c>
      <c r="T44" s="52">
        <f t="shared" si="8"/>
        <v>0.70000000000000007</v>
      </c>
      <c r="X44" s="50" t="s">
        <v>169</v>
      </c>
      <c r="Y44" s="52">
        <v>15</v>
      </c>
      <c r="Z44" s="52">
        <f t="shared" si="11"/>
        <v>6</v>
      </c>
    </row>
    <row r="45" spans="1:26" x14ac:dyDescent="0.25">
      <c r="A45" s="71">
        <v>45356</v>
      </c>
      <c r="B45" s="72" t="s">
        <v>168</v>
      </c>
      <c r="C45" s="72" t="s">
        <v>8</v>
      </c>
      <c r="D45" s="72" t="s">
        <v>23</v>
      </c>
      <c r="E45" s="72" t="s">
        <v>82</v>
      </c>
      <c r="F45" s="72">
        <v>1</v>
      </c>
      <c r="G45" s="73">
        <f t="shared" si="9"/>
        <v>5</v>
      </c>
      <c r="H45" s="73">
        <f t="shared" si="0"/>
        <v>5</v>
      </c>
      <c r="I45" s="72" t="s">
        <v>78</v>
      </c>
      <c r="J45" s="74"/>
      <c r="L45" s="79" t="s">
        <v>20</v>
      </c>
      <c r="M45" s="80">
        <f t="shared" si="12"/>
        <v>6</v>
      </c>
      <c r="N45" s="80">
        <f t="shared" si="10"/>
        <v>6</v>
      </c>
      <c r="O45" s="81" t="s">
        <v>56</v>
      </c>
      <c r="R45" s="50" t="s">
        <v>170</v>
      </c>
      <c r="S45" s="52">
        <v>5</v>
      </c>
      <c r="T45" s="52">
        <f t="shared" si="8"/>
        <v>0.5</v>
      </c>
      <c r="X45" s="50" t="s">
        <v>171</v>
      </c>
      <c r="Y45" s="52">
        <v>14.641500000000001</v>
      </c>
      <c r="Z45" s="52">
        <f t="shared" si="11"/>
        <v>5.8566000000000003</v>
      </c>
    </row>
    <row r="46" spans="1:26" x14ac:dyDescent="0.25">
      <c r="A46" s="71">
        <v>45357</v>
      </c>
      <c r="B46" s="72" t="s">
        <v>172</v>
      </c>
      <c r="C46" s="72" t="s">
        <v>8</v>
      </c>
      <c r="D46" s="72" t="s">
        <v>15</v>
      </c>
      <c r="E46" s="72" t="s">
        <v>56</v>
      </c>
      <c r="F46" s="72">
        <v>1</v>
      </c>
      <c r="G46" s="73">
        <f>VLOOKUP(D46,$R$3:$S$36,2,0)</f>
        <v>70</v>
      </c>
      <c r="H46" s="73">
        <f t="shared" si="0"/>
        <v>70</v>
      </c>
      <c r="I46" s="72" t="s">
        <v>79</v>
      </c>
      <c r="J46" s="74"/>
      <c r="L46" s="79" t="s">
        <v>45</v>
      </c>
      <c r="M46" s="80">
        <f t="shared" si="12"/>
        <v>0.35000000000000003</v>
      </c>
      <c r="N46" s="80">
        <f t="shared" si="10"/>
        <v>0.35000000000000003</v>
      </c>
      <c r="O46" s="81" t="s">
        <v>56</v>
      </c>
      <c r="R46" s="50" t="s">
        <v>48</v>
      </c>
      <c r="S46" s="52">
        <v>10</v>
      </c>
      <c r="T46" s="52">
        <f t="shared" si="8"/>
        <v>1</v>
      </c>
      <c r="X46" s="50" t="s">
        <v>173</v>
      </c>
      <c r="Y46" s="52">
        <v>14.2515</v>
      </c>
      <c r="Z46" s="52">
        <f t="shared" si="11"/>
        <v>5.7006000000000006</v>
      </c>
    </row>
    <row r="47" spans="1:26" x14ac:dyDescent="0.25">
      <c r="A47" s="71">
        <v>45357</v>
      </c>
      <c r="B47" s="72" t="s">
        <v>174</v>
      </c>
      <c r="C47" s="72" t="s">
        <v>8</v>
      </c>
      <c r="D47" s="72" t="s">
        <v>175</v>
      </c>
      <c r="E47" s="72" t="s">
        <v>56</v>
      </c>
      <c r="F47" s="72">
        <v>1</v>
      </c>
      <c r="G47" s="73">
        <f>VLOOKUP(D47,$R$3:$S$36,2,0)</f>
        <v>40</v>
      </c>
      <c r="H47" s="73">
        <f t="shared" si="0"/>
        <v>40</v>
      </c>
      <c r="I47" s="72" t="s">
        <v>78</v>
      </c>
      <c r="J47" s="74"/>
      <c r="L47" s="79" t="s">
        <v>18</v>
      </c>
      <c r="M47" s="80">
        <f t="shared" si="12"/>
        <v>16</v>
      </c>
      <c r="N47" s="80">
        <f t="shared" si="10"/>
        <v>16</v>
      </c>
      <c r="O47" s="81" t="s">
        <v>56</v>
      </c>
      <c r="R47" s="50" t="s">
        <v>44</v>
      </c>
      <c r="S47" s="52">
        <v>5</v>
      </c>
      <c r="T47" s="52">
        <f t="shared" si="8"/>
        <v>0.5</v>
      </c>
      <c r="X47" s="50" t="s">
        <v>176</v>
      </c>
      <c r="Y47" s="52">
        <v>70</v>
      </c>
      <c r="Z47" s="52">
        <f t="shared" si="11"/>
        <v>28</v>
      </c>
    </row>
    <row r="48" spans="1:26" x14ac:dyDescent="0.25">
      <c r="A48" s="71">
        <v>45357</v>
      </c>
      <c r="B48" s="72" t="s">
        <v>109</v>
      </c>
      <c r="C48" s="72" t="s">
        <v>8</v>
      </c>
      <c r="D48" s="72" t="s">
        <v>17</v>
      </c>
      <c r="E48" s="72" t="s">
        <v>82</v>
      </c>
      <c r="F48" s="72">
        <v>1</v>
      </c>
      <c r="G48" s="73">
        <f t="shared" ref="G48:G54" si="13">VLOOKUP(D48,$R$3:$S$114,2,0)</f>
        <v>50</v>
      </c>
      <c r="H48" s="73">
        <f t="shared" si="0"/>
        <v>50</v>
      </c>
      <c r="I48" s="72" t="s">
        <v>79</v>
      </c>
      <c r="J48" s="74"/>
      <c r="L48" s="79" t="s">
        <v>18</v>
      </c>
      <c r="M48" s="80">
        <f t="shared" si="12"/>
        <v>16</v>
      </c>
      <c r="N48" s="80">
        <f t="shared" si="10"/>
        <v>16</v>
      </c>
      <c r="O48" s="81" t="s">
        <v>56</v>
      </c>
      <c r="R48" s="50" t="s">
        <v>37</v>
      </c>
      <c r="S48" s="52">
        <v>7</v>
      </c>
      <c r="T48" s="52">
        <f t="shared" si="8"/>
        <v>0.70000000000000007</v>
      </c>
      <c r="X48" s="50" t="s">
        <v>177</v>
      </c>
      <c r="Y48" s="52">
        <v>70</v>
      </c>
      <c r="Z48" s="52">
        <f t="shared" si="11"/>
        <v>28</v>
      </c>
    </row>
    <row r="49" spans="1:26" x14ac:dyDescent="0.25">
      <c r="A49" s="71">
        <v>45357</v>
      </c>
      <c r="B49" s="72" t="s">
        <v>178</v>
      </c>
      <c r="C49" s="72" t="s">
        <v>8</v>
      </c>
      <c r="D49" s="72" t="s">
        <v>17</v>
      </c>
      <c r="E49" s="72" t="s">
        <v>82</v>
      </c>
      <c r="F49" s="72">
        <v>1</v>
      </c>
      <c r="G49" s="73">
        <f t="shared" si="13"/>
        <v>50</v>
      </c>
      <c r="H49" s="73">
        <f t="shared" si="0"/>
        <v>50</v>
      </c>
      <c r="I49" s="72" t="s">
        <v>78</v>
      </c>
      <c r="J49" s="74"/>
      <c r="L49" s="79" t="s">
        <v>24</v>
      </c>
      <c r="M49" s="80">
        <f t="shared" si="12"/>
        <v>4</v>
      </c>
      <c r="N49" s="80">
        <f t="shared" si="10"/>
        <v>4</v>
      </c>
      <c r="O49" s="81" t="s">
        <v>56</v>
      </c>
      <c r="R49" s="50" t="s">
        <v>179</v>
      </c>
      <c r="S49" s="52">
        <v>3.5</v>
      </c>
      <c r="T49" s="52">
        <f t="shared" si="8"/>
        <v>0.35000000000000003</v>
      </c>
      <c r="X49" s="50" t="s">
        <v>180</v>
      </c>
      <c r="Y49" s="52">
        <v>68.326999999999998</v>
      </c>
      <c r="Z49" s="52">
        <f t="shared" si="11"/>
        <v>27.3308</v>
      </c>
    </row>
    <row r="50" spans="1:26" x14ac:dyDescent="0.25">
      <c r="A50" s="71">
        <v>45357</v>
      </c>
      <c r="B50" s="72" t="s">
        <v>178</v>
      </c>
      <c r="C50" s="72" t="s">
        <v>8</v>
      </c>
      <c r="D50" s="72" t="s">
        <v>23</v>
      </c>
      <c r="E50" s="72" t="s">
        <v>82</v>
      </c>
      <c r="F50" s="72">
        <v>1</v>
      </c>
      <c r="G50" s="73">
        <f t="shared" si="13"/>
        <v>5</v>
      </c>
      <c r="H50" s="73">
        <f t="shared" si="0"/>
        <v>5</v>
      </c>
      <c r="I50" s="72" t="s">
        <v>78</v>
      </c>
      <c r="J50" s="74"/>
      <c r="L50" s="79" t="s">
        <v>23</v>
      </c>
      <c r="M50" s="80">
        <f t="shared" si="12"/>
        <v>2</v>
      </c>
      <c r="N50" s="80">
        <f t="shared" si="10"/>
        <v>2</v>
      </c>
      <c r="O50" s="81" t="s">
        <v>56</v>
      </c>
      <c r="R50" s="50" t="s">
        <v>46</v>
      </c>
      <c r="S50" s="52">
        <v>5</v>
      </c>
      <c r="T50" s="52">
        <f t="shared" si="8"/>
        <v>0.5</v>
      </c>
      <c r="X50" s="50" t="s">
        <v>181</v>
      </c>
      <c r="Y50" s="52">
        <v>66.507000000000005</v>
      </c>
      <c r="Z50" s="52">
        <f t="shared" si="11"/>
        <v>26.602800000000002</v>
      </c>
    </row>
    <row r="51" spans="1:26" x14ac:dyDescent="0.25">
      <c r="A51" s="71">
        <v>45357</v>
      </c>
      <c r="B51" s="72" t="s">
        <v>182</v>
      </c>
      <c r="C51" s="72" t="s">
        <v>8</v>
      </c>
      <c r="D51" s="72" t="s">
        <v>18</v>
      </c>
      <c r="E51" s="72" t="s">
        <v>82</v>
      </c>
      <c r="F51" s="72">
        <v>1</v>
      </c>
      <c r="G51" s="73">
        <f t="shared" si="13"/>
        <v>40</v>
      </c>
      <c r="H51" s="73">
        <f t="shared" si="0"/>
        <v>40</v>
      </c>
      <c r="I51" s="72" t="s">
        <v>83</v>
      </c>
      <c r="J51" s="74"/>
      <c r="L51" s="79" t="s">
        <v>38</v>
      </c>
      <c r="M51" s="80">
        <f t="shared" si="12"/>
        <v>0.60000000000000009</v>
      </c>
      <c r="N51" s="80">
        <f t="shared" si="10"/>
        <v>0.60000000000000009</v>
      </c>
      <c r="O51" s="81" t="s">
        <v>56</v>
      </c>
      <c r="R51" s="50" t="s">
        <v>183</v>
      </c>
      <c r="S51" s="52">
        <v>7</v>
      </c>
      <c r="T51" s="52">
        <f t="shared" si="8"/>
        <v>0.70000000000000007</v>
      </c>
      <c r="X51" s="50" t="s">
        <v>184</v>
      </c>
      <c r="Y51" s="52">
        <v>75</v>
      </c>
      <c r="Z51" s="52">
        <f t="shared" si="11"/>
        <v>30</v>
      </c>
    </row>
    <row r="52" spans="1:26" x14ac:dyDescent="0.25">
      <c r="A52" s="71">
        <v>45357</v>
      </c>
      <c r="B52" s="72" t="s">
        <v>185</v>
      </c>
      <c r="C52" s="72" t="s">
        <v>8</v>
      </c>
      <c r="D52" s="72" t="s">
        <v>15</v>
      </c>
      <c r="E52" s="72" t="s">
        <v>82</v>
      </c>
      <c r="F52" s="72">
        <v>1</v>
      </c>
      <c r="G52" s="73">
        <f t="shared" si="13"/>
        <v>70</v>
      </c>
      <c r="H52" s="73">
        <f t="shared" si="0"/>
        <v>70</v>
      </c>
      <c r="I52" s="72" t="s">
        <v>83</v>
      </c>
      <c r="J52" s="74"/>
      <c r="L52" s="79" t="s">
        <v>18</v>
      </c>
      <c r="M52" s="80">
        <f t="shared" si="12"/>
        <v>16</v>
      </c>
      <c r="N52" s="80">
        <f t="shared" si="10"/>
        <v>16</v>
      </c>
      <c r="O52" s="81" t="s">
        <v>56</v>
      </c>
      <c r="R52" s="50" t="s">
        <v>35</v>
      </c>
      <c r="S52" s="52">
        <v>7</v>
      </c>
      <c r="T52" s="52">
        <f t="shared" si="8"/>
        <v>0.70000000000000007</v>
      </c>
      <c r="X52" s="50" t="s">
        <v>186</v>
      </c>
      <c r="Y52" s="52">
        <v>75</v>
      </c>
      <c r="Z52" s="52">
        <f t="shared" si="11"/>
        <v>30</v>
      </c>
    </row>
    <row r="53" spans="1:26" x14ac:dyDescent="0.25">
      <c r="A53" s="71">
        <v>45357</v>
      </c>
      <c r="B53" s="72" t="s">
        <v>185</v>
      </c>
      <c r="C53" s="72" t="s">
        <v>8</v>
      </c>
      <c r="D53" s="72" t="s">
        <v>143</v>
      </c>
      <c r="E53" s="72" t="s">
        <v>82</v>
      </c>
      <c r="F53" s="72">
        <v>1</v>
      </c>
      <c r="G53" s="73">
        <f t="shared" si="13"/>
        <v>35</v>
      </c>
      <c r="H53" s="73">
        <f t="shared" si="0"/>
        <v>35</v>
      </c>
      <c r="I53" s="72" t="s">
        <v>83</v>
      </c>
      <c r="J53" s="74"/>
      <c r="L53" s="79" t="s">
        <v>13</v>
      </c>
      <c r="M53" s="80">
        <f t="shared" si="12"/>
        <v>12</v>
      </c>
      <c r="N53" s="80">
        <f t="shared" si="10"/>
        <v>12</v>
      </c>
      <c r="O53" s="81" t="s">
        <v>56</v>
      </c>
      <c r="R53" s="50" t="s">
        <v>155</v>
      </c>
      <c r="S53" s="52">
        <v>3.5</v>
      </c>
      <c r="T53" s="52">
        <f t="shared" si="8"/>
        <v>0.35000000000000003</v>
      </c>
      <c r="X53" s="50" t="s">
        <v>187</v>
      </c>
      <c r="Y53" s="52">
        <v>73.207499999999996</v>
      </c>
      <c r="Z53" s="52">
        <f t="shared" si="11"/>
        <v>29.283000000000001</v>
      </c>
    </row>
    <row r="54" spans="1:26" x14ac:dyDescent="0.25">
      <c r="A54" s="71">
        <v>45357</v>
      </c>
      <c r="B54" s="72" t="s">
        <v>185</v>
      </c>
      <c r="C54" s="72" t="s">
        <v>8</v>
      </c>
      <c r="D54" s="72" t="s">
        <v>26</v>
      </c>
      <c r="E54" s="72" t="s">
        <v>82</v>
      </c>
      <c r="F54" s="72">
        <v>1</v>
      </c>
      <c r="G54" s="73">
        <f t="shared" si="13"/>
        <v>35</v>
      </c>
      <c r="H54" s="73">
        <f t="shared" si="0"/>
        <v>35</v>
      </c>
      <c r="I54" s="72" t="s">
        <v>83</v>
      </c>
      <c r="J54" s="74"/>
      <c r="L54" s="79" t="s">
        <v>61</v>
      </c>
      <c r="M54" s="80">
        <f t="shared" si="12"/>
        <v>3.5</v>
      </c>
      <c r="N54" s="80">
        <f t="shared" si="10"/>
        <v>3.5</v>
      </c>
      <c r="O54" s="81" t="s">
        <v>56</v>
      </c>
      <c r="R54" s="50" t="s">
        <v>45</v>
      </c>
      <c r="S54" s="52">
        <v>3.5</v>
      </c>
      <c r="T54" s="52">
        <f t="shared" si="8"/>
        <v>0.35000000000000003</v>
      </c>
      <c r="X54" s="50" t="s">
        <v>188</v>
      </c>
      <c r="Y54" s="52">
        <v>71.257499999999993</v>
      </c>
      <c r="Z54" s="52">
        <f t="shared" si="11"/>
        <v>28.503</v>
      </c>
    </row>
    <row r="55" spans="1:26" x14ac:dyDescent="0.25">
      <c r="A55" s="71">
        <v>45358</v>
      </c>
      <c r="B55" s="72" t="s">
        <v>189</v>
      </c>
      <c r="C55" s="72" t="s">
        <v>9</v>
      </c>
      <c r="D55" s="72" t="s">
        <v>15</v>
      </c>
      <c r="E55" s="72" t="s">
        <v>56</v>
      </c>
      <c r="F55" s="72">
        <v>1</v>
      </c>
      <c r="G55" s="73">
        <f>VLOOKUP(D55,$R$3:$S$36,2,0)</f>
        <v>70</v>
      </c>
      <c r="H55" s="73">
        <f t="shared" si="0"/>
        <v>70</v>
      </c>
      <c r="I55" s="72" t="s">
        <v>78</v>
      </c>
      <c r="J55" s="74"/>
      <c r="L55" s="79" t="s">
        <v>13</v>
      </c>
      <c r="M55" s="80">
        <f t="shared" si="12"/>
        <v>12</v>
      </c>
      <c r="N55" s="80">
        <f t="shared" si="10"/>
        <v>12</v>
      </c>
      <c r="O55" s="81" t="s">
        <v>56</v>
      </c>
      <c r="X55" s="50" t="s">
        <v>190</v>
      </c>
      <c r="Y55" s="52">
        <v>55</v>
      </c>
      <c r="Z55" s="52">
        <f t="shared" si="11"/>
        <v>22</v>
      </c>
    </row>
    <row r="56" spans="1:26" x14ac:dyDescent="0.25">
      <c r="A56" s="71">
        <v>45358</v>
      </c>
      <c r="B56" s="72" t="s">
        <v>191</v>
      </c>
      <c r="C56" s="72" t="s">
        <v>8</v>
      </c>
      <c r="D56" s="72" t="s">
        <v>18</v>
      </c>
      <c r="E56" s="72" t="s">
        <v>82</v>
      </c>
      <c r="F56" s="72">
        <v>2</v>
      </c>
      <c r="G56" s="73">
        <f t="shared" ref="G56:G63" si="14">VLOOKUP(D56,$R$3:$S$114,2,0)</f>
        <v>40</v>
      </c>
      <c r="H56" s="73">
        <f t="shared" si="0"/>
        <v>80</v>
      </c>
      <c r="I56" s="72" t="s">
        <v>79</v>
      </c>
      <c r="J56" s="74"/>
      <c r="L56" s="79" t="s">
        <v>26</v>
      </c>
      <c r="M56" s="80">
        <f t="shared" si="12"/>
        <v>3.5</v>
      </c>
      <c r="N56" s="80">
        <f t="shared" si="10"/>
        <v>7</v>
      </c>
      <c r="O56" s="81" t="s">
        <v>56</v>
      </c>
      <c r="X56" s="50" t="s">
        <v>192</v>
      </c>
      <c r="Y56" s="52">
        <v>55</v>
      </c>
      <c r="Z56" s="52">
        <f t="shared" si="11"/>
        <v>22</v>
      </c>
    </row>
    <row r="57" spans="1:26" x14ac:dyDescent="0.25">
      <c r="A57" s="71">
        <v>45358</v>
      </c>
      <c r="B57" s="72" t="s">
        <v>191</v>
      </c>
      <c r="C57" s="72" t="s">
        <v>8</v>
      </c>
      <c r="D57" s="72" t="s">
        <v>23</v>
      </c>
      <c r="E57" s="72" t="s">
        <v>82</v>
      </c>
      <c r="F57" s="72">
        <v>1</v>
      </c>
      <c r="G57" s="73">
        <f t="shared" si="14"/>
        <v>5</v>
      </c>
      <c r="H57" s="73">
        <f t="shared" si="0"/>
        <v>5</v>
      </c>
      <c r="I57" s="72" t="s">
        <v>79</v>
      </c>
      <c r="J57" s="74"/>
      <c r="L57" s="79" t="s">
        <v>16</v>
      </c>
      <c r="M57" s="80">
        <f t="shared" si="12"/>
        <v>32</v>
      </c>
      <c r="N57" s="80">
        <f t="shared" si="10"/>
        <v>32</v>
      </c>
      <c r="O57" s="81" t="s">
        <v>56</v>
      </c>
      <c r="X57" s="50" t="s">
        <v>193</v>
      </c>
      <c r="Y57" s="52">
        <v>53.685499999999998</v>
      </c>
      <c r="Z57" s="52">
        <f t="shared" si="11"/>
        <v>21.4742</v>
      </c>
    </row>
    <row r="58" spans="1:26" x14ac:dyDescent="0.25">
      <c r="A58" s="71">
        <v>45358</v>
      </c>
      <c r="B58" s="72" t="s">
        <v>194</v>
      </c>
      <c r="C58" s="72" t="s">
        <v>8</v>
      </c>
      <c r="D58" s="72" t="s">
        <v>17</v>
      </c>
      <c r="E58" s="72" t="s">
        <v>82</v>
      </c>
      <c r="F58" s="72">
        <v>1</v>
      </c>
      <c r="G58" s="73">
        <f t="shared" si="14"/>
        <v>50</v>
      </c>
      <c r="H58" s="73">
        <f t="shared" si="0"/>
        <v>50</v>
      </c>
      <c r="I58" s="72" t="s">
        <v>83</v>
      </c>
      <c r="J58" s="74"/>
      <c r="L58" s="79" t="s">
        <v>18</v>
      </c>
      <c r="M58" s="80">
        <f t="shared" si="12"/>
        <v>16</v>
      </c>
      <c r="N58" s="80">
        <f t="shared" si="10"/>
        <v>16</v>
      </c>
      <c r="O58" s="81" t="s">
        <v>56</v>
      </c>
      <c r="X58" s="50" t="s">
        <v>195</v>
      </c>
      <c r="Y58" s="52">
        <v>52.255499999999998</v>
      </c>
      <c r="Z58" s="52">
        <f t="shared" si="11"/>
        <v>20.902200000000001</v>
      </c>
    </row>
    <row r="59" spans="1:26" x14ac:dyDescent="0.25">
      <c r="A59" s="71">
        <v>45358</v>
      </c>
      <c r="B59" s="72" t="s">
        <v>196</v>
      </c>
      <c r="C59" s="72" t="s">
        <v>8</v>
      </c>
      <c r="D59" s="72" t="s">
        <v>18</v>
      </c>
      <c r="E59" s="72" t="s">
        <v>82</v>
      </c>
      <c r="F59" s="72">
        <v>1</v>
      </c>
      <c r="G59" s="73">
        <f t="shared" si="14"/>
        <v>40</v>
      </c>
      <c r="H59" s="73">
        <f t="shared" si="0"/>
        <v>40</v>
      </c>
      <c r="I59" s="72" t="s">
        <v>83</v>
      </c>
      <c r="J59" s="74"/>
      <c r="L59" s="79" t="s">
        <v>13</v>
      </c>
      <c r="M59" s="80">
        <f t="shared" si="12"/>
        <v>12</v>
      </c>
      <c r="N59" s="80">
        <f t="shared" si="10"/>
        <v>12</v>
      </c>
      <c r="O59" s="81" t="s">
        <v>56</v>
      </c>
      <c r="X59" s="50" t="s">
        <v>197</v>
      </c>
      <c r="Y59" s="52">
        <v>100</v>
      </c>
      <c r="Z59" s="52">
        <f t="shared" si="11"/>
        <v>40</v>
      </c>
    </row>
    <row r="60" spans="1:26" x14ac:dyDescent="0.25">
      <c r="A60" s="71">
        <v>45358</v>
      </c>
      <c r="B60" s="72" t="s">
        <v>198</v>
      </c>
      <c r="C60" s="72" t="s">
        <v>8</v>
      </c>
      <c r="D60" s="72" t="s">
        <v>15</v>
      </c>
      <c r="E60" s="72" t="s">
        <v>82</v>
      </c>
      <c r="F60" s="72">
        <v>1</v>
      </c>
      <c r="G60" s="73">
        <f t="shared" si="14"/>
        <v>70</v>
      </c>
      <c r="H60" s="73">
        <f t="shared" si="0"/>
        <v>70</v>
      </c>
      <c r="I60" s="72" t="s">
        <v>83</v>
      </c>
      <c r="J60" s="74"/>
      <c r="L60" s="79" t="s">
        <v>33</v>
      </c>
      <c r="M60" s="80">
        <f t="shared" si="12"/>
        <v>3.5</v>
      </c>
      <c r="N60" s="80">
        <f t="shared" si="10"/>
        <v>3.5</v>
      </c>
      <c r="O60" s="81" t="s">
        <v>56</v>
      </c>
      <c r="X60" s="50" t="s">
        <v>199</v>
      </c>
      <c r="Y60" s="52">
        <v>100</v>
      </c>
      <c r="Z60" s="52">
        <f t="shared" si="11"/>
        <v>40</v>
      </c>
    </row>
    <row r="61" spans="1:26" x14ac:dyDescent="0.25">
      <c r="A61" s="71">
        <v>45358</v>
      </c>
      <c r="B61" s="72" t="s">
        <v>200</v>
      </c>
      <c r="C61" s="72" t="s">
        <v>8</v>
      </c>
      <c r="D61" s="72" t="s">
        <v>18</v>
      </c>
      <c r="E61" s="72" t="s">
        <v>82</v>
      </c>
      <c r="F61" s="72">
        <v>1</v>
      </c>
      <c r="G61" s="73">
        <f t="shared" si="14"/>
        <v>40</v>
      </c>
      <c r="H61" s="73">
        <f t="shared" si="0"/>
        <v>40</v>
      </c>
      <c r="I61" s="72" t="s">
        <v>78</v>
      </c>
      <c r="J61" s="74"/>
      <c r="L61" s="79" t="s">
        <v>18</v>
      </c>
      <c r="M61" s="80">
        <f t="shared" si="12"/>
        <v>16</v>
      </c>
      <c r="N61" s="80">
        <f t="shared" si="10"/>
        <v>16</v>
      </c>
      <c r="O61" s="81" t="s">
        <v>56</v>
      </c>
      <c r="X61" s="50" t="s">
        <v>201</v>
      </c>
      <c r="Y61" s="52">
        <v>97.61</v>
      </c>
      <c r="Z61" s="52">
        <f t="shared" si="11"/>
        <v>39.044000000000004</v>
      </c>
    </row>
    <row r="62" spans="1:26" x14ac:dyDescent="0.25">
      <c r="A62" s="71">
        <v>45358</v>
      </c>
      <c r="B62" s="72" t="s">
        <v>202</v>
      </c>
      <c r="C62" s="72" t="s">
        <v>8</v>
      </c>
      <c r="D62" s="72" t="s">
        <v>15</v>
      </c>
      <c r="E62" s="72" t="s">
        <v>82</v>
      </c>
      <c r="F62" s="72">
        <v>1</v>
      </c>
      <c r="G62" s="73">
        <f t="shared" si="14"/>
        <v>70</v>
      </c>
      <c r="H62" s="73">
        <f t="shared" si="0"/>
        <v>70</v>
      </c>
      <c r="I62" s="72" t="s">
        <v>86</v>
      </c>
      <c r="J62" s="74"/>
      <c r="L62" s="79" t="s">
        <v>23</v>
      </c>
      <c r="M62" s="80">
        <f t="shared" si="12"/>
        <v>2</v>
      </c>
      <c r="N62" s="80">
        <f t="shared" si="10"/>
        <v>2</v>
      </c>
      <c r="O62" s="81" t="s">
        <v>56</v>
      </c>
      <c r="X62" s="50" t="s">
        <v>203</v>
      </c>
      <c r="Y62" s="52">
        <v>95.01</v>
      </c>
      <c r="Z62" s="52">
        <f t="shared" si="11"/>
        <v>38.004000000000005</v>
      </c>
    </row>
    <row r="63" spans="1:26" x14ac:dyDescent="0.25">
      <c r="A63" s="71">
        <v>45358</v>
      </c>
      <c r="B63" s="72" t="s">
        <v>204</v>
      </c>
      <c r="C63" s="72" t="s">
        <v>8</v>
      </c>
      <c r="D63" s="72" t="s">
        <v>47</v>
      </c>
      <c r="E63" s="72" t="s">
        <v>82</v>
      </c>
      <c r="F63" s="72">
        <v>1</v>
      </c>
      <c r="G63" s="73">
        <f t="shared" si="14"/>
        <v>65</v>
      </c>
      <c r="H63" s="73">
        <f t="shared" si="0"/>
        <v>65</v>
      </c>
      <c r="I63" s="72" t="s">
        <v>86</v>
      </c>
      <c r="J63" s="74"/>
      <c r="L63" s="79" t="s">
        <v>18</v>
      </c>
      <c r="M63" s="80">
        <f t="shared" si="12"/>
        <v>16</v>
      </c>
      <c r="N63" s="80">
        <f t="shared" si="10"/>
        <v>16</v>
      </c>
      <c r="O63" s="81" t="s">
        <v>56</v>
      </c>
      <c r="X63" s="50" t="s">
        <v>205</v>
      </c>
      <c r="Y63" s="52">
        <v>80</v>
      </c>
      <c r="Z63" s="52">
        <f t="shared" si="11"/>
        <v>32</v>
      </c>
    </row>
    <row r="64" spans="1:26" x14ac:dyDescent="0.25">
      <c r="A64" s="71">
        <v>45359</v>
      </c>
      <c r="B64" s="72" t="s">
        <v>206</v>
      </c>
      <c r="C64" s="72" t="s">
        <v>9</v>
      </c>
      <c r="D64" s="72" t="s">
        <v>15</v>
      </c>
      <c r="E64" s="72" t="s">
        <v>56</v>
      </c>
      <c r="F64" s="72">
        <v>1</v>
      </c>
      <c r="G64" s="73">
        <f>VLOOKUP(D64,$R$3:$S$36,2,0)</f>
        <v>70</v>
      </c>
      <c r="H64" s="73">
        <f t="shared" si="0"/>
        <v>70</v>
      </c>
      <c r="I64" s="72" t="s">
        <v>83</v>
      </c>
      <c r="J64" s="74"/>
      <c r="L64" s="79" t="s">
        <v>18</v>
      </c>
      <c r="M64" s="80">
        <f t="shared" si="12"/>
        <v>16</v>
      </c>
      <c r="N64" s="80">
        <f t="shared" si="10"/>
        <v>16</v>
      </c>
      <c r="O64" s="81" t="s">
        <v>56</v>
      </c>
      <c r="X64" s="50" t="s">
        <v>207</v>
      </c>
      <c r="Y64" s="52">
        <v>80</v>
      </c>
      <c r="Z64" s="52">
        <f t="shared" si="11"/>
        <v>32</v>
      </c>
    </row>
    <row r="65" spans="1:26" x14ac:dyDescent="0.25">
      <c r="A65" s="71">
        <v>45359</v>
      </c>
      <c r="B65" s="72" t="s">
        <v>118</v>
      </c>
      <c r="C65" s="72" t="s">
        <v>8</v>
      </c>
      <c r="D65" s="72" t="s">
        <v>22</v>
      </c>
      <c r="E65" s="72" t="s">
        <v>56</v>
      </c>
      <c r="F65" s="72">
        <v>1</v>
      </c>
      <c r="G65" s="73">
        <f>VLOOKUP(D65,$R$3:$S$36,2,0)</f>
        <v>30</v>
      </c>
      <c r="H65" s="73">
        <f t="shared" si="0"/>
        <v>30</v>
      </c>
      <c r="I65" s="72" t="s">
        <v>83</v>
      </c>
      <c r="J65" s="74"/>
      <c r="L65" s="79"/>
      <c r="M65" s="80"/>
      <c r="N65" s="80"/>
      <c r="O65" s="84"/>
      <c r="X65" s="50" t="s">
        <v>208</v>
      </c>
      <c r="Y65" s="52">
        <v>78.087999999999994</v>
      </c>
      <c r="Z65" s="52">
        <f t="shared" si="11"/>
        <v>31.235199999999999</v>
      </c>
    </row>
    <row r="66" spans="1:26" x14ac:dyDescent="0.25">
      <c r="A66" s="71">
        <v>45359</v>
      </c>
      <c r="B66" s="72" t="s">
        <v>118</v>
      </c>
      <c r="C66" s="72" t="s">
        <v>8</v>
      </c>
      <c r="D66" s="72" t="s">
        <v>13</v>
      </c>
      <c r="E66" s="72" t="s">
        <v>56</v>
      </c>
      <c r="F66" s="72">
        <v>1</v>
      </c>
      <c r="G66" s="73">
        <f>VLOOKUP(D66,$R$3:$S$36,2,0)</f>
        <v>30</v>
      </c>
      <c r="H66" s="73">
        <f t="shared" si="0"/>
        <v>30</v>
      </c>
      <c r="I66" s="72" t="s">
        <v>83</v>
      </c>
      <c r="J66" s="74"/>
      <c r="L66" s="79"/>
      <c r="M66" s="80"/>
      <c r="N66" s="80"/>
      <c r="O66" s="84"/>
      <c r="X66" s="50" t="s">
        <v>209</v>
      </c>
      <c r="Y66" s="52">
        <v>76.007999999999996</v>
      </c>
      <c r="Z66" s="52">
        <f t="shared" si="11"/>
        <v>30.403199999999998</v>
      </c>
    </row>
    <row r="67" spans="1:26" x14ac:dyDescent="0.25">
      <c r="A67" s="71">
        <v>45359</v>
      </c>
      <c r="B67" s="72" t="s">
        <v>210</v>
      </c>
      <c r="C67" s="72" t="s">
        <v>8</v>
      </c>
      <c r="D67" s="72" t="s">
        <v>14</v>
      </c>
      <c r="E67" s="72" t="s">
        <v>56</v>
      </c>
      <c r="F67" s="72">
        <v>1</v>
      </c>
      <c r="G67" s="73">
        <f>VLOOKUP(D67,$R$3:$S$36,2,0)</f>
        <v>55</v>
      </c>
      <c r="H67" s="73">
        <f t="shared" ref="H67:H130" si="15">F67*G67</f>
        <v>55</v>
      </c>
      <c r="I67" s="72" t="s">
        <v>78</v>
      </c>
      <c r="J67" s="74"/>
      <c r="L67" s="79"/>
      <c r="M67" s="80"/>
      <c r="N67" s="80"/>
      <c r="O67" s="84"/>
      <c r="X67" s="50" t="s">
        <v>211</v>
      </c>
      <c r="Y67" s="52">
        <v>130</v>
      </c>
      <c r="Z67" s="52">
        <f t="shared" ref="Z67:Z74" si="16">Y67*0.4</f>
        <v>52</v>
      </c>
    </row>
    <row r="68" spans="1:26" x14ac:dyDescent="0.25">
      <c r="A68" s="71">
        <v>45359</v>
      </c>
      <c r="B68" s="72" t="s">
        <v>212</v>
      </c>
      <c r="C68" s="72" t="s">
        <v>8</v>
      </c>
      <c r="D68" s="72" t="s">
        <v>18</v>
      </c>
      <c r="E68" s="72" t="s">
        <v>82</v>
      </c>
      <c r="F68" s="72">
        <v>1</v>
      </c>
      <c r="G68" s="73">
        <f t="shared" ref="G68:G74" si="17">VLOOKUP(D68,$R$3:$S$114,2,0)</f>
        <v>40</v>
      </c>
      <c r="H68" s="73">
        <f t="shared" si="15"/>
        <v>40</v>
      </c>
      <c r="I68" s="72" t="s">
        <v>83</v>
      </c>
      <c r="J68" s="74"/>
      <c r="L68" s="79"/>
      <c r="M68" s="80"/>
      <c r="N68" s="80"/>
      <c r="O68" s="84"/>
      <c r="X68" s="50" t="s">
        <v>213</v>
      </c>
      <c r="Y68" s="52">
        <v>130</v>
      </c>
      <c r="Z68" s="52">
        <f t="shared" si="16"/>
        <v>52</v>
      </c>
    </row>
    <row r="69" spans="1:26" x14ac:dyDescent="0.25">
      <c r="A69" s="71">
        <v>45359</v>
      </c>
      <c r="B69" s="72" t="s">
        <v>212</v>
      </c>
      <c r="C69" s="72" t="s">
        <v>8</v>
      </c>
      <c r="D69" s="72" t="s">
        <v>23</v>
      </c>
      <c r="E69" s="72" t="s">
        <v>82</v>
      </c>
      <c r="F69" s="72">
        <v>1</v>
      </c>
      <c r="G69" s="73">
        <f t="shared" si="17"/>
        <v>5</v>
      </c>
      <c r="H69" s="73">
        <f t="shared" si="15"/>
        <v>5</v>
      </c>
      <c r="I69" s="72" t="s">
        <v>83</v>
      </c>
      <c r="J69" s="74"/>
      <c r="L69" s="79"/>
      <c r="M69" s="80"/>
      <c r="N69" s="80"/>
      <c r="O69" s="84"/>
      <c r="X69" s="50" t="s">
        <v>214</v>
      </c>
      <c r="Y69" s="52">
        <v>126.893</v>
      </c>
      <c r="Z69" s="52">
        <f t="shared" si="16"/>
        <v>50.757200000000005</v>
      </c>
    </row>
    <row r="70" spans="1:26" x14ac:dyDescent="0.25">
      <c r="A70" s="71">
        <v>45359</v>
      </c>
      <c r="B70" s="72" t="s">
        <v>215</v>
      </c>
      <c r="C70" s="72" t="s">
        <v>8</v>
      </c>
      <c r="D70" s="72" t="s">
        <v>18</v>
      </c>
      <c r="E70" s="72" t="s">
        <v>82</v>
      </c>
      <c r="F70" s="72">
        <v>1</v>
      </c>
      <c r="G70" s="73">
        <f t="shared" si="17"/>
        <v>40</v>
      </c>
      <c r="H70" s="73">
        <f t="shared" si="15"/>
        <v>40</v>
      </c>
      <c r="I70" s="72" t="s">
        <v>83</v>
      </c>
      <c r="J70" s="74"/>
      <c r="L70" s="79"/>
      <c r="M70" s="80"/>
      <c r="N70" s="80"/>
      <c r="O70" s="84"/>
      <c r="X70" s="50" t="s">
        <v>216</v>
      </c>
      <c r="Y70" s="52">
        <v>123.51300000000001</v>
      </c>
      <c r="Z70" s="52">
        <f t="shared" si="16"/>
        <v>49.405200000000008</v>
      </c>
    </row>
    <row r="71" spans="1:26" x14ac:dyDescent="0.25">
      <c r="A71" s="71">
        <v>45359</v>
      </c>
      <c r="B71" s="72" t="s">
        <v>217</v>
      </c>
      <c r="C71" s="72" t="s">
        <v>8</v>
      </c>
      <c r="D71" s="72" t="s">
        <v>17</v>
      </c>
      <c r="E71" s="72" t="s">
        <v>82</v>
      </c>
      <c r="F71" s="72">
        <v>1</v>
      </c>
      <c r="G71" s="73">
        <f t="shared" si="17"/>
        <v>50</v>
      </c>
      <c r="H71" s="73">
        <f t="shared" si="15"/>
        <v>50</v>
      </c>
      <c r="I71" s="72" t="s">
        <v>218</v>
      </c>
      <c r="J71" s="74"/>
      <c r="L71" s="79"/>
      <c r="M71" s="80"/>
      <c r="N71" s="80"/>
      <c r="O71" s="84"/>
      <c r="X71" s="50" t="s">
        <v>219</v>
      </c>
      <c r="Y71" s="52">
        <v>90</v>
      </c>
      <c r="Z71" s="52">
        <f t="shared" si="16"/>
        <v>36</v>
      </c>
    </row>
    <row r="72" spans="1:26" x14ac:dyDescent="0.25">
      <c r="A72" s="71">
        <v>45359</v>
      </c>
      <c r="B72" s="72" t="s">
        <v>220</v>
      </c>
      <c r="C72" s="72" t="s">
        <v>8</v>
      </c>
      <c r="D72" s="72" t="s">
        <v>17</v>
      </c>
      <c r="E72" s="72" t="s">
        <v>82</v>
      </c>
      <c r="F72" s="72">
        <v>1</v>
      </c>
      <c r="G72" s="73">
        <f t="shared" si="17"/>
        <v>50</v>
      </c>
      <c r="H72" s="73">
        <f t="shared" si="15"/>
        <v>50</v>
      </c>
      <c r="I72" s="72" t="s">
        <v>83</v>
      </c>
      <c r="J72" s="74"/>
      <c r="L72" s="79"/>
      <c r="M72" s="80"/>
      <c r="N72" s="80"/>
      <c r="O72" s="84"/>
      <c r="X72" s="50" t="s">
        <v>221</v>
      </c>
      <c r="Y72" s="52">
        <v>90</v>
      </c>
      <c r="Z72" s="52">
        <f t="shared" si="16"/>
        <v>36</v>
      </c>
    </row>
    <row r="73" spans="1:26" x14ac:dyDescent="0.25">
      <c r="A73" s="71">
        <v>45359</v>
      </c>
      <c r="B73" s="72" t="s">
        <v>133</v>
      </c>
      <c r="C73" s="72" t="s">
        <v>8</v>
      </c>
      <c r="D73" s="72" t="s">
        <v>22</v>
      </c>
      <c r="E73" s="72" t="s">
        <v>82</v>
      </c>
      <c r="F73" s="72">
        <v>2</v>
      </c>
      <c r="G73" s="73">
        <f t="shared" si="17"/>
        <v>30</v>
      </c>
      <c r="H73" s="73">
        <f t="shared" si="15"/>
        <v>60</v>
      </c>
      <c r="I73" s="72" t="s">
        <v>79</v>
      </c>
      <c r="J73" s="74"/>
      <c r="L73" s="79"/>
      <c r="M73" s="80"/>
      <c r="N73" s="80"/>
      <c r="O73" s="84"/>
      <c r="X73" s="50" t="s">
        <v>222</v>
      </c>
      <c r="Y73" s="52">
        <v>87.849000000000004</v>
      </c>
      <c r="Z73" s="52">
        <f t="shared" si="16"/>
        <v>35.139600000000002</v>
      </c>
    </row>
    <row r="74" spans="1:26" x14ac:dyDescent="0.25">
      <c r="A74" s="71">
        <v>45359</v>
      </c>
      <c r="B74" s="72" t="s">
        <v>223</v>
      </c>
      <c r="C74" s="72" t="s">
        <v>8</v>
      </c>
      <c r="D74" s="72" t="s">
        <v>18</v>
      </c>
      <c r="E74" s="72" t="s">
        <v>82</v>
      </c>
      <c r="F74" s="72">
        <v>1</v>
      </c>
      <c r="G74" s="73">
        <f t="shared" si="17"/>
        <v>40</v>
      </c>
      <c r="H74" s="73">
        <f t="shared" si="15"/>
        <v>40</v>
      </c>
      <c r="I74" s="72" t="s">
        <v>86</v>
      </c>
      <c r="J74" s="74"/>
      <c r="L74" s="79"/>
      <c r="M74" s="80"/>
      <c r="N74" s="80"/>
      <c r="O74" s="84"/>
      <c r="X74" s="50" t="s">
        <v>224</v>
      </c>
      <c r="Y74" s="52">
        <v>85.509</v>
      </c>
      <c r="Z74" s="52">
        <f t="shared" si="16"/>
        <v>34.203600000000002</v>
      </c>
    </row>
    <row r="75" spans="1:26" x14ac:dyDescent="0.25">
      <c r="A75" s="71">
        <v>45360</v>
      </c>
      <c r="B75" s="72" t="s">
        <v>225</v>
      </c>
      <c r="C75" s="72" t="s">
        <v>9</v>
      </c>
      <c r="D75" s="72" t="s">
        <v>18</v>
      </c>
      <c r="E75" s="72" t="s">
        <v>56</v>
      </c>
      <c r="F75" s="72">
        <v>1</v>
      </c>
      <c r="G75" s="73">
        <f t="shared" ref="G75:G80" si="18">VLOOKUP(D75,$R$3:$S$36,2,0)</f>
        <v>40</v>
      </c>
      <c r="H75" s="73">
        <f t="shared" si="15"/>
        <v>40</v>
      </c>
      <c r="I75" s="72" t="s">
        <v>78</v>
      </c>
      <c r="J75" s="74"/>
      <c r="L75" s="79"/>
      <c r="M75" s="80"/>
      <c r="N75" s="80"/>
      <c r="O75" s="84"/>
      <c r="X75" s="50" t="s">
        <v>226</v>
      </c>
      <c r="Y75" s="52">
        <v>30</v>
      </c>
      <c r="Z75" s="52">
        <f t="shared" ref="Z75:Z106" si="19">Y75*0.1</f>
        <v>3</v>
      </c>
    </row>
    <row r="76" spans="1:26" x14ac:dyDescent="0.25">
      <c r="A76" s="71">
        <v>45360</v>
      </c>
      <c r="B76" s="72" t="s">
        <v>227</v>
      </c>
      <c r="C76" s="72" t="s">
        <v>8</v>
      </c>
      <c r="D76" s="72" t="s">
        <v>18</v>
      </c>
      <c r="E76" s="72" t="s">
        <v>56</v>
      </c>
      <c r="F76" s="72">
        <v>1</v>
      </c>
      <c r="G76" s="73">
        <f t="shared" si="18"/>
        <v>40</v>
      </c>
      <c r="H76" s="73">
        <f t="shared" si="15"/>
        <v>40</v>
      </c>
      <c r="I76" s="72" t="s">
        <v>79</v>
      </c>
      <c r="J76" s="74"/>
      <c r="L76" s="79"/>
      <c r="M76" s="80"/>
      <c r="N76" s="80"/>
      <c r="O76" s="84"/>
      <c r="X76" s="50" t="s">
        <v>228</v>
      </c>
      <c r="Y76" s="52">
        <v>30</v>
      </c>
      <c r="Z76" s="52">
        <f t="shared" si="19"/>
        <v>3</v>
      </c>
    </row>
    <row r="77" spans="1:26" x14ac:dyDescent="0.25">
      <c r="A77" s="71">
        <v>45360</v>
      </c>
      <c r="B77" s="72" t="s">
        <v>229</v>
      </c>
      <c r="C77" s="72" t="s">
        <v>9</v>
      </c>
      <c r="D77" s="72" t="s">
        <v>13</v>
      </c>
      <c r="E77" s="72" t="s">
        <v>56</v>
      </c>
      <c r="F77" s="72">
        <v>1</v>
      </c>
      <c r="G77" s="73">
        <f t="shared" si="18"/>
        <v>30</v>
      </c>
      <c r="H77" s="73">
        <f t="shared" si="15"/>
        <v>30</v>
      </c>
      <c r="I77" s="72" t="s">
        <v>78</v>
      </c>
      <c r="J77" s="74"/>
      <c r="L77" s="79"/>
      <c r="M77" s="80"/>
      <c r="N77" s="80"/>
      <c r="O77" s="84"/>
      <c r="X77" s="50" t="s">
        <v>230</v>
      </c>
      <c r="Y77" s="52">
        <v>29.283000000000001</v>
      </c>
      <c r="Z77" s="52">
        <f t="shared" si="19"/>
        <v>2.9283000000000001</v>
      </c>
    </row>
    <row r="78" spans="1:26" x14ac:dyDescent="0.25">
      <c r="A78" s="71">
        <v>45360</v>
      </c>
      <c r="B78" s="72" t="s">
        <v>229</v>
      </c>
      <c r="C78" s="72" t="s">
        <v>9</v>
      </c>
      <c r="D78" s="72" t="s">
        <v>21</v>
      </c>
      <c r="E78" s="72" t="s">
        <v>56</v>
      </c>
      <c r="F78" s="72">
        <v>1</v>
      </c>
      <c r="G78" s="73">
        <f t="shared" si="18"/>
        <v>10</v>
      </c>
      <c r="H78" s="73">
        <f t="shared" si="15"/>
        <v>10</v>
      </c>
      <c r="I78" s="72" t="s">
        <v>78</v>
      </c>
      <c r="J78" s="74"/>
      <c r="L78" s="79"/>
      <c r="M78" s="80"/>
      <c r="N78" s="80"/>
      <c r="O78" s="84"/>
      <c r="X78" s="50" t="s">
        <v>231</v>
      </c>
      <c r="Y78" s="52">
        <v>28.503</v>
      </c>
      <c r="Z78" s="52">
        <f t="shared" si="19"/>
        <v>2.8503000000000003</v>
      </c>
    </row>
    <row r="79" spans="1:26" x14ac:dyDescent="0.25">
      <c r="A79" s="71">
        <v>45360</v>
      </c>
      <c r="B79" s="72" t="s">
        <v>229</v>
      </c>
      <c r="C79" s="72" t="s">
        <v>9</v>
      </c>
      <c r="D79" s="72" t="s">
        <v>64</v>
      </c>
      <c r="E79" s="72" t="s">
        <v>56</v>
      </c>
      <c r="F79" s="72">
        <v>1</v>
      </c>
      <c r="G79" s="73">
        <f t="shared" si="18"/>
        <v>30</v>
      </c>
      <c r="H79" s="73">
        <f t="shared" si="15"/>
        <v>30</v>
      </c>
      <c r="I79" s="72" t="s">
        <v>78</v>
      </c>
      <c r="J79" s="74"/>
      <c r="L79" s="79"/>
      <c r="M79" s="80"/>
      <c r="N79" s="80"/>
      <c r="O79" s="84"/>
      <c r="X79" s="50" t="s">
        <v>232</v>
      </c>
      <c r="Y79" s="52">
        <v>30</v>
      </c>
      <c r="Z79" s="52">
        <f t="shared" si="19"/>
        <v>3</v>
      </c>
    </row>
    <row r="80" spans="1:26" x14ac:dyDescent="0.25">
      <c r="A80" s="71">
        <v>45360</v>
      </c>
      <c r="B80" s="72" t="s">
        <v>233</v>
      </c>
      <c r="C80" s="72" t="s">
        <v>8</v>
      </c>
      <c r="D80" s="72" t="s">
        <v>18</v>
      </c>
      <c r="E80" s="72" t="s">
        <v>56</v>
      </c>
      <c r="F80" s="72">
        <v>1</v>
      </c>
      <c r="G80" s="73">
        <f t="shared" si="18"/>
        <v>40</v>
      </c>
      <c r="H80" s="73">
        <f t="shared" si="15"/>
        <v>40</v>
      </c>
      <c r="I80" s="72" t="s">
        <v>78</v>
      </c>
      <c r="J80" s="74"/>
      <c r="L80" s="79"/>
      <c r="M80" s="80"/>
      <c r="N80" s="80"/>
      <c r="O80" s="84"/>
      <c r="X80" s="50" t="s">
        <v>234</v>
      </c>
      <c r="Y80" s="52">
        <v>30</v>
      </c>
      <c r="Z80" s="52">
        <f t="shared" si="19"/>
        <v>3</v>
      </c>
    </row>
    <row r="81" spans="1:26" x14ac:dyDescent="0.25">
      <c r="A81" s="71">
        <v>45360</v>
      </c>
      <c r="B81" s="72" t="s">
        <v>233</v>
      </c>
      <c r="C81" s="72" t="s">
        <v>8</v>
      </c>
      <c r="D81" s="72" t="s">
        <v>45</v>
      </c>
      <c r="E81" s="72" t="s">
        <v>56</v>
      </c>
      <c r="F81" s="72">
        <v>1</v>
      </c>
      <c r="G81" s="73">
        <f t="shared" ref="G81:G109" si="20">VLOOKUP(D81,$R$3:$S$114,2,0)</f>
        <v>3.5</v>
      </c>
      <c r="H81" s="73">
        <f t="shared" si="15"/>
        <v>3.5</v>
      </c>
      <c r="I81" s="72" t="s">
        <v>78</v>
      </c>
      <c r="J81" s="74"/>
      <c r="L81" s="79"/>
      <c r="M81" s="80"/>
      <c r="N81" s="80"/>
      <c r="O81" s="84"/>
      <c r="X81" s="50" t="s">
        <v>235</v>
      </c>
      <c r="Y81" s="52">
        <v>29.283000000000001</v>
      </c>
      <c r="Z81" s="52">
        <f t="shared" si="19"/>
        <v>2.9283000000000001</v>
      </c>
    </row>
    <row r="82" spans="1:26" x14ac:dyDescent="0.25">
      <c r="A82" s="71">
        <v>45360</v>
      </c>
      <c r="B82" s="72" t="s">
        <v>236</v>
      </c>
      <c r="C82" s="72" t="s">
        <v>8</v>
      </c>
      <c r="D82" s="72" t="s">
        <v>16</v>
      </c>
      <c r="E82" s="72" t="s">
        <v>56</v>
      </c>
      <c r="F82" s="72">
        <v>1</v>
      </c>
      <c r="G82" s="73">
        <f t="shared" si="20"/>
        <v>80</v>
      </c>
      <c r="H82" s="73">
        <f t="shared" si="15"/>
        <v>80</v>
      </c>
      <c r="I82" s="72" t="s">
        <v>78</v>
      </c>
      <c r="J82" s="74"/>
      <c r="L82" s="79"/>
      <c r="M82" s="80"/>
      <c r="N82" s="80"/>
      <c r="O82" s="84"/>
      <c r="X82" s="50" t="s">
        <v>237</v>
      </c>
      <c r="Y82" s="52">
        <v>28.503</v>
      </c>
      <c r="Z82" s="52">
        <f t="shared" si="19"/>
        <v>2.8503000000000003</v>
      </c>
    </row>
    <row r="83" spans="1:26" x14ac:dyDescent="0.25">
      <c r="A83" s="71">
        <v>45360</v>
      </c>
      <c r="B83" s="72" t="s">
        <v>238</v>
      </c>
      <c r="C83" s="72" t="s">
        <v>8</v>
      </c>
      <c r="D83" s="72" t="s">
        <v>18</v>
      </c>
      <c r="E83" s="72" t="s">
        <v>82</v>
      </c>
      <c r="F83" s="72">
        <v>1</v>
      </c>
      <c r="G83" s="73">
        <f t="shared" si="20"/>
        <v>40</v>
      </c>
      <c r="H83" s="73">
        <f t="shared" si="15"/>
        <v>40</v>
      </c>
      <c r="I83" s="72" t="s">
        <v>79</v>
      </c>
      <c r="J83" s="74"/>
      <c r="L83" s="79"/>
      <c r="M83" s="80"/>
      <c r="N83" s="80"/>
      <c r="O83" s="84"/>
      <c r="X83" s="50" t="s">
        <v>239</v>
      </c>
      <c r="Y83" s="52">
        <v>30</v>
      </c>
      <c r="Z83" s="52">
        <f t="shared" si="19"/>
        <v>3</v>
      </c>
    </row>
    <row r="84" spans="1:26" x14ac:dyDescent="0.25">
      <c r="A84" s="71">
        <v>45360</v>
      </c>
      <c r="B84" s="72" t="s">
        <v>240</v>
      </c>
      <c r="C84" s="72" t="s">
        <v>8</v>
      </c>
      <c r="D84" s="72" t="s">
        <v>18</v>
      </c>
      <c r="E84" s="72" t="s">
        <v>82</v>
      </c>
      <c r="F84" s="72">
        <v>1</v>
      </c>
      <c r="G84" s="73">
        <f t="shared" si="20"/>
        <v>40</v>
      </c>
      <c r="H84" s="73">
        <f t="shared" si="15"/>
        <v>40</v>
      </c>
      <c r="I84" s="72" t="s">
        <v>79</v>
      </c>
      <c r="J84" s="74"/>
      <c r="L84" s="79"/>
      <c r="M84" s="80"/>
      <c r="N84" s="80"/>
      <c r="O84" s="84"/>
      <c r="X84" s="50" t="s">
        <v>241</v>
      </c>
      <c r="Y84" s="52">
        <v>30</v>
      </c>
      <c r="Z84" s="52">
        <f t="shared" si="19"/>
        <v>3</v>
      </c>
    </row>
    <row r="85" spans="1:26" x14ac:dyDescent="0.25">
      <c r="A85" s="71">
        <v>45360</v>
      </c>
      <c r="B85" s="72" t="s">
        <v>217</v>
      </c>
      <c r="C85" s="72" t="s">
        <v>8</v>
      </c>
      <c r="D85" s="72" t="s">
        <v>18</v>
      </c>
      <c r="E85" s="72" t="s">
        <v>82</v>
      </c>
      <c r="F85" s="72">
        <v>1</v>
      </c>
      <c r="G85" s="73">
        <f t="shared" si="20"/>
        <v>40</v>
      </c>
      <c r="H85" s="73">
        <f t="shared" si="15"/>
        <v>40</v>
      </c>
      <c r="I85" s="72" t="s">
        <v>83</v>
      </c>
      <c r="J85" s="74"/>
      <c r="L85" s="79"/>
      <c r="M85" s="80"/>
      <c r="N85" s="80"/>
      <c r="O85" s="84"/>
      <c r="X85" s="50" t="s">
        <v>242</v>
      </c>
      <c r="Y85" s="52">
        <v>29.283000000000001</v>
      </c>
      <c r="Z85" s="52">
        <f t="shared" si="19"/>
        <v>2.9283000000000001</v>
      </c>
    </row>
    <row r="86" spans="1:26" x14ac:dyDescent="0.25">
      <c r="A86" s="71">
        <v>45360</v>
      </c>
      <c r="B86" s="72" t="s">
        <v>217</v>
      </c>
      <c r="C86" s="72" t="s">
        <v>8</v>
      </c>
      <c r="D86" s="72" t="s">
        <v>23</v>
      </c>
      <c r="E86" s="72" t="s">
        <v>82</v>
      </c>
      <c r="F86" s="72">
        <v>1</v>
      </c>
      <c r="G86" s="73">
        <f t="shared" si="20"/>
        <v>5</v>
      </c>
      <c r="H86" s="73">
        <f t="shared" si="15"/>
        <v>5</v>
      </c>
      <c r="I86" s="72" t="s">
        <v>83</v>
      </c>
      <c r="J86" s="74"/>
      <c r="L86" s="79"/>
      <c r="M86" s="80"/>
      <c r="N86" s="80"/>
      <c r="O86" s="84"/>
      <c r="X86" s="50" t="s">
        <v>243</v>
      </c>
      <c r="Y86" s="52">
        <v>28.503</v>
      </c>
      <c r="Z86" s="52">
        <f t="shared" si="19"/>
        <v>2.8503000000000003</v>
      </c>
    </row>
    <row r="87" spans="1:26" x14ac:dyDescent="0.25">
      <c r="A87" s="71">
        <v>45360</v>
      </c>
      <c r="B87" s="72" t="s">
        <v>244</v>
      </c>
      <c r="C87" s="72" t="s">
        <v>8</v>
      </c>
      <c r="D87" s="72" t="s">
        <v>22</v>
      </c>
      <c r="E87" s="72" t="s">
        <v>82</v>
      </c>
      <c r="F87" s="72">
        <v>1</v>
      </c>
      <c r="G87" s="73">
        <f t="shared" si="20"/>
        <v>30</v>
      </c>
      <c r="H87" s="73">
        <f t="shared" si="15"/>
        <v>30</v>
      </c>
      <c r="I87" s="72" t="s">
        <v>83</v>
      </c>
      <c r="J87" s="74"/>
      <c r="L87" s="79"/>
      <c r="M87" s="80"/>
      <c r="N87" s="80"/>
      <c r="O87" s="84"/>
      <c r="X87" s="50" t="s">
        <v>245</v>
      </c>
      <c r="Y87" s="52">
        <v>10</v>
      </c>
      <c r="Z87" s="52">
        <f t="shared" si="19"/>
        <v>1</v>
      </c>
    </row>
    <row r="88" spans="1:26" x14ac:dyDescent="0.25">
      <c r="A88" s="71">
        <v>45360</v>
      </c>
      <c r="B88" s="72" t="s">
        <v>220</v>
      </c>
      <c r="C88" s="72" t="s">
        <v>8</v>
      </c>
      <c r="D88" s="72" t="s">
        <v>15</v>
      </c>
      <c r="E88" s="72" t="s">
        <v>82</v>
      </c>
      <c r="F88" s="72">
        <v>1</v>
      </c>
      <c r="G88" s="73">
        <f t="shared" si="20"/>
        <v>70</v>
      </c>
      <c r="H88" s="73">
        <f t="shared" si="15"/>
        <v>70</v>
      </c>
      <c r="I88" s="72" t="s">
        <v>83</v>
      </c>
      <c r="J88" s="74"/>
      <c r="L88" s="79"/>
      <c r="M88" s="80"/>
      <c r="N88" s="80"/>
      <c r="O88" s="84"/>
      <c r="X88" s="50" t="s">
        <v>246</v>
      </c>
      <c r="Y88" s="52">
        <v>10</v>
      </c>
      <c r="Z88" s="52">
        <f t="shared" si="19"/>
        <v>1</v>
      </c>
    </row>
    <row r="89" spans="1:26" x14ac:dyDescent="0.25">
      <c r="A89" s="71">
        <v>45360</v>
      </c>
      <c r="B89" s="72" t="s">
        <v>247</v>
      </c>
      <c r="C89" s="72" t="s">
        <v>8</v>
      </c>
      <c r="D89" s="72" t="s">
        <v>16</v>
      </c>
      <c r="E89" s="72" t="s">
        <v>82</v>
      </c>
      <c r="F89" s="72">
        <v>1</v>
      </c>
      <c r="G89" s="73">
        <f t="shared" si="20"/>
        <v>80</v>
      </c>
      <c r="H89" s="73">
        <f t="shared" si="15"/>
        <v>80</v>
      </c>
      <c r="I89" s="72" t="s">
        <v>83</v>
      </c>
      <c r="J89" s="74"/>
      <c r="L89" s="79"/>
      <c r="M89" s="80"/>
      <c r="N89" s="80"/>
      <c r="O89" s="84"/>
      <c r="X89" s="50" t="s">
        <v>248</v>
      </c>
      <c r="Y89" s="52">
        <v>9.7609999999999992</v>
      </c>
      <c r="Z89" s="52">
        <f t="shared" si="19"/>
        <v>0.97609999999999997</v>
      </c>
    </row>
    <row r="90" spans="1:26" x14ac:dyDescent="0.25">
      <c r="A90" s="71">
        <v>45360</v>
      </c>
      <c r="B90" s="72" t="s">
        <v>247</v>
      </c>
      <c r="C90" s="72" t="s">
        <v>8</v>
      </c>
      <c r="D90" s="72" t="s">
        <v>34</v>
      </c>
      <c r="E90" s="72" t="s">
        <v>82</v>
      </c>
      <c r="F90" s="72">
        <v>1</v>
      </c>
      <c r="G90" s="73">
        <f t="shared" si="20"/>
        <v>10</v>
      </c>
      <c r="H90" s="73">
        <f t="shared" si="15"/>
        <v>10</v>
      </c>
      <c r="I90" s="72" t="s">
        <v>83</v>
      </c>
      <c r="J90" s="74"/>
      <c r="L90" s="79"/>
      <c r="M90" s="80"/>
      <c r="N90" s="80"/>
      <c r="O90" s="84"/>
      <c r="X90" s="50" t="s">
        <v>249</v>
      </c>
      <c r="Y90" s="52">
        <v>9.5009999999999994</v>
      </c>
      <c r="Z90" s="52">
        <f t="shared" si="19"/>
        <v>0.95009999999999994</v>
      </c>
    </row>
    <row r="91" spans="1:26" x14ac:dyDescent="0.25">
      <c r="A91" s="71">
        <v>45360</v>
      </c>
      <c r="B91" s="72" t="s">
        <v>247</v>
      </c>
      <c r="C91" s="72" t="s">
        <v>8</v>
      </c>
      <c r="D91" s="72" t="s">
        <v>38</v>
      </c>
      <c r="E91" s="72" t="s">
        <v>82</v>
      </c>
      <c r="F91" s="72">
        <v>1</v>
      </c>
      <c r="G91" s="73">
        <f t="shared" si="20"/>
        <v>6</v>
      </c>
      <c r="H91" s="73">
        <f t="shared" si="15"/>
        <v>6</v>
      </c>
      <c r="I91" s="72" t="s">
        <v>83</v>
      </c>
      <c r="J91" s="74"/>
      <c r="L91" s="79"/>
      <c r="M91" s="80"/>
      <c r="N91" s="80"/>
      <c r="O91" s="84"/>
      <c r="X91" s="50" t="s">
        <v>250</v>
      </c>
      <c r="Y91" s="52">
        <v>20</v>
      </c>
      <c r="Z91" s="52">
        <f t="shared" si="19"/>
        <v>2</v>
      </c>
    </row>
    <row r="92" spans="1:26" x14ac:dyDescent="0.25">
      <c r="A92" s="71">
        <v>45360</v>
      </c>
      <c r="B92" s="72" t="s">
        <v>251</v>
      </c>
      <c r="C92" s="72" t="s">
        <v>8</v>
      </c>
      <c r="D92" s="72" t="s">
        <v>17</v>
      </c>
      <c r="E92" s="72" t="s">
        <v>82</v>
      </c>
      <c r="F92" s="72">
        <v>1</v>
      </c>
      <c r="G92" s="73">
        <f t="shared" si="20"/>
        <v>50</v>
      </c>
      <c r="H92" s="73">
        <f t="shared" si="15"/>
        <v>50</v>
      </c>
      <c r="I92" s="72" t="s">
        <v>78</v>
      </c>
      <c r="J92" s="74"/>
      <c r="L92" s="79"/>
      <c r="M92" s="80"/>
      <c r="N92" s="80"/>
      <c r="O92" s="84"/>
      <c r="X92" s="50" t="s">
        <v>252</v>
      </c>
      <c r="Y92" s="52">
        <v>20</v>
      </c>
      <c r="Z92" s="52">
        <f t="shared" si="19"/>
        <v>2</v>
      </c>
    </row>
    <row r="93" spans="1:26" x14ac:dyDescent="0.25">
      <c r="A93" s="71">
        <v>45360</v>
      </c>
      <c r="B93" s="72" t="s">
        <v>251</v>
      </c>
      <c r="C93" s="72" t="s">
        <v>8</v>
      </c>
      <c r="D93" s="72" t="s">
        <v>152</v>
      </c>
      <c r="E93" s="72" t="s">
        <v>82</v>
      </c>
      <c r="F93" s="72">
        <v>1</v>
      </c>
      <c r="G93" s="73">
        <f t="shared" si="20"/>
        <v>60</v>
      </c>
      <c r="H93" s="73">
        <f t="shared" si="15"/>
        <v>60</v>
      </c>
      <c r="I93" s="72" t="s">
        <v>78</v>
      </c>
      <c r="J93" s="74"/>
      <c r="L93" s="79"/>
      <c r="M93" s="80"/>
      <c r="N93" s="80"/>
      <c r="O93" s="84"/>
      <c r="X93" s="50" t="s">
        <v>253</v>
      </c>
      <c r="Y93" s="52">
        <v>19.521999999999998</v>
      </c>
      <c r="Z93" s="52">
        <f t="shared" si="19"/>
        <v>1.9521999999999999</v>
      </c>
    </row>
    <row r="94" spans="1:26" x14ac:dyDescent="0.25">
      <c r="A94" s="71">
        <v>45360</v>
      </c>
      <c r="B94" s="72" t="s">
        <v>251</v>
      </c>
      <c r="C94" s="72" t="s">
        <v>8</v>
      </c>
      <c r="D94" s="72" t="s">
        <v>21</v>
      </c>
      <c r="E94" s="72" t="s">
        <v>82</v>
      </c>
      <c r="F94" s="72">
        <v>1</v>
      </c>
      <c r="G94" s="73">
        <f t="shared" si="20"/>
        <v>10</v>
      </c>
      <c r="H94" s="73">
        <f t="shared" si="15"/>
        <v>10</v>
      </c>
      <c r="I94" s="72" t="s">
        <v>78</v>
      </c>
      <c r="J94" s="74"/>
      <c r="L94" s="79"/>
      <c r="M94" s="80"/>
      <c r="N94" s="80"/>
      <c r="O94" s="84"/>
      <c r="X94" s="50" t="s">
        <v>254</v>
      </c>
      <c r="Y94" s="52">
        <v>19.001999999999999</v>
      </c>
      <c r="Z94" s="52">
        <f t="shared" si="19"/>
        <v>1.9001999999999999</v>
      </c>
    </row>
    <row r="95" spans="1:26" x14ac:dyDescent="0.25">
      <c r="A95" s="71">
        <v>45360</v>
      </c>
      <c r="B95" s="72" t="s">
        <v>251</v>
      </c>
      <c r="C95" s="72" t="s">
        <v>8</v>
      </c>
      <c r="D95" s="72" t="s">
        <v>23</v>
      </c>
      <c r="E95" s="72" t="s">
        <v>82</v>
      </c>
      <c r="F95" s="72">
        <v>1</v>
      </c>
      <c r="G95" s="73">
        <f t="shared" si="20"/>
        <v>5</v>
      </c>
      <c r="H95" s="73">
        <f t="shared" si="15"/>
        <v>5</v>
      </c>
      <c r="I95" s="72" t="s">
        <v>78</v>
      </c>
      <c r="J95" s="74"/>
      <c r="L95" s="79"/>
      <c r="M95" s="80"/>
      <c r="N95" s="80"/>
      <c r="O95" s="84"/>
      <c r="X95" s="50" t="s">
        <v>255</v>
      </c>
      <c r="Y95" s="52">
        <v>10</v>
      </c>
      <c r="Z95" s="52">
        <f t="shared" si="19"/>
        <v>1</v>
      </c>
    </row>
    <row r="96" spans="1:26" x14ac:dyDescent="0.25">
      <c r="A96" s="71">
        <v>45360</v>
      </c>
      <c r="B96" s="72" t="s">
        <v>256</v>
      </c>
      <c r="C96" s="72" t="s">
        <v>8</v>
      </c>
      <c r="D96" s="72" t="s">
        <v>15</v>
      </c>
      <c r="E96" s="72" t="s">
        <v>82</v>
      </c>
      <c r="F96" s="72">
        <v>1</v>
      </c>
      <c r="G96" s="73">
        <f t="shared" si="20"/>
        <v>70</v>
      </c>
      <c r="H96" s="73">
        <f t="shared" si="15"/>
        <v>70</v>
      </c>
      <c r="I96" s="72" t="s">
        <v>78</v>
      </c>
      <c r="J96" s="74"/>
      <c r="L96" s="79"/>
      <c r="M96" s="80"/>
      <c r="N96" s="80"/>
      <c r="O96" s="84"/>
      <c r="X96" s="50" t="s">
        <v>257</v>
      </c>
      <c r="Y96" s="52">
        <v>10</v>
      </c>
      <c r="Z96" s="52">
        <f t="shared" si="19"/>
        <v>1</v>
      </c>
    </row>
    <row r="97" spans="1:26" x14ac:dyDescent="0.25">
      <c r="A97" s="71">
        <v>45360</v>
      </c>
      <c r="B97" s="72" t="s">
        <v>258</v>
      </c>
      <c r="C97" s="72" t="s">
        <v>8</v>
      </c>
      <c r="D97" s="72" t="s">
        <v>15</v>
      </c>
      <c r="E97" s="72" t="s">
        <v>82</v>
      </c>
      <c r="F97" s="72">
        <v>1</v>
      </c>
      <c r="G97" s="73">
        <f t="shared" si="20"/>
        <v>70</v>
      </c>
      <c r="H97" s="73">
        <f t="shared" si="15"/>
        <v>70</v>
      </c>
      <c r="I97" s="72" t="s">
        <v>78</v>
      </c>
      <c r="J97" s="74"/>
      <c r="L97" s="79"/>
      <c r="M97" s="80"/>
      <c r="N97" s="80"/>
      <c r="O97" s="84"/>
      <c r="X97" s="50" t="s">
        <v>259</v>
      </c>
      <c r="Y97" s="52">
        <v>9.7609999999999992</v>
      </c>
      <c r="Z97" s="52">
        <f t="shared" si="19"/>
        <v>0.97609999999999997</v>
      </c>
    </row>
    <row r="98" spans="1:26" x14ac:dyDescent="0.25">
      <c r="A98" s="71">
        <v>45360</v>
      </c>
      <c r="B98" s="72" t="s">
        <v>260</v>
      </c>
      <c r="C98" s="72" t="s">
        <v>8</v>
      </c>
      <c r="D98" s="72" t="s">
        <v>18</v>
      </c>
      <c r="E98" s="72" t="s">
        <v>82</v>
      </c>
      <c r="F98" s="72">
        <v>1</v>
      </c>
      <c r="G98" s="73">
        <f t="shared" si="20"/>
        <v>40</v>
      </c>
      <c r="H98" s="73">
        <f t="shared" si="15"/>
        <v>40</v>
      </c>
      <c r="I98" s="72" t="s">
        <v>86</v>
      </c>
      <c r="J98" s="74"/>
      <c r="L98" s="79"/>
      <c r="M98" s="80"/>
      <c r="N98" s="80"/>
      <c r="O98" s="84"/>
      <c r="X98" s="50" t="s">
        <v>261</v>
      </c>
      <c r="Y98" s="52">
        <v>9.5009999999999994</v>
      </c>
      <c r="Z98" s="52">
        <f t="shared" si="19"/>
        <v>0.95009999999999994</v>
      </c>
    </row>
    <row r="99" spans="1:26" x14ac:dyDescent="0.25">
      <c r="A99" s="71">
        <v>45363</v>
      </c>
      <c r="B99" s="72" t="s">
        <v>262</v>
      </c>
      <c r="C99" s="72" t="s">
        <v>10</v>
      </c>
      <c r="D99" s="72" t="s">
        <v>18</v>
      </c>
      <c r="E99" s="72" t="s">
        <v>56</v>
      </c>
      <c r="F99" s="72">
        <v>1</v>
      </c>
      <c r="G99" s="73">
        <f t="shared" si="20"/>
        <v>40</v>
      </c>
      <c r="H99" s="73">
        <f t="shared" si="15"/>
        <v>40</v>
      </c>
      <c r="I99" s="72" t="s">
        <v>86</v>
      </c>
      <c r="J99" s="74"/>
      <c r="L99" s="79"/>
      <c r="M99" s="80"/>
      <c r="N99" s="80"/>
      <c r="O99" s="84"/>
      <c r="X99" s="50" t="s">
        <v>263</v>
      </c>
      <c r="Y99" s="52">
        <v>35</v>
      </c>
      <c r="Z99" s="52">
        <f t="shared" si="19"/>
        <v>3.5</v>
      </c>
    </row>
    <row r="100" spans="1:26" x14ac:dyDescent="0.25">
      <c r="A100" s="71">
        <v>45363</v>
      </c>
      <c r="B100" s="72" t="s">
        <v>264</v>
      </c>
      <c r="C100" s="72" t="s">
        <v>8</v>
      </c>
      <c r="D100" s="72" t="s">
        <v>15</v>
      </c>
      <c r="E100" s="72" t="s">
        <v>82</v>
      </c>
      <c r="F100" s="72">
        <v>1</v>
      </c>
      <c r="G100" s="73">
        <f t="shared" si="20"/>
        <v>70</v>
      </c>
      <c r="H100" s="73">
        <f t="shared" si="15"/>
        <v>70</v>
      </c>
      <c r="I100" s="72" t="s">
        <v>83</v>
      </c>
      <c r="J100" s="74"/>
      <c r="L100" s="79"/>
      <c r="M100" s="80"/>
      <c r="N100" s="80"/>
      <c r="O100" s="84"/>
      <c r="X100" s="50" t="s">
        <v>265</v>
      </c>
      <c r="Y100" s="52">
        <v>35</v>
      </c>
      <c r="Z100" s="52">
        <f t="shared" si="19"/>
        <v>3.5</v>
      </c>
    </row>
    <row r="101" spans="1:26" x14ac:dyDescent="0.25">
      <c r="A101" s="71">
        <v>45363</v>
      </c>
      <c r="B101" s="72" t="s">
        <v>266</v>
      </c>
      <c r="C101" s="72" t="s">
        <v>8</v>
      </c>
      <c r="D101" s="72" t="s">
        <v>18</v>
      </c>
      <c r="E101" s="72" t="s">
        <v>82</v>
      </c>
      <c r="F101" s="72">
        <v>1</v>
      </c>
      <c r="G101" s="73">
        <f t="shared" si="20"/>
        <v>40</v>
      </c>
      <c r="H101" s="73">
        <f t="shared" si="15"/>
        <v>40</v>
      </c>
      <c r="I101" s="72" t="s">
        <v>83</v>
      </c>
      <c r="J101" s="74"/>
      <c r="L101" s="79"/>
      <c r="M101" s="80"/>
      <c r="N101" s="80"/>
      <c r="O101" s="84"/>
      <c r="X101" s="50" t="s">
        <v>267</v>
      </c>
      <c r="Y101" s="52">
        <v>34.163499999999999</v>
      </c>
      <c r="Z101" s="52">
        <f t="shared" si="19"/>
        <v>3.41635</v>
      </c>
    </row>
    <row r="102" spans="1:26" x14ac:dyDescent="0.25">
      <c r="A102" s="71">
        <v>45363</v>
      </c>
      <c r="B102" s="72" t="s">
        <v>268</v>
      </c>
      <c r="C102" s="72" t="s">
        <v>8</v>
      </c>
      <c r="D102" s="72" t="s">
        <v>22</v>
      </c>
      <c r="E102" s="72" t="s">
        <v>82</v>
      </c>
      <c r="F102" s="72">
        <v>1</v>
      </c>
      <c r="G102" s="73">
        <f t="shared" si="20"/>
        <v>30</v>
      </c>
      <c r="H102" s="73">
        <f t="shared" si="15"/>
        <v>30</v>
      </c>
      <c r="I102" s="72" t="s">
        <v>78</v>
      </c>
      <c r="J102" s="74"/>
      <c r="L102" s="79"/>
      <c r="M102" s="80"/>
      <c r="N102" s="80"/>
      <c r="O102" s="84"/>
      <c r="X102" s="50" t="s">
        <v>269</v>
      </c>
      <c r="Y102" s="52">
        <v>33.253500000000003</v>
      </c>
      <c r="Z102" s="52">
        <f t="shared" si="19"/>
        <v>3.3253500000000003</v>
      </c>
    </row>
    <row r="103" spans="1:26" x14ac:dyDescent="0.25">
      <c r="A103" s="71">
        <v>45363</v>
      </c>
      <c r="B103" s="72" t="s">
        <v>270</v>
      </c>
      <c r="C103" s="72" t="s">
        <v>8</v>
      </c>
      <c r="D103" s="72" t="s">
        <v>18</v>
      </c>
      <c r="E103" s="72" t="s">
        <v>82</v>
      </c>
      <c r="F103" s="72">
        <v>1</v>
      </c>
      <c r="G103" s="73">
        <f t="shared" si="20"/>
        <v>40</v>
      </c>
      <c r="H103" s="73">
        <f t="shared" si="15"/>
        <v>40</v>
      </c>
      <c r="I103" s="72" t="s">
        <v>78</v>
      </c>
      <c r="J103" s="74"/>
      <c r="L103" s="79"/>
      <c r="M103" s="80"/>
      <c r="N103" s="80"/>
      <c r="O103" s="84"/>
      <c r="X103" s="50" t="s">
        <v>271</v>
      </c>
      <c r="Y103" s="52">
        <v>35</v>
      </c>
      <c r="Z103" s="52">
        <f t="shared" si="19"/>
        <v>3.5</v>
      </c>
    </row>
    <row r="104" spans="1:26" x14ac:dyDescent="0.25">
      <c r="A104" s="71">
        <v>45364</v>
      </c>
      <c r="B104" s="72" t="s">
        <v>272</v>
      </c>
      <c r="C104" s="72" t="s">
        <v>10</v>
      </c>
      <c r="D104" s="72" t="s">
        <v>18</v>
      </c>
      <c r="E104" s="72" t="s">
        <v>56</v>
      </c>
      <c r="F104" s="72">
        <v>1</v>
      </c>
      <c r="G104" s="73">
        <f t="shared" si="20"/>
        <v>40</v>
      </c>
      <c r="H104" s="73">
        <f t="shared" si="15"/>
        <v>40</v>
      </c>
      <c r="I104" s="72" t="s">
        <v>78</v>
      </c>
      <c r="J104" s="74"/>
      <c r="L104" s="79"/>
      <c r="M104" s="80"/>
      <c r="N104" s="80"/>
      <c r="O104" s="84"/>
      <c r="X104" s="50" t="s">
        <v>273</v>
      </c>
      <c r="Y104" s="52">
        <v>35</v>
      </c>
      <c r="Z104" s="52">
        <f t="shared" si="19"/>
        <v>3.5</v>
      </c>
    </row>
    <row r="105" spans="1:26" x14ac:dyDescent="0.25">
      <c r="A105" s="71">
        <v>45364</v>
      </c>
      <c r="B105" s="72" t="s">
        <v>274</v>
      </c>
      <c r="C105" s="72" t="s">
        <v>8</v>
      </c>
      <c r="D105" s="72" t="s">
        <v>13</v>
      </c>
      <c r="E105" s="72" t="s">
        <v>82</v>
      </c>
      <c r="F105" s="72">
        <v>1</v>
      </c>
      <c r="G105" s="73">
        <f t="shared" si="20"/>
        <v>30</v>
      </c>
      <c r="H105" s="73">
        <f t="shared" si="15"/>
        <v>30</v>
      </c>
      <c r="I105" s="72" t="s">
        <v>78</v>
      </c>
      <c r="J105" s="74"/>
      <c r="L105" s="79"/>
      <c r="M105" s="80"/>
      <c r="N105" s="80"/>
      <c r="O105" s="84"/>
      <c r="X105" s="50" t="s">
        <v>275</v>
      </c>
      <c r="Y105" s="52">
        <v>34.163499999999999</v>
      </c>
      <c r="Z105" s="52">
        <f t="shared" si="19"/>
        <v>3.41635</v>
      </c>
    </row>
    <row r="106" spans="1:26" x14ac:dyDescent="0.25">
      <c r="A106" s="71">
        <v>45364</v>
      </c>
      <c r="B106" s="72" t="s">
        <v>276</v>
      </c>
      <c r="C106" s="72" t="s">
        <v>8</v>
      </c>
      <c r="D106" s="72" t="s">
        <v>18</v>
      </c>
      <c r="E106" s="72" t="s">
        <v>82</v>
      </c>
      <c r="F106" s="72">
        <v>1</v>
      </c>
      <c r="G106" s="73">
        <f t="shared" si="20"/>
        <v>40</v>
      </c>
      <c r="H106" s="73">
        <f t="shared" si="15"/>
        <v>40</v>
      </c>
      <c r="I106" s="72" t="s">
        <v>78</v>
      </c>
      <c r="J106" s="74"/>
      <c r="L106" s="79"/>
      <c r="M106" s="80"/>
      <c r="N106" s="80"/>
      <c r="O106" s="84"/>
      <c r="X106" s="50" t="s">
        <v>277</v>
      </c>
      <c r="Y106" s="52">
        <v>33.253500000000003</v>
      </c>
      <c r="Z106" s="52">
        <f t="shared" si="19"/>
        <v>3.3253500000000003</v>
      </c>
    </row>
    <row r="107" spans="1:26" x14ac:dyDescent="0.25">
      <c r="A107" s="71">
        <v>45364</v>
      </c>
      <c r="B107" s="72" t="s">
        <v>276</v>
      </c>
      <c r="C107" s="72" t="s">
        <v>8</v>
      </c>
      <c r="D107" s="72" t="s">
        <v>23</v>
      </c>
      <c r="E107" s="72" t="s">
        <v>82</v>
      </c>
      <c r="F107" s="72">
        <v>1</v>
      </c>
      <c r="G107" s="73">
        <f t="shared" si="20"/>
        <v>5</v>
      </c>
      <c r="H107" s="73">
        <f t="shared" si="15"/>
        <v>5</v>
      </c>
      <c r="I107" s="72" t="s">
        <v>78</v>
      </c>
      <c r="J107" s="74"/>
      <c r="L107" s="79"/>
      <c r="M107" s="80"/>
      <c r="N107" s="80"/>
      <c r="O107" s="84"/>
      <c r="X107" s="50" t="s">
        <v>278</v>
      </c>
      <c r="Y107" s="52">
        <v>35</v>
      </c>
      <c r="Z107" s="52">
        <f t="shared" ref="Z107:Z138" si="21">Y107*0.1</f>
        <v>3.5</v>
      </c>
    </row>
    <row r="108" spans="1:26" x14ac:dyDescent="0.25">
      <c r="A108" s="71">
        <v>45364</v>
      </c>
      <c r="B108" s="72" t="s">
        <v>279</v>
      </c>
      <c r="C108" s="72" t="s">
        <v>8</v>
      </c>
      <c r="D108" s="72" t="s">
        <v>18</v>
      </c>
      <c r="E108" s="72" t="s">
        <v>82</v>
      </c>
      <c r="F108" s="72">
        <v>2</v>
      </c>
      <c r="G108" s="73">
        <f t="shared" si="20"/>
        <v>40</v>
      </c>
      <c r="H108" s="73">
        <f t="shared" si="15"/>
        <v>80</v>
      </c>
      <c r="I108" s="72" t="s">
        <v>86</v>
      </c>
      <c r="J108" s="74"/>
      <c r="L108" s="79"/>
      <c r="M108" s="80"/>
      <c r="N108" s="80"/>
      <c r="O108" s="84"/>
      <c r="X108" s="50" t="s">
        <v>280</v>
      </c>
      <c r="Y108" s="52">
        <v>35</v>
      </c>
      <c r="Z108" s="52">
        <f t="shared" si="21"/>
        <v>3.5</v>
      </c>
    </row>
    <row r="109" spans="1:26" x14ac:dyDescent="0.25">
      <c r="A109" s="71">
        <v>45364</v>
      </c>
      <c r="B109" s="72" t="s">
        <v>281</v>
      </c>
      <c r="C109" s="72" t="s">
        <v>8</v>
      </c>
      <c r="D109" s="72" t="s">
        <v>18</v>
      </c>
      <c r="E109" s="72" t="s">
        <v>82</v>
      </c>
      <c r="F109" s="72">
        <v>1</v>
      </c>
      <c r="G109" s="73">
        <f t="shared" si="20"/>
        <v>40</v>
      </c>
      <c r="H109" s="73">
        <f t="shared" si="15"/>
        <v>40</v>
      </c>
      <c r="I109" s="72"/>
      <c r="J109" s="74"/>
      <c r="L109" s="79"/>
      <c r="M109" s="80"/>
      <c r="N109" s="80"/>
      <c r="O109" s="84"/>
      <c r="X109" s="50" t="s">
        <v>282</v>
      </c>
      <c r="Y109" s="52">
        <v>34.163499999999999</v>
      </c>
      <c r="Z109" s="52">
        <f t="shared" si="21"/>
        <v>3.41635</v>
      </c>
    </row>
    <row r="110" spans="1:26" x14ac:dyDescent="0.25">
      <c r="A110" s="71">
        <v>45365</v>
      </c>
      <c r="B110" s="72" t="s">
        <v>283</v>
      </c>
      <c r="C110" s="72" t="s">
        <v>8</v>
      </c>
      <c r="D110" s="72" t="s">
        <v>16</v>
      </c>
      <c r="E110" s="72" t="s">
        <v>82</v>
      </c>
      <c r="F110" s="72">
        <v>1</v>
      </c>
      <c r="G110" s="73">
        <v>130</v>
      </c>
      <c r="H110" s="73">
        <f t="shared" si="15"/>
        <v>130</v>
      </c>
      <c r="I110" s="72" t="s">
        <v>83</v>
      </c>
      <c r="J110" s="74" t="s">
        <v>284</v>
      </c>
      <c r="L110" s="79"/>
      <c r="M110" s="80"/>
      <c r="N110" s="80"/>
      <c r="O110" s="84"/>
      <c r="X110" s="50" t="s">
        <v>285</v>
      </c>
      <c r="Y110" s="52">
        <v>33.253500000000003</v>
      </c>
      <c r="Z110" s="52">
        <f t="shared" si="21"/>
        <v>3.3253500000000003</v>
      </c>
    </row>
    <row r="111" spans="1:26" x14ac:dyDescent="0.25">
      <c r="A111" s="71">
        <v>45365</v>
      </c>
      <c r="B111" s="72" t="s">
        <v>283</v>
      </c>
      <c r="C111" s="72" t="s">
        <v>8</v>
      </c>
      <c r="D111" s="72" t="s">
        <v>64</v>
      </c>
      <c r="E111" s="72" t="s">
        <v>82</v>
      </c>
      <c r="F111" s="72">
        <v>1</v>
      </c>
      <c r="G111" s="73">
        <f t="shared" ref="G111:G155" si="22">VLOOKUP(D111,$R$3:$S$114,2,0)</f>
        <v>30</v>
      </c>
      <c r="H111" s="73">
        <f t="shared" si="15"/>
        <v>30</v>
      </c>
      <c r="I111" s="72" t="s">
        <v>83</v>
      </c>
      <c r="J111" s="74"/>
      <c r="L111" s="79"/>
      <c r="M111" s="80"/>
      <c r="N111" s="80"/>
      <c r="O111" s="84"/>
      <c r="X111" s="50" t="s">
        <v>286</v>
      </c>
      <c r="Y111" s="52">
        <v>35</v>
      </c>
      <c r="Z111" s="52">
        <f t="shared" si="21"/>
        <v>3.5</v>
      </c>
    </row>
    <row r="112" spans="1:26" x14ac:dyDescent="0.25">
      <c r="A112" s="71">
        <v>45365</v>
      </c>
      <c r="B112" s="72" t="s">
        <v>283</v>
      </c>
      <c r="C112" s="72" t="s">
        <v>8</v>
      </c>
      <c r="D112" s="72" t="s">
        <v>38</v>
      </c>
      <c r="E112" s="72" t="s">
        <v>82</v>
      </c>
      <c r="F112" s="72">
        <v>1</v>
      </c>
      <c r="G112" s="73">
        <f t="shared" si="22"/>
        <v>6</v>
      </c>
      <c r="H112" s="73">
        <f t="shared" si="15"/>
        <v>6</v>
      </c>
      <c r="I112" s="72" t="s">
        <v>83</v>
      </c>
      <c r="J112" s="74"/>
      <c r="L112" s="79"/>
      <c r="M112" s="80"/>
      <c r="N112" s="80"/>
      <c r="O112" s="84"/>
      <c r="X112" s="50" t="s">
        <v>287</v>
      </c>
      <c r="Y112" s="52">
        <v>35</v>
      </c>
      <c r="Z112" s="52">
        <f t="shared" si="21"/>
        <v>3.5</v>
      </c>
    </row>
    <row r="113" spans="1:26" x14ac:dyDescent="0.25">
      <c r="A113" s="71">
        <v>45365</v>
      </c>
      <c r="B113" s="72" t="s">
        <v>196</v>
      </c>
      <c r="C113" s="72" t="s">
        <v>8</v>
      </c>
      <c r="D113" s="72" t="s">
        <v>18</v>
      </c>
      <c r="E113" s="72" t="s">
        <v>82</v>
      </c>
      <c r="F113" s="72">
        <v>1</v>
      </c>
      <c r="G113" s="73">
        <f t="shared" si="22"/>
        <v>40</v>
      </c>
      <c r="H113" s="73">
        <f t="shared" si="15"/>
        <v>40</v>
      </c>
      <c r="I113" s="72" t="s">
        <v>83</v>
      </c>
      <c r="J113" s="74"/>
      <c r="L113" s="79"/>
      <c r="M113" s="80"/>
      <c r="N113" s="80"/>
      <c r="O113" s="84"/>
      <c r="X113" s="50" t="s">
        <v>288</v>
      </c>
      <c r="Y113" s="52">
        <v>34.163499999999999</v>
      </c>
      <c r="Z113" s="52">
        <f t="shared" si="21"/>
        <v>3.41635</v>
      </c>
    </row>
    <row r="114" spans="1:26" x14ac:dyDescent="0.25">
      <c r="A114" s="71">
        <v>45365</v>
      </c>
      <c r="B114" s="72" t="s">
        <v>289</v>
      </c>
      <c r="C114" s="72" t="s">
        <v>8</v>
      </c>
      <c r="D114" s="72" t="s">
        <v>15</v>
      </c>
      <c r="E114" s="72" t="s">
        <v>82</v>
      </c>
      <c r="F114" s="72">
        <v>1</v>
      </c>
      <c r="G114" s="73">
        <f t="shared" si="22"/>
        <v>70</v>
      </c>
      <c r="H114" s="73">
        <f t="shared" si="15"/>
        <v>70</v>
      </c>
      <c r="I114" s="72" t="s">
        <v>78</v>
      </c>
      <c r="J114" s="74"/>
      <c r="L114" s="79"/>
      <c r="M114" s="80"/>
      <c r="N114" s="80"/>
      <c r="O114" s="84"/>
      <c r="X114" s="50" t="s">
        <v>290</v>
      </c>
      <c r="Y114" s="52">
        <v>33.253500000000003</v>
      </c>
      <c r="Z114" s="52">
        <f t="shared" si="21"/>
        <v>3.3253500000000003</v>
      </c>
    </row>
    <row r="115" spans="1:26" x14ac:dyDescent="0.25">
      <c r="A115" s="71">
        <v>45366</v>
      </c>
      <c r="B115" s="72" t="s">
        <v>291</v>
      </c>
      <c r="C115" s="72" t="s">
        <v>8</v>
      </c>
      <c r="D115" s="72" t="s">
        <v>18</v>
      </c>
      <c r="E115" s="72" t="s">
        <v>56</v>
      </c>
      <c r="F115" s="72">
        <v>1</v>
      </c>
      <c r="G115" s="73">
        <f t="shared" si="22"/>
        <v>40</v>
      </c>
      <c r="H115" s="73">
        <f t="shared" si="15"/>
        <v>40</v>
      </c>
      <c r="I115" s="72" t="s">
        <v>86</v>
      </c>
      <c r="J115" s="74"/>
      <c r="L115" s="79"/>
      <c r="M115" s="80"/>
      <c r="N115" s="80"/>
      <c r="O115" s="84"/>
      <c r="X115" s="50" t="s">
        <v>292</v>
      </c>
      <c r="Y115" s="52">
        <v>60</v>
      </c>
      <c r="Z115" s="52">
        <f t="shared" si="21"/>
        <v>6</v>
      </c>
    </row>
    <row r="116" spans="1:26" x14ac:dyDescent="0.25">
      <c r="A116" s="71">
        <v>45366</v>
      </c>
      <c r="B116" s="72" t="s">
        <v>56</v>
      </c>
      <c r="C116" s="72" t="s">
        <v>10</v>
      </c>
      <c r="D116" s="72" t="s">
        <v>18</v>
      </c>
      <c r="E116" s="72" t="s">
        <v>56</v>
      </c>
      <c r="F116" s="72">
        <v>1</v>
      </c>
      <c r="G116" s="73">
        <f t="shared" si="22"/>
        <v>40</v>
      </c>
      <c r="H116" s="73">
        <f t="shared" si="15"/>
        <v>40</v>
      </c>
      <c r="I116" s="72" t="s">
        <v>83</v>
      </c>
      <c r="J116" s="74"/>
      <c r="L116" s="79"/>
      <c r="M116" s="80"/>
      <c r="N116" s="80"/>
      <c r="O116" s="84"/>
      <c r="X116" s="50" t="s">
        <v>293</v>
      </c>
      <c r="Y116" s="52">
        <v>60</v>
      </c>
      <c r="Z116" s="52">
        <f t="shared" si="21"/>
        <v>6</v>
      </c>
    </row>
    <row r="117" spans="1:26" x14ac:dyDescent="0.25">
      <c r="A117" s="71">
        <v>45366</v>
      </c>
      <c r="B117" s="72" t="s">
        <v>294</v>
      </c>
      <c r="C117" s="72" t="s">
        <v>8</v>
      </c>
      <c r="D117" s="72" t="s">
        <v>18</v>
      </c>
      <c r="E117" s="72" t="s">
        <v>82</v>
      </c>
      <c r="F117" s="72">
        <v>1</v>
      </c>
      <c r="G117" s="73">
        <f t="shared" si="22"/>
        <v>40</v>
      </c>
      <c r="H117" s="73">
        <f t="shared" si="15"/>
        <v>40</v>
      </c>
      <c r="I117" s="72" t="s">
        <v>83</v>
      </c>
      <c r="J117" s="74"/>
      <c r="L117" s="79"/>
      <c r="M117" s="80"/>
      <c r="N117" s="80"/>
      <c r="O117" s="84"/>
      <c r="X117" s="50" t="s">
        <v>295</v>
      </c>
      <c r="Y117" s="52">
        <v>58.566000000000003</v>
      </c>
      <c r="Z117" s="52">
        <f t="shared" si="21"/>
        <v>5.8566000000000003</v>
      </c>
    </row>
    <row r="118" spans="1:26" x14ac:dyDescent="0.25">
      <c r="A118" s="71">
        <v>45366</v>
      </c>
      <c r="B118" s="72" t="s">
        <v>294</v>
      </c>
      <c r="C118" s="72" t="s">
        <v>8</v>
      </c>
      <c r="D118" s="72" t="s">
        <v>23</v>
      </c>
      <c r="E118" s="72" t="s">
        <v>82</v>
      </c>
      <c r="F118" s="72">
        <v>1</v>
      </c>
      <c r="G118" s="73">
        <f t="shared" si="22"/>
        <v>5</v>
      </c>
      <c r="H118" s="73">
        <f t="shared" si="15"/>
        <v>5</v>
      </c>
      <c r="I118" s="72" t="s">
        <v>83</v>
      </c>
      <c r="J118" s="74"/>
      <c r="L118" s="79"/>
      <c r="M118" s="80"/>
      <c r="N118" s="80"/>
      <c r="O118" s="84"/>
      <c r="X118" s="50" t="s">
        <v>296</v>
      </c>
      <c r="Y118" s="52">
        <v>57.006</v>
      </c>
      <c r="Z118" s="52">
        <f t="shared" si="21"/>
        <v>5.7006000000000006</v>
      </c>
    </row>
    <row r="119" spans="1:26" x14ac:dyDescent="0.25">
      <c r="A119" s="71">
        <v>45366</v>
      </c>
      <c r="B119" s="72" t="s">
        <v>297</v>
      </c>
      <c r="C119" s="72" t="s">
        <v>8</v>
      </c>
      <c r="D119" s="72" t="s">
        <v>15</v>
      </c>
      <c r="E119" s="72" t="s">
        <v>82</v>
      </c>
      <c r="F119" s="72">
        <v>1</v>
      </c>
      <c r="G119" s="73">
        <f t="shared" si="22"/>
        <v>70</v>
      </c>
      <c r="H119" s="73">
        <f t="shared" si="15"/>
        <v>70</v>
      </c>
      <c r="I119" s="72" t="s">
        <v>83</v>
      </c>
      <c r="J119" s="74"/>
      <c r="L119" s="79"/>
      <c r="M119" s="80"/>
      <c r="N119" s="80"/>
      <c r="O119" s="84"/>
      <c r="X119" s="50" t="s">
        <v>298</v>
      </c>
      <c r="Y119" s="52">
        <v>6</v>
      </c>
      <c r="Z119" s="52">
        <f t="shared" si="21"/>
        <v>0.60000000000000009</v>
      </c>
    </row>
    <row r="120" spans="1:26" x14ac:dyDescent="0.25">
      <c r="A120" s="71">
        <v>45366</v>
      </c>
      <c r="B120" s="72" t="s">
        <v>299</v>
      </c>
      <c r="C120" s="72" t="s">
        <v>8</v>
      </c>
      <c r="D120" s="72" t="s">
        <v>18</v>
      </c>
      <c r="E120" s="72" t="s">
        <v>82</v>
      </c>
      <c r="F120" s="72">
        <v>2</v>
      </c>
      <c r="G120" s="73">
        <f t="shared" si="22"/>
        <v>40</v>
      </c>
      <c r="H120" s="73">
        <f t="shared" si="15"/>
        <v>80</v>
      </c>
      <c r="I120" s="72" t="s">
        <v>83</v>
      </c>
      <c r="J120" s="74"/>
      <c r="L120" s="79"/>
      <c r="M120" s="80"/>
      <c r="N120" s="80"/>
      <c r="O120" s="84"/>
      <c r="X120" s="50" t="s">
        <v>300</v>
      </c>
      <c r="Y120" s="52">
        <v>6</v>
      </c>
      <c r="Z120" s="52">
        <f t="shared" si="21"/>
        <v>0.60000000000000009</v>
      </c>
    </row>
    <row r="121" spans="1:26" x14ac:dyDescent="0.25">
      <c r="A121" s="71">
        <v>45366</v>
      </c>
      <c r="B121" s="72" t="s">
        <v>301</v>
      </c>
      <c r="C121" s="72" t="s">
        <v>8</v>
      </c>
      <c r="D121" s="72" t="s">
        <v>18</v>
      </c>
      <c r="E121" s="72" t="s">
        <v>82</v>
      </c>
      <c r="F121" s="72">
        <v>1</v>
      </c>
      <c r="G121" s="73">
        <f t="shared" si="22"/>
        <v>40</v>
      </c>
      <c r="H121" s="73">
        <f t="shared" si="15"/>
        <v>40</v>
      </c>
      <c r="I121" s="72" t="s">
        <v>83</v>
      </c>
      <c r="J121" s="74"/>
      <c r="L121" s="79"/>
      <c r="M121" s="80"/>
      <c r="N121" s="80"/>
      <c r="O121" s="84"/>
      <c r="X121" s="50" t="s">
        <v>302</v>
      </c>
      <c r="Y121" s="52">
        <v>5.8566000000000003</v>
      </c>
      <c r="Z121" s="52">
        <f t="shared" si="21"/>
        <v>0.58566000000000007</v>
      </c>
    </row>
    <row r="122" spans="1:26" x14ac:dyDescent="0.25">
      <c r="A122" s="71">
        <v>45366</v>
      </c>
      <c r="B122" s="72" t="s">
        <v>303</v>
      </c>
      <c r="C122" s="72" t="s">
        <v>8</v>
      </c>
      <c r="D122" s="72" t="s">
        <v>18</v>
      </c>
      <c r="E122" s="72" t="s">
        <v>82</v>
      </c>
      <c r="F122" s="72">
        <v>1</v>
      </c>
      <c r="G122" s="73">
        <f t="shared" si="22"/>
        <v>40</v>
      </c>
      <c r="H122" s="73">
        <f t="shared" si="15"/>
        <v>40</v>
      </c>
      <c r="I122" s="72" t="s">
        <v>83</v>
      </c>
      <c r="J122" s="74"/>
      <c r="L122" s="79"/>
      <c r="M122" s="80"/>
      <c r="N122" s="80"/>
      <c r="O122" s="84"/>
      <c r="X122" s="50" t="s">
        <v>304</v>
      </c>
      <c r="Y122" s="52">
        <v>5.7005999999999997</v>
      </c>
      <c r="Z122" s="52">
        <f t="shared" si="21"/>
        <v>0.57006000000000001</v>
      </c>
    </row>
    <row r="123" spans="1:26" x14ac:dyDescent="0.25">
      <c r="A123" s="71">
        <v>45366</v>
      </c>
      <c r="B123" s="72" t="s">
        <v>204</v>
      </c>
      <c r="C123" s="72" t="s">
        <v>8</v>
      </c>
      <c r="D123" s="72" t="s">
        <v>18</v>
      </c>
      <c r="E123" s="72" t="s">
        <v>82</v>
      </c>
      <c r="F123" s="72">
        <v>1</v>
      </c>
      <c r="G123" s="73">
        <f t="shared" si="22"/>
        <v>40</v>
      </c>
      <c r="H123" s="73">
        <f t="shared" si="15"/>
        <v>40</v>
      </c>
      <c r="I123" s="72" t="s">
        <v>86</v>
      </c>
      <c r="J123" s="74"/>
      <c r="L123" s="79"/>
      <c r="M123" s="80"/>
      <c r="N123" s="80"/>
      <c r="O123" s="84"/>
      <c r="X123" s="50" t="s">
        <v>305</v>
      </c>
      <c r="Y123" s="52">
        <v>7</v>
      </c>
      <c r="Z123" s="52">
        <f t="shared" si="21"/>
        <v>0.70000000000000007</v>
      </c>
    </row>
    <row r="124" spans="1:26" x14ac:dyDescent="0.25">
      <c r="A124" s="71">
        <v>45366</v>
      </c>
      <c r="B124" s="72" t="s">
        <v>306</v>
      </c>
      <c r="C124" s="72" t="s">
        <v>8</v>
      </c>
      <c r="D124" s="72" t="s">
        <v>15</v>
      </c>
      <c r="E124" s="72" t="s">
        <v>82</v>
      </c>
      <c r="F124" s="72">
        <v>1</v>
      </c>
      <c r="G124" s="73">
        <f t="shared" si="22"/>
        <v>70</v>
      </c>
      <c r="H124" s="73">
        <f t="shared" si="15"/>
        <v>70</v>
      </c>
      <c r="I124" s="72" t="s">
        <v>86</v>
      </c>
      <c r="J124" s="74"/>
      <c r="L124" s="79"/>
      <c r="M124" s="80"/>
      <c r="N124" s="80"/>
      <c r="O124" s="84"/>
      <c r="X124" s="50" t="s">
        <v>307</v>
      </c>
      <c r="Y124" s="52">
        <v>7</v>
      </c>
      <c r="Z124" s="52">
        <f t="shared" si="21"/>
        <v>0.70000000000000007</v>
      </c>
    </row>
    <row r="125" spans="1:26" x14ac:dyDescent="0.25">
      <c r="A125" s="71">
        <v>45367</v>
      </c>
      <c r="B125" s="72" t="s">
        <v>308</v>
      </c>
      <c r="C125" s="72" t="s">
        <v>9</v>
      </c>
      <c r="D125" s="72" t="s">
        <v>18</v>
      </c>
      <c r="E125" s="72" t="s">
        <v>56</v>
      </c>
      <c r="F125" s="72">
        <v>1</v>
      </c>
      <c r="G125" s="73">
        <f t="shared" si="22"/>
        <v>40</v>
      </c>
      <c r="H125" s="73">
        <f t="shared" si="15"/>
        <v>40</v>
      </c>
      <c r="I125" s="72" t="s">
        <v>83</v>
      </c>
      <c r="J125" s="74"/>
      <c r="L125" s="79"/>
      <c r="M125" s="80"/>
      <c r="N125" s="80"/>
      <c r="O125" s="84"/>
      <c r="X125" s="50" t="s">
        <v>309</v>
      </c>
      <c r="Y125" s="52">
        <v>6.8327</v>
      </c>
      <c r="Z125" s="52">
        <f t="shared" si="21"/>
        <v>0.68327000000000004</v>
      </c>
    </row>
    <row r="126" spans="1:26" x14ac:dyDescent="0.25">
      <c r="A126" s="71">
        <v>45367</v>
      </c>
      <c r="B126" s="72" t="s">
        <v>310</v>
      </c>
      <c r="C126" s="72" t="s">
        <v>10</v>
      </c>
      <c r="D126" s="72" t="s">
        <v>18</v>
      </c>
      <c r="E126" s="72" t="s">
        <v>56</v>
      </c>
      <c r="F126" s="72">
        <v>1</v>
      </c>
      <c r="G126" s="73">
        <f t="shared" si="22"/>
        <v>40</v>
      </c>
      <c r="H126" s="73">
        <f t="shared" si="15"/>
        <v>40</v>
      </c>
      <c r="I126" s="72" t="s">
        <v>86</v>
      </c>
      <c r="J126" s="74"/>
      <c r="L126" s="79"/>
      <c r="M126" s="80"/>
      <c r="N126" s="80"/>
      <c r="O126" s="84"/>
      <c r="X126" s="50" t="s">
        <v>311</v>
      </c>
      <c r="Y126" s="52">
        <v>6.6506999999999996</v>
      </c>
      <c r="Z126" s="52">
        <f t="shared" si="21"/>
        <v>0.66507000000000005</v>
      </c>
    </row>
    <row r="127" spans="1:26" x14ac:dyDescent="0.25">
      <c r="A127" s="71">
        <v>45367</v>
      </c>
      <c r="B127" s="72" t="s">
        <v>312</v>
      </c>
      <c r="C127" s="72" t="s">
        <v>10</v>
      </c>
      <c r="D127" s="72" t="s">
        <v>15</v>
      </c>
      <c r="E127" s="72" t="s">
        <v>56</v>
      </c>
      <c r="F127" s="72">
        <v>1</v>
      </c>
      <c r="G127" s="73">
        <f t="shared" si="22"/>
        <v>70</v>
      </c>
      <c r="H127" s="73">
        <f t="shared" si="15"/>
        <v>70</v>
      </c>
      <c r="I127" s="72" t="s">
        <v>78</v>
      </c>
      <c r="J127" s="74"/>
      <c r="L127" s="79"/>
      <c r="M127" s="80"/>
      <c r="N127" s="80"/>
      <c r="O127" s="84"/>
      <c r="X127" s="50" t="s">
        <v>313</v>
      </c>
      <c r="Y127" s="52">
        <v>5</v>
      </c>
      <c r="Z127" s="52">
        <f t="shared" si="21"/>
        <v>0.5</v>
      </c>
    </row>
    <row r="128" spans="1:26" x14ac:dyDescent="0.25">
      <c r="A128" s="71">
        <v>45367</v>
      </c>
      <c r="B128" s="72" t="s">
        <v>314</v>
      </c>
      <c r="C128" s="72" t="s">
        <v>10</v>
      </c>
      <c r="D128" s="72" t="s">
        <v>18</v>
      </c>
      <c r="E128" s="72" t="s">
        <v>56</v>
      </c>
      <c r="F128" s="72">
        <v>1</v>
      </c>
      <c r="G128" s="73">
        <f t="shared" si="22"/>
        <v>40</v>
      </c>
      <c r="H128" s="73">
        <f t="shared" si="15"/>
        <v>40</v>
      </c>
      <c r="I128" s="72" t="s">
        <v>78</v>
      </c>
      <c r="J128" s="74" t="s">
        <v>315</v>
      </c>
      <c r="L128" s="79"/>
      <c r="M128" s="80"/>
      <c r="N128" s="80"/>
      <c r="O128" s="84"/>
      <c r="X128" s="50" t="s">
        <v>316</v>
      </c>
      <c r="Y128" s="52">
        <v>5</v>
      </c>
      <c r="Z128" s="52">
        <f t="shared" si="21"/>
        <v>0.5</v>
      </c>
    </row>
    <row r="129" spans="1:26" x14ac:dyDescent="0.25">
      <c r="A129" s="71">
        <v>45367</v>
      </c>
      <c r="B129" s="72" t="s">
        <v>314</v>
      </c>
      <c r="C129" s="72" t="s">
        <v>10</v>
      </c>
      <c r="D129" s="72" t="s">
        <v>317</v>
      </c>
      <c r="E129" s="72" t="s">
        <v>56</v>
      </c>
      <c r="F129" s="72">
        <v>1</v>
      </c>
      <c r="G129" s="73">
        <f t="shared" si="22"/>
        <v>30</v>
      </c>
      <c r="H129" s="73">
        <f t="shared" si="15"/>
        <v>30</v>
      </c>
      <c r="I129" s="72" t="s">
        <v>79</v>
      </c>
      <c r="J129" s="74" t="s">
        <v>315</v>
      </c>
      <c r="L129" s="79"/>
      <c r="M129" s="80"/>
      <c r="N129" s="80"/>
      <c r="O129" s="84"/>
      <c r="X129" s="50" t="s">
        <v>318</v>
      </c>
      <c r="Y129" s="52">
        <v>4.8804999999999996</v>
      </c>
      <c r="Z129" s="52">
        <f t="shared" si="21"/>
        <v>0.48804999999999998</v>
      </c>
    </row>
    <row r="130" spans="1:26" x14ac:dyDescent="0.25">
      <c r="A130" s="71">
        <v>45367</v>
      </c>
      <c r="B130" s="72" t="s">
        <v>319</v>
      </c>
      <c r="C130" s="72" t="s">
        <v>10</v>
      </c>
      <c r="D130" s="72" t="s">
        <v>18</v>
      </c>
      <c r="E130" s="72" t="s">
        <v>56</v>
      </c>
      <c r="F130" s="72">
        <v>1</v>
      </c>
      <c r="G130" s="73">
        <f t="shared" si="22"/>
        <v>40</v>
      </c>
      <c r="H130" s="73">
        <f t="shared" si="15"/>
        <v>40</v>
      </c>
      <c r="I130" s="72" t="s">
        <v>83</v>
      </c>
      <c r="J130" s="74"/>
      <c r="L130" s="79"/>
      <c r="M130" s="80"/>
      <c r="N130" s="80"/>
      <c r="O130" s="84"/>
      <c r="X130" s="50" t="s">
        <v>320</v>
      </c>
      <c r="Y130" s="52">
        <v>4.7504999999999997</v>
      </c>
      <c r="Z130" s="52">
        <f t="shared" si="21"/>
        <v>0.47504999999999997</v>
      </c>
    </row>
    <row r="131" spans="1:26" x14ac:dyDescent="0.25">
      <c r="A131" s="71">
        <v>45367</v>
      </c>
      <c r="B131" s="72" t="s">
        <v>319</v>
      </c>
      <c r="C131" s="72" t="s">
        <v>10</v>
      </c>
      <c r="D131" s="72" t="s">
        <v>64</v>
      </c>
      <c r="E131" s="72" t="s">
        <v>56</v>
      </c>
      <c r="F131" s="72">
        <v>1</v>
      </c>
      <c r="G131" s="73">
        <f t="shared" si="22"/>
        <v>30</v>
      </c>
      <c r="H131" s="73">
        <f t="shared" ref="H131:H194" si="23">F131*G131</f>
        <v>30</v>
      </c>
      <c r="I131" s="72" t="s">
        <v>83</v>
      </c>
      <c r="J131" s="74"/>
      <c r="L131" s="79"/>
      <c r="M131" s="80"/>
      <c r="N131" s="80"/>
      <c r="O131" s="84"/>
      <c r="X131" s="50" t="s">
        <v>321</v>
      </c>
      <c r="Y131" s="52">
        <v>10</v>
      </c>
      <c r="Z131" s="52">
        <f t="shared" si="21"/>
        <v>1</v>
      </c>
    </row>
    <row r="132" spans="1:26" x14ac:dyDescent="0.25">
      <c r="A132" s="71">
        <v>45367</v>
      </c>
      <c r="B132" s="72" t="s">
        <v>322</v>
      </c>
      <c r="C132" s="72" t="s">
        <v>8</v>
      </c>
      <c r="D132" s="72" t="s">
        <v>18</v>
      </c>
      <c r="E132" s="72" t="s">
        <v>82</v>
      </c>
      <c r="F132" s="72">
        <v>1</v>
      </c>
      <c r="G132" s="73">
        <f t="shared" si="22"/>
        <v>40</v>
      </c>
      <c r="H132" s="73">
        <f t="shared" si="23"/>
        <v>40</v>
      </c>
      <c r="I132" s="72" t="s">
        <v>78</v>
      </c>
      <c r="J132" s="74"/>
      <c r="L132" s="79"/>
      <c r="M132" s="80"/>
      <c r="N132" s="80"/>
      <c r="O132" s="84"/>
      <c r="X132" s="50" t="s">
        <v>323</v>
      </c>
      <c r="Y132" s="52">
        <v>10</v>
      </c>
      <c r="Z132" s="52">
        <f t="shared" si="21"/>
        <v>1</v>
      </c>
    </row>
    <row r="133" spans="1:26" x14ac:dyDescent="0.25">
      <c r="A133" s="71">
        <v>45367</v>
      </c>
      <c r="B133" s="72" t="s">
        <v>324</v>
      </c>
      <c r="C133" s="72" t="s">
        <v>8</v>
      </c>
      <c r="D133" s="72" t="s">
        <v>104</v>
      </c>
      <c r="E133" s="72" t="s">
        <v>82</v>
      </c>
      <c r="F133" s="72">
        <v>1</v>
      </c>
      <c r="G133" s="73">
        <f t="shared" si="22"/>
        <v>60</v>
      </c>
      <c r="H133" s="73">
        <f t="shared" si="23"/>
        <v>60</v>
      </c>
      <c r="I133" s="72" t="s">
        <v>86</v>
      </c>
      <c r="J133" s="74"/>
      <c r="L133" s="79"/>
      <c r="M133" s="80"/>
      <c r="N133" s="80"/>
      <c r="O133" s="84"/>
      <c r="X133" s="50" t="s">
        <v>325</v>
      </c>
      <c r="Y133" s="52">
        <v>9.7609999999999992</v>
      </c>
      <c r="Z133" s="52">
        <f t="shared" si="21"/>
        <v>0.97609999999999997</v>
      </c>
    </row>
    <row r="134" spans="1:26" x14ac:dyDescent="0.25">
      <c r="A134" s="71">
        <v>45367</v>
      </c>
      <c r="B134" s="72" t="s">
        <v>324</v>
      </c>
      <c r="C134" s="72" t="s">
        <v>8</v>
      </c>
      <c r="D134" s="72" t="s">
        <v>18</v>
      </c>
      <c r="E134" s="72" t="s">
        <v>82</v>
      </c>
      <c r="F134" s="72">
        <v>1</v>
      </c>
      <c r="G134" s="73">
        <f t="shared" si="22"/>
        <v>40</v>
      </c>
      <c r="H134" s="73">
        <f t="shared" si="23"/>
        <v>40</v>
      </c>
      <c r="I134" s="72" t="s">
        <v>86</v>
      </c>
      <c r="J134" s="74"/>
      <c r="L134" s="79"/>
      <c r="M134" s="80"/>
      <c r="N134" s="80"/>
      <c r="O134" s="84"/>
      <c r="X134" s="50" t="s">
        <v>326</v>
      </c>
      <c r="Y134" s="52">
        <v>9.5009999999999994</v>
      </c>
      <c r="Z134" s="52">
        <f t="shared" si="21"/>
        <v>0.95009999999999994</v>
      </c>
    </row>
    <row r="135" spans="1:26" x14ac:dyDescent="0.25">
      <c r="A135" s="71">
        <v>45367</v>
      </c>
      <c r="B135" s="72" t="s">
        <v>324</v>
      </c>
      <c r="C135" s="72" t="s">
        <v>8</v>
      </c>
      <c r="D135" s="72" t="s">
        <v>155</v>
      </c>
      <c r="E135" s="72" t="s">
        <v>82</v>
      </c>
      <c r="F135" s="72">
        <v>1</v>
      </c>
      <c r="G135" s="73">
        <f t="shared" si="22"/>
        <v>3.5</v>
      </c>
      <c r="H135" s="73">
        <f t="shared" si="23"/>
        <v>3.5</v>
      </c>
      <c r="I135" s="72" t="s">
        <v>86</v>
      </c>
      <c r="J135" s="74"/>
      <c r="L135" s="79"/>
      <c r="M135" s="80"/>
      <c r="N135" s="80"/>
      <c r="O135" s="84"/>
      <c r="X135" s="50" t="s">
        <v>327</v>
      </c>
      <c r="Y135" s="52">
        <v>5</v>
      </c>
      <c r="Z135" s="52">
        <f t="shared" si="21"/>
        <v>0.5</v>
      </c>
    </row>
    <row r="136" spans="1:26" x14ac:dyDescent="0.25">
      <c r="A136" s="71">
        <v>45367</v>
      </c>
      <c r="B136" s="72" t="s">
        <v>328</v>
      </c>
      <c r="C136" s="72" t="s">
        <v>8</v>
      </c>
      <c r="D136" s="72" t="s">
        <v>17</v>
      </c>
      <c r="E136" s="72" t="s">
        <v>82</v>
      </c>
      <c r="F136" s="72">
        <v>1</v>
      </c>
      <c r="G136" s="73">
        <f t="shared" si="22"/>
        <v>50</v>
      </c>
      <c r="H136" s="73">
        <f t="shared" si="23"/>
        <v>50</v>
      </c>
      <c r="I136" s="72" t="s">
        <v>86</v>
      </c>
      <c r="J136" s="74"/>
      <c r="L136" s="79"/>
      <c r="M136" s="80"/>
      <c r="N136" s="80"/>
      <c r="O136" s="84"/>
      <c r="X136" s="50" t="s">
        <v>329</v>
      </c>
      <c r="Y136" s="52">
        <v>5</v>
      </c>
      <c r="Z136" s="52">
        <f t="shared" si="21"/>
        <v>0.5</v>
      </c>
    </row>
    <row r="137" spans="1:26" x14ac:dyDescent="0.25">
      <c r="A137" s="71">
        <v>45367</v>
      </c>
      <c r="B137" s="72" t="s">
        <v>204</v>
      </c>
      <c r="C137" s="72" t="s">
        <v>8</v>
      </c>
      <c r="D137" s="72" t="s">
        <v>16</v>
      </c>
      <c r="E137" s="72" t="s">
        <v>82</v>
      </c>
      <c r="F137" s="72">
        <v>1</v>
      </c>
      <c r="G137" s="73">
        <f t="shared" si="22"/>
        <v>80</v>
      </c>
      <c r="H137" s="73">
        <f t="shared" si="23"/>
        <v>80</v>
      </c>
      <c r="I137" s="72" t="s">
        <v>86</v>
      </c>
      <c r="J137" s="74"/>
      <c r="L137" s="79"/>
      <c r="M137" s="80"/>
      <c r="N137" s="80"/>
      <c r="O137" s="84"/>
      <c r="X137" s="50" t="s">
        <v>330</v>
      </c>
      <c r="Y137" s="52">
        <v>4.8804999999999996</v>
      </c>
      <c r="Z137" s="52">
        <f t="shared" si="21"/>
        <v>0.48804999999999998</v>
      </c>
    </row>
    <row r="138" spans="1:26" x14ac:dyDescent="0.25">
      <c r="A138" s="71">
        <v>45367</v>
      </c>
      <c r="B138" s="72" t="s">
        <v>251</v>
      </c>
      <c r="C138" s="72" t="s">
        <v>8</v>
      </c>
      <c r="D138" s="72" t="s">
        <v>24</v>
      </c>
      <c r="E138" s="72" t="s">
        <v>82</v>
      </c>
      <c r="F138" s="72">
        <v>1</v>
      </c>
      <c r="G138" s="73">
        <f t="shared" si="22"/>
        <v>10</v>
      </c>
      <c r="H138" s="73">
        <f t="shared" si="23"/>
        <v>10</v>
      </c>
      <c r="I138" s="72" t="s">
        <v>83</v>
      </c>
      <c r="J138" s="74"/>
      <c r="L138" s="79"/>
      <c r="M138" s="80"/>
      <c r="N138" s="80"/>
      <c r="O138" s="84"/>
      <c r="X138" s="50" t="s">
        <v>331</v>
      </c>
      <c r="Y138" s="52">
        <v>4.7504999999999997</v>
      </c>
      <c r="Z138" s="52">
        <f t="shared" si="21"/>
        <v>0.47504999999999997</v>
      </c>
    </row>
    <row r="139" spans="1:26" x14ac:dyDescent="0.25">
      <c r="A139" s="71">
        <v>45367</v>
      </c>
      <c r="B139" s="72" t="s">
        <v>332</v>
      </c>
      <c r="C139" s="72" t="s">
        <v>8</v>
      </c>
      <c r="D139" s="72" t="s">
        <v>24</v>
      </c>
      <c r="E139" s="72" t="s">
        <v>82</v>
      </c>
      <c r="F139" s="72">
        <v>1</v>
      </c>
      <c r="G139" s="73">
        <f t="shared" si="22"/>
        <v>10</v>
      </c>
      <c r="H139" s="73">
        <f t="shared" si="23"/>
        <v>10</v>
      </c>
      <c r="I139" s="72" t="s">
        <v>333</v>
      </c>
      <c r="J139" s="74"/>
      <c r="L139" s="79"/>
      <c r="M139" s="80"/>
      <c r="N139" s="80"/>
      <c r="O139" s="84"/>
      <c r="X139" s="50" t="s">
        <v>334</v>
      </c>
      <c r="Y139" s="52">
        <v>7</v>
      </c>
      <c r="Z139" s="52">
        <f t="shared" ref="Z139:Z166" si="24">Y139*0.1</f>
        <v>0.70000000000000007</v>
      </c>
    </row>
    <row r="140" spans="1:26" x14ac:dyDescent="0.25">
      <c r="A140" s="71">
        <v>45367</v>
      </c>
      <c r="B140" s="72" t="s">
        <v>332</v>
      </c>
      <c r="C140" s="72" t="s">
        <v>8</v>
      </c>
      <c r="D140" s="72" t="s">
        <v>23</v>
      </c>
      <c r="E140" s="72" t="s">
        <v>82</v>
      </c>
      <c r="F140" s="72">
        <v>1</v>
      </c>
      <c r="G140" s="73">
        <f t="shared" si="22"/>
        <v>5</v>
      </c>
      <c r="H140" s="73">
        <f t="shared" si="23"/>
        <v>5</v>
      </c>
      <c r="I140" s="72" t="s">
        <v>218</v>
      </c>
      <c r="J140" s="74"/>
      <c r="L140" s="79"/>
      <c r="M140" s="80"/>
      <c r="N140" s="80"/>
      <c r="O140" s="84"/>
      <c r="X140" s="50" t="s">
        <v>335</v>
      </c>
      <c r="Y140" s="52">
        <v>7</v>
      </c>
      <c r="Z140" s="52">
        <f t="shared" si="24"/>
        <v>0.70000000000000007</v>
      </c>
    </row>
    <row r="141" spans="1:26" x14ac:dyDescent="0.25">
      <c r="A141" s="71">
        <v>45367</v>
      </c>
      <c r="B141" s="72" t="s">
        <v>336</v>
      </c>
      <c r="C141" s="72" t="s">
        <v>8</v>
      </c>
      <c r="D141" s="72" t="s">
        <v>22</v>
      </c>
      <c r="E141" s="72" t="s">
        <v>82</v>
      </c>
      <c r="F141" s="72">
        <v>1</v>
      </c>
      <c r="G141" s="73">
        <f t="shared" si="22"/>
        <v>30</v>
      </c>
      <c r="H141" s="73">
        <f t="shared" si="23"/>
        <v>30</v>
      </c>
      <c r="I141" s="72" t="s">
        <v>83</v>
      </c>
      <c r="J141" s="74"/>
      <c r="L141" s="79"/>
      <c r="M141" s="80"/>
      <c r="N141" s="80"/>
      <c r="O141" s="84"/>
      <c r="X141" s="50" t="s">
        <v>337</v>
      </c>
      <c r="Y141" s="52">
        <v>6.8327</v>
      </c>
      <c r="Z141" s="52">
        <f t="shared" si="24"/>
        <v>0.68327000000000004</v>
      </c>
    </row>
    <row r="142" spans="1:26" x14ac:dyDescent="0.25">
      <c r="A142" s="71">
        <v>45367</v>
      </c>
      <c r="B142" s="72" t="s">
        <v>338</v>
      </c>
      <c r="C142" s="72" t="s">
        <v>8</v>
      </c>
      <c r="D142" s="72" t="s">
        <v>23</v>
      </c>
      <c r="E142" s="72" t="s">
        <v>82</v>
      </c>
      <c r="F142" s="72">
        <v>1</v>
      </c>
      <c r="G142" s="73">
        <f t="shared" si="22"/>
        <v>5</v>
      </c>
      <c r="H142" s="73">
        <f t="shared" si="23"/>
        <v>5</v>
      </c>
      <c r="I142" s="72" t="s">
        <v>83</v>
      </c>
      <c r="J142" s="74"/>
      <c r="L142" s="79"/>
      <c r="M142" s="80"/>
      <c r="N142" s="80"/>
      <c r="O142" s="84"/>
      <c r="X142" s="50" t="s">
        <v>339</v>
      </c>
      <c r="Y142" s="52">
        <v>6.6506999999999996</v>
      </c>
      <c r="Z142" s="52">
        <f t="shared" si="24"/>
        <v>0.66507000000000005</v>
      </c>
    </row>
    <row r="143" spans="1:26" x14ac:dyDescent="0.25">
      <c r="A143" s="71">
        <v>45367</v>
      </c>
      <c r="B143" s="72" t="s">
        <v>340</v>
      </c>
      <c r="C143" s="72" t="s">
        <v>8</v>
      </c>
      <c r="D143" s="72" t="s">
        <v>104</v>
      </c>
      <c r="E143" s="72" t="s">
        <v>82</v>
      </c>
      <c r="F143" s="72">
        <v>1</v>
      </c>
      <c r="G143" s="73">
        <f t="shared" si="22"/>
        <v>60</v>
      </c>
      <c r="H143" s="73">
        <f t="shared" si="23"/>
        <v>60</v>
      </c>
      <c r="I143" s="72" t="s">
        <v>83</v>
      </c>
      <c r="J143" s="74"/>
      <c r="L143" s="79"/>
      <c r="M143" s="80"/>
      <c r="N143" s="80"/>
      <c r="O143" s="84"/>
      <c r="X143" s="50" t="s">
        <v>341</v>
      </c>
      <c r="Y143" s="52">
        <v>3.5</v>
      </c>
      <c r="Z143" s="52">
        <f t="shared" si="24"/>
        <v>0.35000000000000003</v>
      </c>
    </row>
    <row r="144" spans="1:26" x14ac:dyDescent="0.25">
      <c r="A144" s="71">
        <v>45370</v>
      </c>
      <c r="B144" s="72" t="s">
        <v>342</v>
      </c>
      <c r="C144" s="72" t="s">
        <v>10</v>
      </c>
      <c r="D144" s="72" t="s">
        <v>15</v>
      </c>
      <c r="E144" s="72" t="s">
        <v>56</v>
      </c>
      <c r="F144" s="72">
        <v>1</v>
      </c>
      <c r="G144" s="73">
        <f t="shared" si="22"/>
        <v>70</v>
      </c>
      <c r="H144" s="73">
        <f t="shared" si="23"/>
        <v>70</v>
      </c>
      <c r="I144" s="72" t="s">
        <v>78</v>
      </c>
      <c r="J144" s="74"/>
      <c r="L144" s="79"/>
      <c r="M144" s="80"/>
      <c r="N144" s="80"/>
      <c r="O144" s="84"/>
      <c r="X144" s="50" t="s">
        <v>343</v>
      </c>
      <c r="Y144" s="52">
        <v>3.5</v>
      </c>
      <c r="Z144" s="52">
        <f t="shared" si="24"/>
        <v>0.35000000000000003</v>
      </c>
    </row>
    <row r="145" spans="1:27" x14ac:dyDescent="0.25">
      <c r="A145" s="71">
        <v>45370</v>
      </c>
      <c r="B145" s="72" t="s">
        <v>344</v>
      </c>
      <c r="C145" s="72" t="s">
        <v>8</v>
      </c>
      <c r="D145" s="72" t="s">
        <v>18</v>
      </c>
      <c r="E145" s="72" t="s">
        <v>56</v>
      </c>
      <c r="F145" s="72">
        <v>1</v>
      </c>
      <c r="G145" s="73">
        <f t="shared" si="22"/>
        <v>40</v>
      </c>
      <c r="H145" s="73">
        <f t="shared" si="23"/>
        <v>40</v>
      </c>
      <c r="I145" s="72" t="s">
        <v>78</v>
      </c>
      <c r="J145" s="74"/>
      <c r="L145" s="79"/>
      <c r="M145" s="80"/>
      <c r="N145" s="80"/>
      <c r="O145" s="84"/>
      <c r="X145" s="50" t="s">
        <v>345</v>
      </c>
      <c r="Y145" s="52">
        <v>3.41635</v>
      </c>
      <c r="Z145" s="52">
        <f t="shared" si="24"/>
        <v>0.34163500000000002</v>
      </c>
    </row>
    <row r="146" spans="1:27" x14ac:dyDescent="0.25">
      <c r="A146" s="71">
        <v>45370</v>
      </c>
      <c r="B146" s="72" t="s">
        <v>346</v>
      </c>
      <c r="C146" s="72" t="s">
        <v>8</v>
      </c>
      <c r="D146" s="72" t="s">
        <v>17</v>
      </c>
      <c r="E146" s="72" t="s">
        <v>82</v>
      </c>
      <c r="F146" s="72">
        <v>1</v>
      </c>
      <c r="G146" s="73">
        <f t="shared" si="22"/>
        <v>50</v>
      </c>
      <c r="H146" s="73">
        <f t="shared" si="23"/>
        <v>50</v>
      </c>
      <c r="I146" s="72" t="s">
        <v>83</v>
      </c>
      <c r="J146" s="74"/>
      <c r="L146" s="79"/>
      <c r="M146" s="80"/>
      <c r="N146" s="80"/>
      <c r="O146" s="84"/>
      <c r="X146" s="50" t="s">
        <v>347</v>
      </c>
      <c r="Y146" s="52">
        <v>3.3253499999999998</v>
      </c>
      <c r="Z146" s="52">
        <f t="shared" si="24"/>
        <v>0.33253500000000003</v>
      </c>
    </row>
    <row r="147" spans="1:27" x14ac:dyDescent="0.25">
      <c r="A147" s="71">
        <v>45370</v>
      </c>
      <c r="B147" s="72" t="s">
        <v>346</v>
      </c>
      <c r="C147" s="72" t="s">
        <v>8</v>
      </c>
      <c r="D147" s="72" t="s">
        <v>23</v>
      </c>
      <c r="E147" s="72" t="s">
        <v>82</v>
      </c>
      <c r="F147" s="72">
        <v>1</v>
      </c>
      <c r="G147" s="73">
        <f t="shared" si="22"/>
        <v>5</v>
      </c>
      <c r="H147" s="73">
        <f t="shared" si="23"/>
        <v>5</v>
      </c>
      <c r="I147" s="72" t="s">
        <v>83</v>
      </c>
      <c r="J147" s="74"/>
      <c r="L147" s="79"/>
      <c r="M147" s="80"/>
      <c r="N147" s="80"/>
      <c r="O147" s="84"/>
      <c r="X147" s="50" t="s">
        <v>348</v>
      </c>
      <c r="Y147" s="52">
        <v>5</v>
      </c>
      <c r="Z147" s="52">
        <f t="shared" si="24"/>
        <v>0.5</v>
      </c>
    </row>
    <row r="148" spans="1:27" x14ac:dyDescent="0.25">
      <c r="A148" s="71">
        <v>45370</v>
      </c>
      <c r="B148" s="72" t="s">
        <v>346</v>
      </c>
      <c r="C148" s="72" t="s">
        <v>8</v>
      </c>
      <c r="D148" s="72" t="s">
        <v>37</v>
      </c>
      <c r="E148" s="72" t="s">
        <v>82</v>
      </c>
      <c r="F148" s="72">
        <v>1</v>
      </c>
      <c r="G148" s="73">
        <f t="shared" si="22"/>
        <v>7</v>
      </c>
      <c r="H148" s="73">
        <f t="shared" si="23"/>
        <v>7</v>
      </c>
      <c r="I148" s="72" t="s">
        <v>83</v>
      </c>
      <c r="J148" s="74"/>
      <c r="L148" s="79"/>
      <c r="M148" s="80"/>
      <c r="N148" s="80"/>
      <c r="O148" s="84"/>
      <c r="X148" s="50" t="s">
        <v>349</v>
      </c>
      <c r="Y148" s="52">
        <v>5</v>
      </c>
      <c r="Z148" s="52">
        <f t="shared" si="24"/>
        <v>0.5</v>
      </c>
    </row>
    <row r="149" spans="1:27" x14ac:dyDescent="0.25">
      <c r="A149" s="71">
        <v>45370</v>
      </c>
      <c r="B149" s="72" t="s">
        <v>350</v>
      </c>
      <c r="C149" s="72" t="s">
        <v>8</v>
      </c>
      <c r="D149" s="72" t="s">
        <v>18</v>
      </c>
      <c r="E149" s="72" t="s">
        <v>82</v>
      </c>
      <c r="F149" s="72">
        <v>1</v>
      </c>
      <c r="G149" s="73">
        <f t="shared" si="22"/>
        <v>40</v>
      </c>
      <c r="H149" s="73">
        <f t="shared" si="23"/>
        <v>40</v>
      </c>
      <c r="I149" s="72" t="s">
        <v>83</v>
      </c>
      <c r="J149" s="74"/>
      <c r="L149" s="79"/>
      <c r="M149" s="80"/>
      <c r="N149" s="80"/>
      <c r="O149" s="84"/>
      <c r="X149" s="50" t="s">
        <v>351</v>
      </c>
      <c r="Y149" s="52">
        <v>4.8804999999999996</v>
      </c>
      <c r="Z149" s="52">
        <f t="shared" si="24"/>
        <v>0.48804999999999998</v>
      </c>
    </row>
    <row r="150" spans="1:27" x14ac:dyDescent="0.25">
      <c r="A150" s="71">
        <v>45370</v>
      </c>
      <c r="B150" s="72" t="s">
        <v>350</v>
      </c>
      <c r="C150" s="72" t="s">
        <v>8</v>
      </c>
      <c r="D150" s="72" t="s">
        <v>20</v>
      </c>
      <c r="E150" s="72" t="s">
        <v>82</v>
      </c>
      <c r="F150" s="72">
        <v>1</v>
      </c>
      <c r="G150" s="73">
        <f t="shared" si="22"/>
        <v>15</v>
      </c>
      <c r="H150" s="73">
        <f t="shared" si="23"/>
        <v>15</v>
      </c>
      <c r="I150" s="72" t="s">
        <v>83</v>
      </c>
      <c r="J150" s="74"/>
      <c r="L150" s="79"/>
      <c r="M150" s="80"/>
      <c r="N150" s="80"/>
      <c r="O150" s="84"/>
      <c r="X150" s="50" t="s">
        <v>352</v>
      </c>
      <c r="Y150" s="52">
        <v>4.7504999999999997</v>
      </c>
      <c r="Z150" s="52">
        <f t="shared" si="24"/>
        <v>0.47504999999999997</v>
      </c>
    </row>
    <row r="151" spans="1:27" x14ac:dyDescent="0.25">
      <c r="A151" s="71">
        <v>45370</v>
      </c>
      <c r="B151" s="72" t="s">
        <v>350</v>
      </c>
      <c r="C151" s="72" t="s">
        <v>8</v>
      </c>
      <c r="D151" s="72" t="s">
        <v>155</v>
      </c>
      <c r="E151" s="72" t="s">
        <v>82</v>
      </c>
      <c r="F151" s="72">
        <v>1</v>
      </c>
      <c r="G151" s="73">
        <f t="shared" si="22"/>
        <v>3.5</v>
      </c>
      <c r="H151" s="73">
        <f t="shared" si="23"/>
        <v>3.5</v>
      </c>
      <c r="I151" s="72" t="s">
        <v>83</v>
      </c>
      <c r="J151" s="74"/>
      <c r="L151" s="79"/>
      <c r="M151" s="80"/>
      <c r="N151" s="80"/>
      <c r="O151" s="84"/>
      <c r="X151" s="50" t="s">
        <v>353</v>
      </c>
      <c r="Y151" s="52">
        <v>7</v>
      </c>
      <c r="Z151" s="52">
        <f t="shared" si="24"/>
        <v>0.70000000000000007</v>
      </c>
    </row>
    <row r="152" spans="1:27" x14ac:dyDescent="0.25">
      <c r="A152" s="71">
        <v>45370</v>
      </c>
      <c r="B152" s="72" t="s">
        <v>354</v>
      </c>
      <c r="C152" s="72" t="s">
        <v>8</v>
      </c>
      <c r="D152" s="72" t="s">
        <v>22</v>
      </c>
      <c r="E152" s="72" t="s">
        <v>82</v>
      </c>
      <c r="F152" s="72">
        <v>1</v>
      </c>
      <c r="G152" s="73">
        <f t="shared" si="22"/>
        <v>30</v>
      </c>
      <c r="H152" s="73">
        <f t="shared" si="23"/>
        <v>30</v>
      </c>
      <c r="I152" s="72" t="s">
        <v>83</v>
      </c>
      <c r="J152" s="74"/>
      <c r="L152" s="79"/>
      <c r="M152" s="80"/>
      <c r="N152" s="80"/>
      <c r="O152" s="84"/>
      <c r="X152" s="50" t="s">
        <v>355</v>
      </c>
      <c r="Y152" s="52">
        <v>7</v>
      </c>
      <c r="Z152" s="52">
        <f t="shared" si="24"/>
        <v>0.70000000000000007</v>
      </c>
    </row>
    <row r="153" spans="1:27" x14ac:dyDescent="0.25">
      <c r="A153" s="71">
        <v>45370</v>
      </c>
      <c r="B153" s="72" t="s">
        <v>356</v>
      </c>
      <c r="C153" s="72" t="s">
        <v>8</v>
      </c>
      <c r="D153" s="72" t="s">
        <v>18</v>
      </c>
      <c r="E153" s="72" t="s">
        <v>82</v>
      </c>
      <c r="F153" s="72">
        <v>1</v>
      </c>
      <c r="G153" s="73">
        <f t="shared" si="22"/>
        <v>40</v>
      </c>
      <c r="H153" s="73">
        <f t="shared" si="23"/>
        <v>40</v>
      </c>
      <c r="I153" s="72" t="s">
        <v>83</v>
      </c>
      <c r="J153" s="74"/>
      <c r="L153" s="79"/>
      <c r="M153" s="80"/>
      <c r="N153" s="80"/>
      <c r="O153" s="84"/>
      <c r="X153" s="50" t="s">
        <v>357</v>
      </c>
      <c r="Y153" s="52">
        <v>6.8327</v>
      </c>
      <c r="Z153" s="52">
        <f t="shared" si="24"/>
        <v>0.68327000000000004</v>
      </c>
    </row>
    <row r="154" spans="1:27" x14ac:dyDescent="0.25">
      <c r="A154" s="71">
        <v>45370</v>
      </c>
      <c r="B154" s="72" t="s">
        <v>358</v>
      </c>
      <c r="C154" s="72" t="s">
        <v>8</v>
      </c>
      <c r="D154" s="72" t="s">
        <v>18</v>
      </c>
      <c r="E154" s="72" t="s">
        <v>82</v>
      </c>
      <c r="F154" s="72">
        <v>1</v>
      </c>
      <c r="G154" s="73">
        <f t="shared" si="22"/>
        <v>40</v>
      </c>
      <c r="H154" s="73">
        <f t="shared" si="23"/>
        <v>40</v>
      </c>
      <c r="I154" s="72" t="s">
        <v>78</v>
      </c>
      <c r="J154" s="74"/>
      <c r="L154" s="79"/>
      <c r="M154" s="80"/>
      <c r="N154" s="80"/>
      <c r="O154" s="84"/>
      <c r="X154" s="50" t="s">
        <v>359</v>
      </c>
      <c r="Y154" s="52">
        <v>6.6506999999999996</v>
      </c>
      <c r="Z154" s="52">
        <f t="shared" si="24"/>
        <v>0.66507000000000005</v>
      </c>
    </row>
    <row r="155" spans="1:27" x14ac:dyDescent="0.25">
      <c r="A155" s="71">
        <v>45370</v>
      </c>
      <c r="B155" s="72" t="s">
        <v>360</v>
      </c>
      <c r="C155" s="72" t="s">
        <v>8</v>
      </c>
      <c r="D155" s="72" t="s">
        <v>18</v>
      </c>
      <c r="E155" s="72" t="s">
        <v>82</v>
      </c>
      <c r="F155" s="72">
        <v>1</v>
      </c>
      <c r="G155" s="73">
        <f t="shared" si="22"/>
        <v>40</v>
      </c>
      <c r="H155" s="73">
        <f t="shared" si="23"/>
        <v>40</v>
      </c>
      <c r="I155" s="72" t="s">
        <v>86</v>
      </c>
      <c r="J155" s="74"/>
      <c r="L155" s="79"/>
      <c r="M155" s="80"/>
      <c r="N155" s="80"/>
      <c r="O155" s="84"/>
      <c r="X155" s="50" t="s">
        <v>361</v>
      </c>
      <c r="Y155" s="52">
        <v>7</v>
      </c>
      <c r="Z155" s="52">
        <f t="shared" si="24"/>
        <v>0.70000000000000007</v>
      </c>
    </row>
    <row r="156" spans="1:27" x14ac:dyDescent="0.25">
      <c r="A156" s="71">
        <v>45371</v>
      </c>
      <c r="B156" s="72" t="s">
        <v>362</v>
      </c>
      <c r="C156" s="72" t="s">
        <v>10</v>
      </c>
      <c r="D156" s="72" t="s">
        <v>59</v>
      </c>
      <c r="E156" s="72" t="s">
        <v>56</v>
      </c>
      <c r="F156" s="72">
        <v>1</v>
      </c>
      <c r="G156" s="73">
        <v>12</v>
      </c>
      <c r="H156" s="73">
        <f t="shared" si="23"/>
        <v>12</v>
      </c>
      <c r="I156" s="72" t="s">
        <v>79</v>
      </c>
      <c r="J156" s="74"/>
      <c r="L156" s="79"/>
      <c r="M156" s="80"/>
      <c r="N156" s="80"/>
      <c r="O156" s="84"/>
      <c r="X156" s="50" t="s">
        <v>363</v>
      </c>
      <c r="Y156" s="52">
        <v>7</v>
      </c>
      <c r="Z156" s="52">
        <f t="shared" si="24"/>
        <v>0.70000000000000007</v>
      </c>
    </row>
    <row r="157" spans="1:27" x14ac:dyDescent="0.25">
      <c r="A157" s="71">
        <v>45371</v>
      </c>
      <c r="B157" s="72" t="s">
        <v>364</v>
      </c>
      <c r="C157" s="72" t="s">
        <v>10</v>
      </c>
      <c r="D157" s="72" t="s">
        <v>18</v>
      </c>
      <c r="E157" s="72" t="s">
        <v>56</v>
      </c>
      <c r="F157" s="72">
        <v>1</v>
      </c>
      <c r="G157" s="73">
        <f t="shared" ref="G157:G162" si="25">VLOOKUP(D157,$R$3:$S$114,2,0)</f>
        <v>40</v>
      </c>
      <c r="H157" s="73">
        <f t="shared" si="23"/>
        <v>40</v>
      </c>
      <c r="I157" s="72" t="s">
        <v>83</v>
      </c>
      <c r="J157" s="74"/>
      <c r="L157" s="79"/>
      <c r="M157" s="80"/>
      <c r="N157" s="80"/>
      <c r="O157" s="84"/>
      <c r="X157" s="50" t="s">
        <v>365</v>
      </c>
      <c r="Y157" s="52">
        <v>6.8327</v>
      </c>
      <c r="Z157" s="52">
        <f t="shared" si="24"/>
        <v>0.68327000000000004</v>
      </c>
    </row>
    <row r="158" spans="1:27" x14ac:dyDescent="0.25">
      <c r="A158" s="71">
        <v>45371</v>
      </c>
      <c r="B158" s="72" t="s">
        <v>366</v>
      </c>
      <c r="C158" s="72" t="s">
        <v>8</v>
      </c>
      <c r="D158" s="72" t="s">
        <v>17</v>
      </c>
      <c r="E158" s="72" t="s">
        <v>82</v>
      </c>
      <c r="F158" s="72">
        <v>1</v>
      </c>
      <c r="G158" s="73">
        <f t="shared" si="25"/>
        <v>50</v>
      </c>
      <c r="H158" s="73">
        <f t="shared" si="23"/>
        <v>50</v>
      </c>
      <c r="I158" s="72" t="s">
        <v>79</v>
      </c>
      <c r="J158" s="74"/>
      <c r="L158" s="79"/>
      <c r="M158" s="80"/>
      <c r="N158" s="80"/>
      <c r="O158" s="84"/>
      <c r="X158" s="50" t="s">
        <v>367</v>
      </c>
      <c r="Y158" s="52">
        <v>6.6506999999999996</v>
      </c>
      <c r="Z158" s="52">
        <f t="shared" si="24"/>
        <v>0.66507000000000005</v>
      </c>
    </row>
    <row r="159" spans="1:27" x14ac:dyDescent="0.25">
      <c r="A159" s="71">
        <v>45371</v>
      </c>
      <c r="B159" s="72" t="s">
        <v>366</v>
      </c>
      <c r="C159" s="72" t="s">
        <v>8</v>
      </c>
      <c r="D159" s="72" t="s">
        <v>23</v>
      </c>
      <c r="E159" s="72" t="s">
        <v>82</v>
      </c>
      <c r="F159" s="72">
        <v>1</v>
      </c>
      <c r="G159" s="73">
        <f t="shared" si="25"/>
        <v>5</v>
      </c>
      <c r="H159" s="73">
        <f t="shared" si="23"/>
        <v>5</v>
      </c>
      <c r="I159" s="72" t="s">
        <v>79</v>
      </c>
      <c r="J159" s="74"/>
      <c r="L159" s="79"/>
      <c r="M159" s="80"/>
      <c r="N159" s="80"/>
      <c r="O159" s="84"/>
      <c r="X159" s="50" t="s">
        <v>368</v>
      </c>
      <c r="Y159" s="52">
        <v>3.5</v>
      </c>
      <c r="Z159" s="52">
        <f t="shared" si="24"/>
        <v>0.35000000000000003</v>
      </c>
      <c r="AA159" s="52"/>
    </row>
    <row r="160" spans="1:27" x14ac:dyDescent="0.25">
      <c r="A160" s="71">
        <v>45371</v>
      </c>
      <c r="B160" s="72" t="s">
        <v>369</v>
      </c>
      <c r="C160" s="72" t="s">
        <v>8</v>
      </c>
      <c r="D160" s="72" t="s">
        <v>17</v>
      </c>
      <c r="E160" s="72" t="s">
        <v>82</v>
      </c>
      <c r="F160" s="72">
        <v>1</v>
      </c>
      <c r="G160" s="73">
        <f t="shared" si="25"/>
        <v>50</v>
      </c>
      <c r="H160" s="73">
        <f t="shared" si="23"/>
        <v>50</v>
      </c>
      <c r="I160" s="72" t="s">
        <v>79</v>
      </c>
      <c r="J160" s="74"/>
      <c r="L160" s="79"/>
      <c r="M160" s="80"/>
      <c r="N160" s="80"/>
      <c r="O160" s="84"/>
      <c r="X160" s="50" t="s">
        <v>370</v>
      </c>
      <c r="Y160" s="52">
        <v>3.5</v>
      </c>
      <c r="Z160" s="52">
        <f t="shared" si="24"/>
        <v>0.35000000000000003</v>
      </c>
    </row>
    <row r="161" spans="1:26" x14ac:dyDescent="0.25">
      <c r="A161" s="71">
        <v>45371</v>
      </c>
      <c r="B161" s="72" t="s">
        <v>371</v>
      </c>
      <c r="C161" s="72" t="s">
        <v>8</v>
      </c>
      <c r="D161" s="72" t="s">
        <v>16</v>
      </c>
      <c r="E161" s="72" t="s">
        <v>82</v>
      </c>
      <c r="F161" s="72">
        <v>1</v>
      </c>
      <c r="G161" s="73">
        <f t="shared" si="25"/>
        <v>80</v>
      </c>
      <c r="H161" s="73">
        <f t="shared" si="23"/>
        <v>80</v>
      </c>
      <c r="I161" s="72" t="s">
        <v>79</v>
      </c>
      <c r="J161" s="74"/>
      <c r="L161" s="79"/>
      <c r="M161" s="80"/>
      <c r="N161" s="80"/>
      <c r="O161" s="84"/>
      <c r="X161" s="50" t="s">
        <v>372</v>
      </c>
      <c r="Y161" s="52">
        <v>3.41635</v>
      </c>
      <c r="Z161" s="52">
        <f t="shared" si="24"/>
        <v>0.34163500000000002</v>
      </c>
    </row>
    <row r="162" spans="1:26" x14ac:dyDescent="0.25">
      <c r="A162" s="71">
        <v>45371</v>
      </c>
      <c r="B162" s="72" t="s">
        <v>373</v>
      </c>
      <c r="C162" s="72" t="s">
        <v>8</v>
      </c>
      <c r="D162" s="72" t="s">
        <v>16</v>
      </c>
      <c r="E162" s="72" t="s">
        <v>82</v>
      </c>
      <c r="F162" s="72">
        <v>1</v>
      </c>
      <c r="G162" s="73">
        <f t="shared" si="25"/>
        <v>80</v>
      </c>
      <c r="H162" s="73">
        <f t="shared" si="23"/>
        <v>80</v>
      </c>
      <c r="I162" s="72" t="s">
        <v>79</v>
      </c>
      <c r="J162" s="74"/>
      <c r="L162" s="79"/>
      <c r="M162" s="80"/>
      <c r="N162" s="80"/>
      <c r="O162" s="84"/>
      <c r="X162" s="50" t="s">
        <v>374</v>
      </c>
      <c r="Y162" s="52">
        <v>3.3253499999999998</v>
      </c>
      <c r="Z162" s="52">
        <f t="shared" si="24"/>
        <v>0.33253500000000003</v>
      </c>
    </row>
    <row r="163" spans="1:26" x14ac:dyDescent="0.25">
      <c r="A163" s="71">
        <v>45371</v>
      </c>
      <c r="B163" s="72" t="s">
        <v>373</v>
      </c>
      <c r="C163" s="72" t="s">
        <v>8</v>
      </c>
      <c r="D163" s="72" t="s">
        <v>59</v>
      </c>
      <c r="E163" s="72" t="s">
        <v>82</v>
      </c>
      <c r="F163" s="72">
        <v>2</v>
      </c>
      <c r="G163" s="73">
        <v>16</v>
      </c>
      <c r="H163" s="73">
        <f t="shared" si="23"/>
        <v>32</v>
      </c>
      <c r="I163" s="72" t="s">
        <v>83</v>
      </c>
      <c r="J163" s="74"/>
      <c r="L163" s="79"/>
      <c r="M163" s="80"/>
      <c r="N163" s="80"/>
      <c r="O163" s="84"/>
      <c r="X163" s="50" t="s">
        <v>375</v>
      </c>
      <c r="Y163" s="52">
        <v>3.5</v>
      </c>
      <c r="Z163" s="52">
        <f t="shared" si="24"/>
        <v>0.35000000000000003</v>
      </c>
    </row>
    <row r="164" spans="1:26" x14ac:dyDescent="0.25">
      <c r="A164" s="71">
        <v>45371</v>
      </c>
      <c r="B164" s="72" t="s">
        <v>373</v>
      </c>
      <c r="C164" s="72" t="s">
        <v>8</v>
      </c>
      <c r="D164" s="72" t="s">
        <v>34</v>
      </c>
      <c r="E164" s="72" t="s">
        <v>82</v>
      </c>
      <c r="F164" s="72">
        <v>1</v>
      </c>
      <c r="G164" s="73">
        <f t="shared" ref="G164:G195" si="26">VLOOKUP(D164,$R$3:$S$114,2,0)</f>
        <v>10</v>
      </c>
      <c r="H164" s="73">
        <f t="shared" si="23"/>
        <v>10</v>
      </c>
      <c r="I164" s="72" t="s">
        <v>83</v>
      </c>
      <c r="J164" s="74"/>
      <c r="L164" s="79"/>
      <c r="M164" s="80"/>
      <c r="N164" s="80"/>
      <c r="O164" s="84"/>
      <c r="X164" s="50" t="s">
        <v>376</v>
      </c>
      <c r="Y164" s="52">
        <v>3.5</v>
      </c>
      <c r="Z164" s="52">
        <f t="shared" si="24"/>
        <v>0.35000000000000003</v>
      </c>
    </row>
    <row r="165" spans="1:26" x14ac:dyDescent="0.25">
      <c r="A165" s="71">
        <v>45371</v>
      </c>
      <c r="B165" s="72" t="s">
        <v>373</v>
      </c>
      <c r="C165" s="72" t="s">
        <v>377</v>
      </c>
      <c r="D165" s="72" t="s">
        <v>37</v>
      </c>
      <c r="E165" s="72" t="s">
        <v>82</v>
      </c>
      <c r="F165" s="72">
        <v>1</v>
      </c>
      <c r="G165" s="73">
        <f t="shared" si="26"/>
        <v>7</v>
      </c>
      <c r="H165" s="73">
        <f t="shared" si="23"/>
        <v>7</v>
      </c>
      <c r="I165" s="72" t="s">
        <v>83</v>
      </c>
      <c r="J165" s="74"/>
      <c r="L165" s="79"/>
      <c r="M165" s="80"/>
      <c r="N165" s="80"/>
      <c r="O165" s="84"/>
      <c r="X165" s="50" t="s">
        <v>378</v>
      </c>
      <c r="Y165" s="52">
        <v>3.41635</v>
      </c>
      <c r="Z165" s="52">
        <f t="shared" si="24"/>
        <v>0.34163500000000002</v>
      </c>
    </row>
    <row r="166" spans="1:26" x14ac:dyDescent="0.25">
      <c r="A166" s="71">
        <v>45371</v>
      </c>
      <c r="B166" s="72" t="s">
        <v>379</v>
      </c>
      <c r="C166" s="72" t="s">
        <v>8</v>
      </c>
      <c r="D166" s="72" t="s">
        <v>17</v>
      </c>
      <c r="E166" s="72" t="s">
        <v>82</v>
      </c>
      <c r="F166" s="72">
        <v>1</v>
      </c>
      <c r="G166" s="73">
        <f t="shared" si="26"/>
        <v>50</v>
      </c>
      <c r="H166" s="73">
        <f t="shared" si="23"/>
        <v>50</v>
      </c>
      <c r="I166" s="72" t="s">
        <v>83</v>
      </c>
      <c r="J166" s="74"/>
      <c r="L166" s="79"/>
      <c r="M166" s="80"/>
      <c r="N166" s="80"/>
      <c r="O166" s="84"/>
      <c r="X166" s="50" t="s">
        <v>380</v>
      </c>
      <c r="Y166" s="52">
        <v>3.3253499999999998</v>
      </c>
      <c r="Z166" s="52">
        <f t="shared" si="24"/>
        <v>0.33253500000000003</v>
      </c>
    </row>
    <row r="167" spans="1:26" x14ac:dyDescent="0.25">
      <c r="A167" s="71">
        <v>45371</v>
      </c>
      <c r="B167" s="72" t="s">
        <v>381</v>
      </c>
      <c r="C167" s="72" t="s">
        <v>8</v>
      </c>
      <c r="D167" s="72" t="s">
        <v>18</v>
      </c>
      <c r="E167" s="72" t="s">
        <v>82</v>
      </c>
      <c r="F167" s="72">
        <v>1</v>
      </c>
      <c r="G167" s="73">
        <f t="shared" si="26"/>
        <v>40</v>
      </c>
      <c r="H167" s="73">
        <f t="shared" si="23"/>
        <v>40</v>
      </c>
      <c r="I167" s="72" t="s">
        <v>83</v>
      </c>
      <c r="J167" s="74"/>
      <c r="L167" s="79"/>
      <c r="M167" s="80"/>
      <c r="N167" s="80"/>
      <c r="O167" s="84"/>
    </row>
    <row r="168" spans="1:26" x14ac:dyDescent="0.25">
      <c r="A168" s="71">
        <v>45371</v>
      </c>
      <c r="B168" s="72" t="s">
        <v>340</v>
      </c>
      <c r="C168" s="72" t="s">
        <v>8</v>
      </c>
      <c r="D168" s="72" t="s">
        <v>18</v>
      </c>
      <c r="E168" s="72" t="s">
        <v>82</v>
      </c>
      <c r="F168" s="72">
        <v>1</v>
      </c>
      <c r="G168" s="73">
        <f t="shared" si="26"/>
        <v>40</v>
      </c>
      <c r="H168" s="73">
        <f t="shared" si="23"/>
        <v>40</v>
      </c>
      <c r="I168" s="72" t="s">
        <v>83</v>
      </c>
      <c r="J168" s="74"/>
      <c r="L168" s="79"/>
      <c r="M168" s="80"/>
      <c r="N168" s="80"/>
      <c r="O168" s="84"/>
    </row>
    <row r="169" spans="1:26" x14ac:dyDescent="0.25">
      <c r="A169" s="71">
        <v>45372</v>
      </c>
      <c r="B169" s="72" t="s">
        <v>382</v>
      </c>
      <c r="C169" s="72" t="s">
        <v>10</v>
      </c>
      <c r="D169" s="72" t="s">
        <v>16</v>
      </c>
      <c r="E169" s="72" t="s">
        <v>56</v>
      </c>
      <c r="F169" s="72">
        <v>1</v>
      </c>
      <c r="G169" s="73">
        <f t="shared" si="26"/>
        <v>80</v>
      </c>
      <c r="H169" s="73">
        <f t="shared" si="23"/>
        <v>80</v>
      </c>
      <c r="I169" s="72" t="s">
        <v>83</v>
      </c>
      <c r="J169" s="74"/>
      <c r="L169" s="79"/>
      <c r="M169" s="80"/>
      <c r="N169" s="80"/>
      <c r="O169" s="84"/>
    </row>
    <row r="170" spans="1:26" x14ac:dyDescent="0.25">
      <c r="A170" s="71">
        <v>45372</v>
      </c>
      <c r="B170" s="72" t="s">
        <v>383</v>
      </c>
      <c r="C170" s="72" t="s">
        <v>9</v>
      </c>
      <c r="D170" s="72" t="s">
        <v>15</v>
      </c>
      <c r="E170" s="72" t="s">
        <v>56</v>
      </c>
      <c r="F170" s="72">
        <v>1</v>
      </c>
      <c r="G170" s="73">
        <f t="shared" si="26"/>
        <v>70</v>
      </c>
      <c r="H170" s="73">
        <f t="shared" si="23"/>
        <v>70</v>
      </c>
      <c r="I170" s="72" t="s">
        <v>83</v>
      </c>
      <c r="J170" s="74"/>
      <c r="L170" s="79"/>
      <c r="M170" s="80"/>
      <c r="N170" s="80"/>
      <c r="O170" s="84"/>
    </row>
    <row r="171" spans="1:26" x14ac:dyDescent="0.25">
      <c r="A171" s="71">
        <v>45372</v>
      </c>
      <c r="B171" s="72" t="s">
        <v>383</v>
      </c>
      <c r="C171" s="72" t="s">
        <v>9</v>
      </c>
      <c r="D171" s="72" t="s">
        <v>20</v>
      </c>
      <c r="E171" s="72" t="s">
        <v>56</v>
      </c>
      <c r="F171" s="72">
        <v>1</v>
      </c>
      <c r="G171" s="73">
        <f t="shared" si="26"/>
        <v>15</v>
      </c>
      <c r="H171" s="73">
        <f t="shared" si="23"/>
        <v>15</v>
      </c>
      <c r="I171" s="72" t="s">
        <v>83</v>
      </c>
      <c r="J171" s="74"/>
      <c r="L171" s="79"/>
      <c r="M171" s="80"/>
      <c r="N171" s="80"/>
      <c r="O171" s="84"/>
    </row>
    <row r="172" spans="1:26" x14ac:dyDescent="0.25">
      <c r="A172" s="71">
        <v>45372</v>
      </c>
      <c r="B172" s="72" t="s">
        <v>383</v>
      </c>
      <c r="C172" s="72" t="s">
        <v>9</v>
      </c>
      <c r="D172" s="72" t="s">
        <v>45</v>
      </c>
      <c r="E172" s="72" t="s">
        <v>56</v>
      </c>
      <c r="F172" s="72">
        <v>2</v>
      </c>
      <c r="G172" s="73">
        <f t="shared" si="26"/>
        <v>3.5</v>
      </c>
      <c r="H172" s="73">
        <f t="shared" si="23"/>
        <v>7</v>
      </c>
      <c r="I172" s="72" t="s">
        <v>83</v>
      </c>
      <c r="J172" s="74"/>
      <c r="L172" s="79"/>
      <c r="M172" s="80"/>
      <c r="N172" s="80"/>
      <c r="O172" s="84"/>
    </row>
    <row r="173" spans="1:26" x14ac:dyDescent="0.25">
      <c r="A173" s="71">
        <v>45372</v>
      </c>
      <c r="B173" s="72" t="s">
        <v>174</v>
      </c>
      <c r="C173" s="72" t="s">
        <v>8</v>
      </c>
      <c r="D173" s="72" t="s">
        <v>18</v>
      </c>
      <c r="E173" s="72" t="s">
        <v>56</v>
      </c>
      <c r="F173" s="72">
        <v>1</v>
      </c>
      <c r="G173" s="73">
        <f t="shared" si="26"/>
        <v>40</v>
      </c>
      <c r="H173" s="73">
        <f t="shared" si="23"/>
        <v>40</v>
      </c>
      <c r="I173" s="72" t="s">
        <v>78</v>
      </c>
      <c r="J173" s="74"/>
      <c r="L173" s="79"/>
      <c r="M173" s="80"/>
      <c r="N173" s="80"/>
      <c r="O173" s="84"/>
    </row>
    <row r="174" spans="1:26" x14ac:dyDescent="0.25">
      <c r="A174" s="71">
        <v>45372</v>
      </c>
      <c r="B174" s="72" t="s">
        <v>384</v>
      </c>
      <c r="C174" s="72" t="s">
        <v>8</v>
      </c>
      <c r="D174" s="72" t="s">
        <v>18</v>
      </c>
      <c r="E174" s="72" t="s">
        <v>82</v>
      </c>
      <c r="F174" s="72">
        <v>1</v>
      </c>
      <c r="G174" s="73">
        <f t="shared" si="26"/>
        <v>40</v>
      </c>
      <c r="H174" s="73">
        <f t="shared" si="23"/>
        <v>40</v>
      </c>
      <c r="I174" s="72" t="s">
        <v>79</v>
      </c>
      <c r="J174" s="74"/>
      <c r="L174" s="79"/>
      <c r="M174" s="80"/>
      <c r="N174" s="80"/>
      <c r="O174" s="84"/>
    </row>
    <row r="175" spans="1:26" x14ac:dyDescent="0.25">
      <c r="A175" s="71">
        <v>45372</v>
      </c>
      <c r="B175" s="72" t="s">
        <v>384</v>
      </c>
      <c r="C175" s="72" t="s">
        <v>8</v>
      </c>
      <c r="D175" s="72" t="s">
        <v>155</v>
      </c>
      <c r="E175" s="72" t="s">
        <v>82</v>
      </c>
      <c r="F175" s="72">
        <v>1</v>
      </c>
      <c r="G175" s="73">
        <f t="shared" si="26"/>
        <v>3.5</v>
      </c>
      <c r="H175" s="73">
        <f t="shared" si="23"/>
        <v>3.5</v>
      </c>
      <c r="I175" s="72" t="s">
        <v>83</v>
      </c>
      <c r="J175" s="74"/>
      <c r="L175" s="79"/>
      <c r="M175" s="80"/>
      <c r="N175" s="80"/>
      <c r="O175" s="84"/>
    </row>
    <row r="176" spans="1:26" x14ac:dyDescent="0.25">
      <c r="A176" s="71">
        <v>45372</v>
      </c>
      <c r="B176" s="72" t="s">
        <v>385</v>
      </c>
      <c r="C176" s="72" t="s">
        <v>8</v>
      </c>
      <c r="D176" s="72" t="s">
        <v>18</v>
      </c>
      <c r="E176" s="72" t="s">
        <v>82</v>
      </c>
      <c r="F176" s="72">
        <v>1</v>
      </c>
      <c r="G176" s="73">
        <f t="shared" si="26"/>
        <v>40</v>
      </c>
      <c r="H176" s="73">
        <f t="shared" si="23"/>
        <v>40</v>
      </c>
      <c r="I176" s="72" t="s">
        <v>83</v>
      </c>
      <c r="J176" s="74"/>
      <c r="L176" s="79"/>
      <c r="M176" s="80"/>
      <c r="N176" s="80"/>
      <c r="O176" s="84"/>
    </row>
    <row r="177" spans="1:15" x14ac:dyDescent="0.25">
      <c r="A177" s="71">
        <v>45372</v>
      </c>
      <c r="B177" s="72" t="s">
        <v>385</v>
      </c>
      <c r="C177" s="72" t="s">
        <v>8</v>
      </c>
      <c r="D177" s="72" t="s">
        <v>39</v>
      </c>
      <c r="E177" s="72" t="s">
        <v>82</v>
      </c>
      <c r="F177" s="72">
        <v>1</v>
      </c>
      <c r="G177" s="73">
        <f t="shared" si="26"/>
        <v>10</v>
      </c>
      <c r="H177" s="73">
        <f t="shared" si="23"/>
        <v>10</v>
      </c>
      <c r="I177" s="72" t="s">
        <v>83</v>
      </c>
      <c r="J177" s="74"/>
      <c r="L177" s="79"/>
      <c r="M177" s="80"/>
      <c r="N177" s="80"/>
      <c r="O177" s="84"/>
    </row>
    <row r="178" spans="1:15" x14ac:dyDescent="0.25">
      <c r="A178" s="71">
        <v>45372</v>
      </c>
      <c r="B178" s="72" t="s">
        <v>385</v>
      </c>
      <c r="C178" s="72" t="s">
        <v>8</v>
      </c>
      <c r="D178" s="72" t="s">
        <v>35</v>
      </c>
      <c r="E178" s="72" t="s">
        <v>82</v>
      </c>
      <c r="F178" s="72">
        <v>1</v>
      </c>
      <c r="G178" s="73">
        <f t="shared" si="26"/>
        <v>7</v>
      </c>
      <c r="H178" s="73">
        <f t="shared" si="23"/>
        <v>7</v>
      </c>
      <c r="I178" s="72" t="s">
        <v>83</v>
      </c>
      <c r="J178" s="74"/>
      <c r="L178" s="79"/>
      <c r="M178" s="80"/>
      <c r="N178" s="80"/>
      <c r="O178" s="84"/>
    </row>
    <row r="179" spans="1:15" x14ac:dyDescent="0.25">
      <c r="A179" s="71">
        <v>45372</v>
      </c>
      <c r="B179" s="72" t="s">
        <v>385</v>
      </c>
      <c r="C179" s="72" t="s">
        <v>8</v>
      </c>
      <c r="D179" s="72" t="s">
        <v>61</v>
      </c>
      <c r="E179" s="72" t="s">
        <v>82</v>
      </c>
      <c r="F179" s="72">
        <v>1</v>
      </c>
      <c r="G179" s="73">
        <f t="shared" si="26"/>
        <v>35</v>
      </c>
      <c r="H179" s="73">
        <f t="shared" si="23"/>
        <v>35</v>
      </c>
      <c r="I179" s="72" t="s">
        <v>83</v>
      </c>
      <c r="J179" s="74"/>
      <c r="L179" s="79"/>
      <c r="M179" s="80"/>
      <c r="N179" s="80"/>
      <c r="O179" s="84"/>
    </row>
    <row r="180" spans="1:15" x14ac:dyDescent="0.25">
      <c r="A180" s="71">
        <v>45372</v>
      </c>
      <c r="B180" s="72" t="s">
        <v>385</v>
      </c>
      <c r="C180" s="72" t="s">
        <v>8</v>
      </c>
      <c r="D180" s="72" t="s">
        <v>17</v>
      </c>
      <c r="E180" s="72" t="s">
        <v>82</v>
      </c>
      <c r="F180" s="72">
        <v>1</v>
      </c>
      <c r="G180" s="73">
        <f t="shared" si="26"/>
        <v>50</v>
      </c>
      <c r="H180" s="73">
        <f t="shared" si="23"/>
        <v>50</v>
      </c>
      <c r="I180" s="72" t="s">
        <v>83</v>
      </c>
      <c r="J180" s="74"/>
      <c r="L180" s="79"/>
      <c r="M180" s="80"/>
      <c r="N180" s="80"/>
      <c r="O180" s="84"/>
    </row>
    <row r="181" spans="1:15" x14ac:dyDescent="0.25">
      <c r="A181" s="71">
        <v>45372</v>
      </c>
      <c r="B181" s="72" t="s">
        <v>386</v>
      </c>
      <c r="C181" s="72" t="s">
        <v>8</v>
      </c>
      <c r="D181" s="72" t="s">
        <v>18</v>
      </c>
      <c r="E181" s="72" t="s">
        <v>82</v>
      </c>
      <c r="F181" s="72">
        <v>1</v>
      </c>
      <c r="G181" s="73">
        <f t="shared" si="26"/>
        <v>40</v>
      </c>
      <c r="H181" s="73">
        <f t="shared" si="23"/>
        <v>40</v>
      </c>
      <c r="I181" s="72" t="s">
        <v>78</v>
      </c>
      <c r="J181" s="74"/>
      <c r="L181" s="79"/>
      <c r="M181" s="80"/>
      <c r="N181" s="80"/>
      <c r="O181" s="84"/>
    </row>
    <row r="182" spans="1:15" x14ac:dyDescent="0.25">
      <c r="A182" s="71">
        <v>45372</v>
      </c>
      <c r="B182" s="72" t="s">
        <v>387</v>
      </c>
      <c r="C182" s="72" t="s">
        <v>377</v>
      </c>
      <c r="D182" s="72" t="s">
        <v>23</v>
      </c>
      <c r="E182" s="72" t="s">
        <v>82</v>
      </c>
      <c r="F182" s="72">
        <v>1</v>
      </c>
      <c r="G182" s="73">
        <f t="shared" si="26"/>
        <v>5</v>
      </c>
      <c r="H182" s="73">
        <f t="shared" si="23"/>
        <v>5</v>
      </c>
      <c r="I182" s="72" t="s">
        <v>78</v>
      </c>
      <c r="J182" s="74"/>
      <c r="L182" s="79"/>
      <c r="M182" s="80"/>
      <c r="N182" s="80"/>
      <c r="O182" s="84"/>
    </row>
    <row r="183" spans="1:15" x14ac:dyDescent="0.25">
      <c r="A183" s="71">
        <v>45372</v>
      </c>
      <c r="B183" s="72" t="s">
        <v>388</v>
      </c>
      <c r="C183" s="72" t="s">
        <v>8</v>
      </c>
      <c r="D183" s="72" t="s">
        <v>18</v>
      </c>
      <c r="E183" s="72" t="s">
        <v>82</v>
      </c>
      <c r="F183" s="72">
        <v>1</v>
      </c>
      <c r="G183" s="73">
        <f t="shared" si="26"/>
        <v>40</v>
      </c>
      <c r="H183" s="73">
        <f t="shared" si="23"/>
        <v>40</v>
      </c>
      <c r="I183" s="72" t="s">
        <v>78</v>
      </c>
      <c r="J183" s="74"/>
      <c r="L183" s="79"/>
      <c r="M183" s="80"/>
      <c r="N183" s="80"/>
      <c r="O183" s="84"/>
    </row>
    <row r="184" spans="1:15" x14ac:dyDescent="0.25">
      <c r="A184" s="71">
        <v>45372</v>
      </c>
      <c r="B184" s="72" t="s">
        <v>389</v>
      </c>
      <c r="C184" s="72" t="s">
        <v>8</v>
      </c>
      <c r="D184" s="72" t="s">
        <v>16</v>
      </c>
      <c r="E184" s="72" t="s">
        <v>82</v>
      </c>
      <c r="F184" s="72">
        <v>1</v>
      </c>
      <c r="G184" s="73">
        <f t="shared" si="26"/>
        <v>80</v>
      </c>
      <c r="H184" s="73">
        <f t="shared" si="23"/>
        <v>80</v>
      </c>
      <c r="I184" s="72" t="s">
        <v>86</v>
      </c>
      <c r="J184" s="74"/>
      <c r="L184" s="79"/>
      <c r="M184" s="80"/>
      <c r="N184" s="80"/>
      <c r="O184" s="84"/>
    </row>
    <row r="185" spans="1:15" x14ac:dyDescent="0.25">
      <c r="A185" s="71">
        <v>45372</v>
      </c>
      <c r="B185" s="72" t="s">
        <v>389</v>
      </c>
      <c r="C185" s="72" t="s">
        <v>8</v>
      </c>
      <c r="D185" s="72" t="s">
        <v>23</v>
      </c>
      <c r="E185" s="72" t="s">
        <v>82</v>
      </c>
      <c r="F185" s="72">
        <v>1</v>
      </c>
      <c r="G185" s="73">
        <f t="shared" si="26"/>
        <v>5</v>
      </c>
      <c r="H185" s="73">
        <f t="shared" si="23"/>
        <v>5</v>
      </c>
      <c r="I185" s="72" t="s">
        <v>86</v>
      </c>
      <c r="J185" s="74"/>
      <c r="L185" s="79"/>
      <c r="M185" s="80"/>
      <c r="N185" s="80"/>
      <c r="O185" s="84"/>
    </row>
    <row r="186" spans="1:15" x14ac:dyDescent="0.25">
      <c r="A186" s="71">
        <v>45373</v>
      </c>
      <c r="B186" s="72" t="s">
        <v>272</v>
      </c>
      <c r="C186" s="72" t="s">
        <v>10</v>
      </c>
      <c r="D186" s="72" t="s">
        <v>18</v>
      </c>
      <c r="E186" s="72" t="s">
        <v>56</v>
      </c>
      <c r="F186" s="72">
        <v>1</v>
      </c>
      <c r="G186" s="73">
        <f t="shared" si="26"/>
        <v>40</v>
      </c>
      <c r="H186" s="73">
        <f t="shared" si="23"/>
        <v>40</v>
      </c>
      <c r="I186" s="72" t="s">
        <v>83</v>
      </c>
      <c r="J186" s="74"/>
      <c r="L186" s="79"/>
      <c r="M186" s="80"/>
      <c r="N186" s="80"/>
      <c r="O186" s="84"/>
    </row>
    <row r="187" spans="1:15" x14ac:dyDescent="0.25">
      <c r="A187" s="71">
        <v>45373</v>
      </c>
      <c r="B187" s="72" t="s">
        <v>272</v>
      </c>
      <c r="C187" s="72" t="s">
        <v>10</v>
      </c>
      <c r="D187" s="72" t="s">
        <v>24</v>
      </c>
      <c r="E187" s="72" t="s">
        <v>56</v>
      </c>
      <c r="F187" s="72">
        <v>1</v>
      </c>
      <c r="G187" s="73">
        <f t="shared" si="26"/>
        <v>10</v>
      </c>
      <c r="H187" s="73">
        <f t="shared" si="23"/>
        <v>10</v>
      </c>
      <c r="I187" s="72" t="s">
        <v>83</v>
      </c>
      <c r="J187" s="74"/>
      <c r="L187" s="79"/>
      <c r="M187" s="80"/>
      <c r="N187" s="80"/>
      <c r="O187" s="84"/>
    </row>
    <row r="188" spans="1:15" x14ac:dyDescent="0.25">
      <c r="A188" s="71">
        <v>45373</v>
      </c>
      <c r="B188" s="72" t="s">
        <v>272</v>
      </c>
      <c r="C188" s="72" t="s">
        <v>10</v>
      </c>
      <c r="D188" s="72" t="s">
        <v>23</v>
      </c>
      <c r="E188" s="72" t="s">
        <v>56</v>
      </c>
      <c r="F188" s="72">
        <v>1</v>
      </c>
      <c r="G188" s="73">
        <f t="shared" si="26"/>
        <v>5</v>
      </c>
      <c r="H188" s="73">
        <f t="shared" si="23"/>
        <v>5</v>
      </c>
      <c r="I188" s="72" t="s">
        <v>83</v>
      </c>
      <c r="J188" s="74"/>
      <c r="L188" s="79"/>
      <c r="M188" s="80"/>
      <c r="N188" s="80"/>
      <c r="O188" s="84"/>
    </row>
    <row r="189" spans="1:15" x14ac:dyDescent="0.25">
      <c r="A189" s="71">
        <v>45373</v>
      </c>
      <c r="B189" s="72" t="s">
        <v>272</v>
      </c>
      <c r="C189" s="72" t="s">
        <v>10</v>
      </c>
      <c r="D189" s="72" t="s">
        <v>38</v>
      </c>
      <c r="E189" s="72" t="s">
        <v>56</v>
      </c>
      <c r="F189" s="72">
        <v>2</v>
      </c>
      <c r="G189" s="73">
        <f t="shared" si="26"/>
        <v>6</v>
      </c>
      <c r="H189" s="73">
        <f t="shared" si="23"/>
        <v>12</v>
      </c>
      <c r="I189" s="72" t="s">
        <v>83</v>
      </c>
      <c r="J189" s="74"/>
      <c r="L189" s="79"/>
      <c r="M189" s="80"/>
      <c r="N189" s="80"/>
      <c r="O189" s="84"/>
    </row>
    <row r="190" spans="1:15" x14ac:dyDescent="0.25">
      <c r="A190" s="71">
        <v>45373</v>
      </c>
      <c r="B190" s="72" t="s">
        <v>390</v>
      </c>
      <c r="C190" s="72" t="s">
        <v>10</v>
      </c>
      <c r="D190" s="72" t="s">
        <v>18</v>
      </c>
      <c r="E190" s="72" t="s">
        <v>56</v>
      </c>
      <c r="F190" s="72">
        <v>1</v>
      </c>
      <c r="G190" s="73">
        <f t="shared" si="26"/>
        <v>40</v>
      </c>
      <c r="H190" s="73">
        <f t="shared" si="23"/>
        <v>40</v>
      </c>
      <c r="I190" s="72" t="s">
        <v>78</v>
      </c>
      <c r="J190" s="74"/>
      <c r="L190" s="79"/>
      <c r="M190" s="80"/>
      <c r="N190" s="80"/>
      <c r="O190" s="84"/>
    </row>
    <row r="191" spans="1:15" x14ac:dyDescent="0.25">
      <c r="A191" s="71">
        <v>45373</v>
      </c>
      <c r="B191" s="72" t="s">
        <v>390</v>
      </c>
      <c r="C191" s="72" t="s">
        <v>10</v>
      </c>
      <c r="D191" s="72" t="s">
        <v>13</v>
      </c>
      <c r="E191" s="72" t="s">
        <v>56</v>
      </c>
      <c r="F191" s="72">
        <v>1</v>
      </c>
      <c r="G191" s="73">
        <f t="shared" si="26"/>
        <v>30</v>
      </c>
      <c r="H191" s="73">
        <f t="shared" si="23"/>
        <v>30</v>
      </c>
      <c r="I191" s="72" t="s">
        <v>78</v>
      </c>
      <c r="J191" s="74"/>
      <c r="L191" s="79"/>
      <c r="M191" s="80"/>
      <c r="N191" s="80"/>
      <c r="O191" s="84"/>
    </row>
    <row r="192" spans="1:15" x14ac:dyDescent="0.25">
      <c r="A192" s="71">
        <v>45373</v>
      </c>
      <c r="B192" s="72" t="s">
        <v>390</v>
      </c>
      <c r="C192" s="72" t="s">
        <v>10</v>
      </c>
      <c r="D192" s="72" t="s">
        <v>61</v>
      </c>
      <c r="E192" s="72" t="s">
        <v>56</v>
      </c>
      <c r="F192" s="72">
        <v>1</v>
      </c>
      <c r="G192" s="73">
        <f t="shared" si="26"/>
        <v>35</v>
      </c>
      <c r="H192" s="73">
        <f t="shared" si="23"/>
        <v>35</v>
      </c>
      <c r="I192" s="72" t="s">
        <v>78</v>
      </c>
      <c r="J192" s="74"/>
      <c r="L192" s="79"/>
      <c r="M192" s="80"/>
      <c r="N192" s="80"/>
      <c r="O192" s="84"/>
    </row>
    <row r="193" spans="1:15" x14ac:dyDescent="0.25">
      <c r="A193" s="71">
        <v>45373</v>
      </c>
      <c r="B193" s="72" t="s">
        <v>118</v>
      </c>
      <c r="C193" s="72" t="s">
        <v>8</v>
      </c>
      <c r="D193" s="72" t="s">
        <v>13</v>
      </c>
      <c r="E193" s="72" t="s">
        <v>56</v>
      </c>
      <c r="F193" s="72">
        <v>1</v>
      </c>
      <c r="G193" s="73">
        <f t="shared" si="26"/>
        <v>30</v>
      </c>
      <c r="H193" s="73">
        <f t="shared" si="23"/>
        <v>30</v>
      </c>
      <c r="I193" s="72" t="s">
        <v>78</v>
      </c>
      <c r="J193" s="74"/>
      <c r="L193" s="79"/>
      <c r="M193" s="80"/>
      <c r="N193" s="80"/>
      <c r="O193" s="84"/>
    </row>
    <row r="194" spans="1:15" x14ac:dyDescent="0.25">
      <c r="A194" s="71">
        <v>45373</v>
      </c>
      <c r="B194" s="72" t="s">
        <v>118</v>
      </c>
      <c r="C194" s="72" t="s">
        <v>8</v>
      </c>
      <c r="D194" s="72" t="s">
        <v>26</v>
      </c>
      <c r="E194" s="72" t="s">
        <v>56</v>
      </c>
      <c r="F194" s="72">
        <v>1</v>
      </c>
      <c r="G194" s="73">
        <f t="shared" si="26"/>
        <v>35</v>
      </c>
      <c r="H194" s="73">
        <f t="shared" si="23"/>
        <v>35</v>
      </c>
      <c r="I194" s="72" t="s">
        <v>78</v>
      </c>
      <c r="J194" s="74"/>
      <c r="L194" s="79"/>
      <c r="M194" s="80"/>
      <c r="N194" s="80"/>
      <c r="O194" s="84"/>
    </row>
    <row r="195" spans="1:15" x14ac:dyDescent="0.25">
      <c r="A195" s="71">
        <v>45373</v>
      </c>
      <c r="B195" s="72" t="s">
        <v>236</v>
      </c>
      <c r="C195" s="72" t="s">
        <v>8</v>
      </c>
      <c r="D195" s="72" t="s">
        <v>16</v>
      </c>
      <c r="E195" s="72" t="s">
        <v>56</v>
      </c>
      <c r="F195" s="72">
        <v>1</v>
      </c>
      <c r="G195" s="73">
        <f t="shared" si="26"/>
        <v>80</v>
      </c>
      <c r="H195" s="73">
        <f t="shared" ref="H195:H258" si="27">F195*G195</f>
        <v>80</v>
      </c>
      <c r="I195" s="72" t="s">
        <v>83</v>
      </c>
      <c r="J195" s="74"/>
      <c r="L195" s="79"/>
      <c r="M195" s="80"/>
      <c r="N195" s="80"/>
      <c r="O195" s="84"/>
    </row>
    <row r="196" spans="1:15" x14ac:dyDescent="0.25">
      <c r="A196" s="71">
        <v>45373</v>
      </c>
      <c r="B196" s="72" t="s">
        <v>391</v>
      </c>
      <c r="C196" s="72" t="s">
        <v>377</v>
      </c>
      <c r="D196" s="72" t="s">
        <v>24</v>
      </c>
      <c r="E196" s="72" t="s">
        <v>82</v>
      </c>
      <c r="F196" s="72">
        <v>1</v>
      </c>
      <c r="G196" s="73">
        <f t="shared" ref="G196:G212" si="28">VLOOKUP(D196,$R$3:$S$114,2,0)</f>
        <v>10</v>
      </c>
      <c r="H196" s="73">
        <f t="shared" si="27"/>
        <v>10</v>
      </c>
      <c r="I196" s="72" t="s">
        <v>83</v>
      </c>
      <c r="J196" s="74"/>
      <c r="L196" s="79"/>
      <c r="M196" s="80"/>
      <c r="N196" s="80"/>
      <c r="O196" s="84"/>
    </row>
    <row r="197" spans="1:15" x14ac:dyDescent="0.25">
      <c r="A197" s="71">
        <v>45373</v>
      </c>
      <c r="B197" s="72" t="s">
        <v>360</v>
      </c>
      <c r="C197" s="72" t="s">
        <v>8</v>
      </c>
      <c r="D197" s="72" t="s">
        <v>18</v>
      </c>
      <c r="E197" s="72" t="s">
        <v>82</v>
      </c>
      <c r="F197" s="72">
        <v>1</v>
      </c>
      <c r="G197" s="73">
        <f t="shared" si="28"/>
        <v>40</v>
      </c>
      <c r="H197" s="73">
        <f t="shared" si="27"/>
        <v>40</v>
      </c>
      <c r="I197" s="72" t="s">
        <v>83</v>
      </c>
      <c r="J197" s="74"/>
      <c r="L197" s="79"/>
      <c r="M197" s="80"/>
      <c r="N197" s="80"/>
      <c r="O197" s="84"/>
    </row>
    <row r="198" spans="1:15" x14ac:dyDescent="0.25">
      <c r="A198" s="71">
        <v>45373</v>
      </c>
      <c r="B198" s="72" t="s">
        <v>392</v>
      </c>
      <c r="C198" s="72" t="s">
        <v>377</v>
      </c>
      <c r="D198" s="72" t="s">
        <v>18</v>
      </c>
      <c r="E198" s="72" t="s">
        <v>82</v>
      </c>
      <c r="F198" s="72">
        <v>1</v>
      </c>
      <c r="G198" s="73">
        <f t="shared" si="28"/>
        <v>40</v>
      </c>
      <c r="H198" s="73">
        <f t="shared" si="27"/>
        <v>40</v>
      </c>
      <c r="I198" s="72" t="s">
        <v>78</v>
      </c>
      <c r="J198" s="74"/>
      <c r="L198" s="79"/>
      <c r="M198" s="80"/>
      <c r="N198" s="80"/>
      <c r="O198" s="84"/>
    </row>
    <row r="199" spans="1:15" x14ac:dyDescent="0.25">
      <c r="A199" s="71">
        <v>45373</v>
      </c>
      <c r="B199" s="72" t="s">
        <v>392</v>
      </c>
      <c r="C199" s="72" t="s">
        <v>8</v>
      </c>
      <c r="D199" s="72" t="s">
        <v>23</v>
      </c>
      <c r="E199" s="72" t="s">
        <v>82</v>
      </c>
      <c r="F199" s="72">
        <v>1</v>
      </c>
      <c r="G199" s="73">
        <f t="shared" si="28"/>
        <v>5</v>
      </c>
      <c r="H199" s="73">
        <f t="shared" si="27"/>
        <v>5</v>
      </c>
      <c r="I199" s="72" t="s">
        <v>78</v>
      </c>
      <c r="J199" s="74"/>
      <c r="L199" s="79"/>
      <c r="M199" s="80"/>
      <c r="N199" s="80"/>
      <c r="O199" s="84"/>
    </row>
    <row r="200" spans="1:15" x14ac:dyDescent="0.25">
      <c r="A200" s="71">
        <v>45373</v>
      </c>
      <c r="B200" s="72" t="s">
        <v>393</v>
      </c>
      <c r="C200" s="72" t="s">
        <v>8</v>
      </c>
      <c r="D200" s="72" t="s">
        <v>18</v>
      </c>
      <c r="E200" s="72" t="s">
        <v>82</v>
      </c>
      <c r="F200" s="72">
        <v>1</v>
      </c>
      <c r="G200" s="73">
        <f t="shared" si="28"/>
        <v>40</v>
      </c>
      <c r="H200" s="73">
        <f t="shared" si="27"/>
        <v>40</v>
      </c>
      <c r="I200" s="72" t="s">
        <v>86</v>
      </c>
      <c r="J200" s="74"/>
      <c r="L200" s="79"/>
      <c r="M200" s="80"/>
      <c r="N200" s="80"/>
      <c r="O200" s="84"/>
    </row>
    <row r="201" spans="1:15" x14ac:dyDescent="0.25">
      <c r="A201" s="71">
        <v>45373</v>
      </c>
      <c r="B201" s="72" t="s">
        <v>394</v>
      </c>
      <c r="C201" s="72" t="s">
        <v>8</v>
      </c>
      <c r="D201" s="72" t="s">
        <v>18</v>
      </c>
      <c r="E201" s="72" t="s">
        <v>82</v>
      </c>
      <c r="F201" s="72">
        <v>1</v>
      </c>
      <c r="G201" s="73">
        <f t="shared" si="28"/>
        <v>40</v>
      </c>
      <c r="H201" s="73">
        <f t="shared" si="27"/>
        <v>40</v>
      </c>
      <c r="I201" s="72" t="s">
        <v>86</v>
      </c>
      <c r="J201" s="74"/>
      <c r="L201" s="79"/>
      <c r="M201" s="80"/>
      <c r="N201" s="80"/>
      <c r="O201" s="84"/>
    </row>
    <row r="202" spans="1:15" x14ac:dyDescent="0.25">
      <c r="A202" s="71">
        <v>45374</v>
      </c>
      <c r="B202" s="72" t="s">
        <v>109</v>
      </c>
      <c r="C202" s="72" t="s">
        <v>9</v>
      </c>
      <c r="D202" s="72" t="s">
        <v>18</v>
      </c>
      <c r="E202" s="72" t="s">
        <v>56</v>
      </c>
      <c r="F202" s="72">
        <v>1</v>
      </c>
      <c r="G202" s="73">
        <f t="shared" si="28"/>
        <v>40</v>
      </c>
      <c r="H202" s="73">
        <f t="shared" si="27"/>
        <v>40</v>
      </c>
      <c r="I202" s="72" t="s">
        <v>78</v>
      </c>
      <c r="J202" s="74"/>
      <c r="L202" s="79"/>
      <c r="M202" s="80"/>
      <c r="N202" s="80"/>
      <c r="O202" s="84"/>
    </row>
    <row r="203" spans="1:15" x14ac:dyDescent="0.25">
      <c r="A203" s="71">
        <v>45374</v>
      </c>
      <c r="B203" s="72" t="s">
        <v>395</v>
      </c>
      <c r="C203" s="72" t="s">
        <v>8</v>
      </c>
      <c r="D203" s="72" t="s">
        <v>13</v>
      </c>
      <c r="E203" s="72" t="s">
        <v>56</v>
      </c>
      <c r="F203" s="72">
        <v>1</v>
      </c>
      <c r="G203" s="73">
        <f t="shared" si="28"/>
        <v>30</v>
      </c>
      <c r="H203" s="73">
        <f t="shared" si="27"/>
        <v>30</v>
      </c>
      <c r="I203" s="72" t="s">
        <v>83</v>
      </c>
      <c r="J203" s="74"/>
      <c r="L203" s="79"/>
      <c r="M203" s="80"/>
      <c r="N203" s="80"/>
      <c r="O203" s="84"/>
    </row>
    <row r="204" spans="1:15" x14ac:dyDescent="0.25">
      <c r="A204" s="71">
        <v>45374</v>
      </c>
      <c r="B204" s="72" t="s">
        <v>395</v>
      </c>
      <c r="C204" s="72" t="s">
        <v>8</v>
      </c>
      <c r="D204" s="72" t="s">
        <v>33</v>
      </c>
      <c r="E204" s="72" t="s">
        <v>56</v>
      </c>
      <c r="F204" s="72">
        <v>1</v>
      </c>
      <c r="G204" s="73">
        <f t="shared" si="28"/>
        <v>35</v>
      </c>
      <c r="H204" s="73">
        <f t="shared" si="27"/>
        <v>35</v>
      </c>
      <c r="I204" s="72" t="s">
        <v>83</v>
      </c>
      <c r="J204" s="74"/>
      <c r="L204" s="79"/>
      <c r="M204" s="80"/>
      <c r="N204" s="80"/>
      <c r="O204" s="84"/>
    </row>
    <row r="205" spans="1:15" x14ac:dyDescent="0.25">
      <c r="A205" s="71">
        <v>45374</v>
      </c>
      <c r="B205" s="72" t="s">
        <v>396</v>
      </c>
      <c r="C205" s="72" t="s">
        <v>8</v>
      </c>
      <c r="D205" s="72" t="s">
        <v>18</v>
      </c>
      <c r="E205" s="72" t="s">
        <v>56</v>
      </c>
      <c r="F205" s="72">
        <v>2</v>
      </c>
      <c r="G205" s="73">
        <f t="shared" si="28"/>
        <v>40</v>
      </c>
      <c r="H205" s="73">
        <f t="shared" si="27"/>
        <v>80</v>
      </c>
      <c r="I205" s="72" t="s">
        <v>83</v>
      </c>
      <c r="J205" s="74"/>
      <c r="L205" s="79"/>
      <c r="M205" s="80"/>
      <c r="N205" s="80"/>
      <c r="O205" s="84"/>
    </row>
    <row r="206" spans="1:15" x14ac:dyDescent="0.25">
      <c r="A206" s="71">
        <v>45374</v>
      </c>
      <c r="B206" s="72" t="s">
        <v>396</v>
      </c>
      <c r="C206" s="72" t="s">
        <v>8</v>
      </c>
      <c r="D206" s="72" t="s">
        <v>23</v>
      </c>
      <c r="E206" s="72" t="s">
        <v>56</v>
      </c>
      <c r="F206" s="72">
        <v>1</v>
      </c>
      <c r="G206" s="73">
        <f t="shared" si="28"/>
        <v>5</v>
      </c>
      <c r="H206" s="73">
        <f t="shared" si="27"/>
        <v>5</v>
      </c>
      <c r="I206" s="72" t="s">
        <v>83</v>
      </c>
      <c r="J206" s="74"/>
      <c r="L206" s="79"/>
      <c r="M206" s="80"/>
      <c r="N206" s="80"/>
      <c r="O206" s="84"/>
    </row>
    <row r="207" spans="1:15" x14ac:dyDescent="0.25">
      <c r="A207" s="71">
        <v>45374</v>
      </c>
      <c r="B207" s="72" t="s">
        <v>397</v>
      </c>
      <c r="C207" s="72" t="s">
        <v>10</v>
      </c>
      <c r="D207" s="72" t="s">
        <v>18</v>
      </c>
      <c r="E207" s="72" t="s">
        <v>56</v>
      </c>
      <c r="F207" s="72">
        <v>1</v>
      </c>
      <c r="G207" s="73">
        <f t="shared" si="28"/>
        <v>40</v>
      </c>
      <c r="H207" s="73">
        <f t="shared" si="27"/>
        <v>40</v>
      </c>
      <c r="I207" s="72" t="s">
        <v>79</v>
      </c>
      <c r="J207" s="74"/>
      <c r="L207" s="79"/>
      <c r="M207" s="80"/>
      <c r="N207" s="80"/>
      <c r="O207" s="84"/>
    </row>
    <row r="208" spans="1:15" x14ac:dyDescent="0.25">
      <c r="A208" s="71">
        <v>45374</v>
      </c>
      <c r="B208" s="72" t="s">
        <v>398</v>
      </c>
      <c r="C208" s="72" t="s">
        <v>10</v>
      </c>
      <c r="D208" s="72" t="s">
        <v>18</v>
      </c>
      <c r="E208" s="72" t="s">
        <v>56</v>
      </c>
      <c r="F208" s="72">
        <v>1</v>
      </c>
      <c r="G208" s="73">
        <f t="shared" si="28"/>
        <v>40</v>
      </c>
      <c r="H208" s="73">
        <f t="shared" si="27"/>
        <v>40</v>
      </c>
      <c r="I208" s="72" t="s">
        <v>79</v>
      </c>
      <c r="J208" s="74"/>
      <c r="L208" s="79"/>
      <c r="M208" s="80"/>
      <c r="N208" s="80"/>
      <c r="O208" s="84"/>
    </row>
    <row r="209" spans="1:15" x14ac:dyDescent="0.25">
      <c r="A209" s="71">
        <v>45374</v>
      </c>
      <c r="B209" s="72" t="s">
        <v>399</v>
      </c>
      <c r="C209" s="72" t="s">
        <v>8</v>
      </c>
      <c r="D209" s="72" t="s">
        <v>18</v>
      </c>
      <c r="E209" s="72" t="s">
        <v>82</v>
      </c>
      <c r="F209" s="72">
        <v>1</v>
      </c>
      <c r="G209" s="73">
        <f t="shared" si="28"/>
        <v>40</v>
      </c>
      <c r="H209" s="73">
        <f t="shared" si="27"/>
        <v>40</v>
      </c>
      <c r="I209" s="72" t="s">
        <v>79</v>
      </c>
      <c r="J209" s="74"/>
      <c r="L209" s="79"/>
      <c r="M209" s="80"/>
      <c r="N209" s="80"/>
      <c r="O209" s="84"/>
    </row>
    <row r="210" spans="1:15" x14ac:dyDescent="0.25">
      <c r="A210" s="71">
        <v>45374</v>
      </c>
      <c r="B210" s="72" t="s">
        <v>394</v>
      </c>
      <c r="C210" s="72" t="s">
        <v>8</v>
      </c>
      <c r="D210" s="72" t="s">
        <v>18</v>
      </c>
      <c r="E210" s="72" t="s">
        <v>82</v>
      </c>
      <c r="F210" s="72">
        <v>1</v>
      </c>
      <c r="G210" s="73">
        <f t="shared" si="28"/>
        <v>40</v>
      </c>
      <c r="H210" s="73">
        <f t="shared" si="27"/>
        <v>40</v>
      </c>
      <c r="I210" s="72" t="s">
        <v>83</v>
      </c>
      <c r="J210" s="74"/>
      <c r="L210" s="79"/>
      <c r="M210" s="80"/>
      <c r="N210" s="80"/>
      <c r="O210" s="84"/>
    </row>
    <row r="211" spans="1:15" x14ac:dyDescent="0.25">
      <c r="A211" s="71">
        <v>45374</v>
      </c>
      <c r="B211" s="72" t="s">
        <v>373</v>
      </c>
      <c r="C211" s="72" t="s">
        <v>377</v>
      </c>
      <c r="D211" s="72" t="s">
        <v>13</v>
      </c>
      <c r="E211" s="72" t="s">
        <v>82</v>
      </c>
      <c r="F211" s="72">
        <v>1</v>
      </c>
      <c r="G211" s="73">
        <f t="shared" si="28"/>
        <v>30</v>
      </c>
      <c r="H211" s="73">
        <f t="shared" si="27"/>
        <v>30</v>
      </c>
      <c r="I211" s="72" t="s">
        <v>83</v>
      </c>
      <c r="J211" s="74"/>
      <c r="L211" s="79"/>
      <c r="M211" s="80"/>
      <c r="N211" s="80"/>
      <c r="O211" s="84"/>
    </row>
    <row r="212" spans="1:15" x14ac:dyDescent="0.25">
      <c r="A212" s="71">
        <v>45374</v>
      </c>
      <c r="B212" s="72" t="s">
        <v>373</v>
      </c>
      <c r="C212" s="72" t="s">
        <v>8</v>
      </c>
      <c r="D212" s="72" t="s">
        <v>20</v>
      </c>
      <c r="E212" s="72" t="s">
        <v>82</v>
      </c>
      <c r="F212" s="72">
        <v>1</v>
      </c>
      <c r="G212" s="73">
        <f t="shared" si="28"/>
        <v>15</v>
      </c>
      <c r="H212" s="73">
        <f t="shared" si="27"/>
        <v>15</v>
      </c>
      <c r="I212" s="72" t="s">
        <v>83</v>
      </c>
      <c r="J212" s="74"/>
      <c r="L212" s="79"/>
      <c r="M212" s="80"/>
      <c r="N212" s="80"/>
      <c r="O212" s="84"/>
    </row>
    <row r="213" spans="1:15" x14ac:dyDescent="0.25">
      <c r="A213" s="71">
        <v>45374</v>
      </c>
      <c r="B213" s="72" t="s">
        <v>124</v>
      </c>
      <c r="C213" s="72" t="s">
        <v>377</v>
      </c>
      <c r="D213" s="72" t="s">
        <v>22</v>
      </c>
      <c r="E213" s="72" t="s">
        <v>82</v>
      </c>
      <c r="F213" s="72">
        <v>1</v>
      </c>
      <c r="G213" s="73">
        <v>25</v>
      </c>
      <c r="H213" s="73">
        <f t="shared" si="27"/>
        <v>25</v>
      </c>
      <c r="I213" s="72" t="s">
        <v>83</v>
      </c>
      <c r="J213" s="74"/>
      <c r="L213" s="79"/>
      <c r="M213" s="80"/>
      <c r="N213" s="80"/>
      <c r="O213" s="84"/>
    </row>
    <row r="214" spans="1:15" x14ac:dyDescent="0.25">
      <c r="A214" s="71">
        <v>45374</v>
      </c>
      <c r="B214" s="72" t="s">
        <v>400</v>
      </c>
      <c r="C214" s="72" t="s">
        <v>377</v>
      </c>
      <c r="D214" s="72" t="s">
        <v>18</v>
      </c>
      <c r="E214" s="72" t="s">
        <v>82</v>
      </c>
      <c r="F214" s="72">
        <v>1</v>
      </c>
      <c r="G214" s="73">
        <f t="shared" ref="G214:G258" si="29">VLOOKUP(D214,$R$3:$S$114,2,0)</f>
        <v>40</v>
      </c>
      <c r="H214" s="73">
        <f t="shared" si="27"/>
        <v>40</v>
      </c>
      <c r="I214" s="72" t="s">
        <v>83</v>
      </c>
      <c r="J214" s="74"/>
      <c r="L214" s="79"/>
      <c r="M214" s="80"/>
      <c r="N214" s="80"/>
      <c r="O214" s="84"/>
    </row>
    <row r="215" spans="1:15" x14ac:dyDescent="0.25">
      <c r="A215" s="71">
        <v>45374</v>
      </c>
      <c r="B215" s="72" t="s">
        <v>401</v>
      </c>
      <c r="C215" s="72" t="s">
        <v>377</v>
      </c>
      <c r="D215" s="72" t="s">
        <v>18</v>
      </c>
      <c r="E215" s="72" t="s">
        <v>82</v>
      </c>
      <c r="F215" s="72">
        <v>1</v>
      </c>
      <c r="G215" s="73">
        <f t="shared" si="29"/>
        <v>40</v>
      </c>
      <c r="H215" s="73">
        <f t="shared" si="27"/>
        <v>40</v>
      </c>
      <c r="I215" s="72" t="s">
        <v>83</v>
      </c>
      <c r="J215" s="74"/>
      <c r="L215" s="79"/>
      <c r="M215" s="80"/>
      <c r="N215" s="80"/>
      <c r="O215" s="84"/>
    </row>
    <row r="216" spans="1:15" x14ac:dyDescent="0.25">
      <c r="A216" s="71">
        <v>45374</v>
      </c>
      <c r="B216" s="72" t="s">
        <v>402</v>
      </c>
      <c r="C216" s="72" t="s">
        <v>8</v>
      </c>
      <c r="D216" s="72" t="s">
        <v>17</v>
      </c>
      <c r="E216" s="72" t="s">
        <v>82</v>
      </c>
      <c r="F216" s="72">
        <v>1</v>
      </c>
      <c r="G216" s="73">
        <f t="shared" si="29"/>
        <v>50</v>
      </c>
      <c r="H216" s="73">
        <f t="shared" si="27"/>
        <v>50</v>
      </c>
      <c r="I216" s="72" t="s">
        <v>78</v>
      </c>
      <c r="J216" s="74"/>
      <c r="L216" s="79"/>
      <c r="M216" s="80"/>
      <c r="N216" s="80"/>
      <c r="O216" s="84"/>
    </row>
    <row r="217" spans="1:15" x14ac:dyDescent="0.25">
      <c r="A217" s="71">
        <v>45374</v>
      </c>
      <c r="B217" s="72" t="s">
        <v>178</v>
      </c>
      <c r="C217" s="72" t="s">
        <v>377</v>
      </c>
      <c r="D217" s="72" t="s">
        <v>60</v>
      </c>
      <c r="E217" s="72" t="s">
        <v>82</v>
      </c>
      <c r="F217" s="72">
        <v>1</v>
      </c>
      <c r="G217" s="73">
        <f t="shared" si="29"/>
        <v>90</v>
      </c>
      <c r="H217" s="73">
        <f t="shared" si="27"/>
        <v>90</v>
      </c>
      <c r="I217" s="72" t="s">
        <v>86</v>
      </c>
      <c r="J217" s="74"/>
      <c r="L217" s="79"/>
      <c r="M217" s="80"/>
      <c r="N217" s="80"/>
      <c r="O217" s="84"/>
    </row>
    <row r="218" spans="1:15" x14ac:dyDescent="0.25">
      <c r="A218" s="71">
        <v>45374</v>
      </c>
      <c r="B218" s="72" t="s">
        <v>178</v>
      </c>
      <c r="C218" s="72" t="s">
        <v>377</v>
      </c>
      <c r="D218" s="72" t="s">
        <v>18</v>
      </c>
      <c r="E218" s="72" t="s">
        <v>82</v>
      </c>
      <c r="F218" s="72">
        <v>1</v>
      </c>
      <c r="G218" s="73">
        <f t="shared" si="29"/>
        <v>40</v>
      </c>
      <c r="H218" s="73">
        <f t="shared" si="27"/>
        <v>40</v>
      </c>
      <c r="I218" s="72" t="s">
        <v>86</v>
      </c>
      <c r="J218" s="74"/>
      <c r="L218" s="79"/>
      <c r="M218" s="80"/>
      <c r="N218" s="80"/>
      <c r="O218" s="84"/>
    </row>
    <row r="219" spans="1:15" x14ac:dyDescent="0.25">
      <c r="A219" s="71">
        <v>45374</v>
      </c>
      <c r="B219" s="72" t="s">
        <v>403</v>
      </c>
      <c r="C219" s="72" t="s">
        <v>8</v>
      </c>
      <c r="D219" s="72" t="s">
        <v>17</v>
      </c>
      <c r="E219" s="72" t="s">
        <v>82</v>
      </c>
      <c r="F219" s="72">
        <v>1</v>
      </c>
      <c r="G219" s="73">
        <f t="shared" si="29"/>
        <v>50</v>
      </c>
      <c r="H219" s="73">
        <f t="shared" si="27"/>
        <v>50</v>
      </c>
      <c r="I219" s="72" t="s">
        <v>86</v>
      </c>
      <c r="J219" s="74"/>
      <c r="L219" s="79"/>
      <c r="M219" s="80"/>
      <c r="N219" s="80"/>
      <c r="O219" s="84"/>
    </row>
    <row r="220" spans="1:15" x14ac:dyDescent="0.25">
      <c r="A220" s="71">
        <v>45377</v>
      </c>
      <c r="B220" s="72" t="s">
        <v>404</v>
      </c>
      <c r="C220" s="72" t="s">
        <v>8</v>
      </c>
      <c r="D220" s="72" t="s">
        <v>22</v>
      </c>
      <c r="E220" s="72" t="s">
        <v>82</v>
      </c>
      <c r="F220" s="72">
        <v>1</v>
      </c>
      <c r="G220" s="73">
        <f t="shared" si="29"/>
        <v>30</v>
      </c>
      <c r="H220" s="73">
        <f t="shared" si="27"/>
        <v>30</v>
      </c>
      <c r="I220" s="72" t="s">
        <v>83</v>
      </c>
      <c r="J220" s="74"/>
      <c r="L220" s="79"/>
      <c r="M220" s="80"/>
      <c r="N220" s="80"/>
      <c r="O220" s="84"/>
    </row>
    <row r="221" spans="1:15" x14ac:dyDescent="0.25">
      <c r="A221" s="71">
        <v>45377</v>
      </c>
      <c r="B221" s="72" t="s">
        <v>182</v>
      </c>
      <c r="C221" s="72" t="s">
        <v>8</v>
      </c>
      <c r="D221" s="72" t="s">
        <v>18</v>
      </c>
      <c r="E221" s="72" t="s">
        <v>82</v>
      </c>
      <c r="F221" s="72">
        <v>1</v>
      </c>
      <c r="G221" s="73">
        <f t="shared" si="29"/>
        <v>40</v>
      </c>
      <c r="H221" s="73">
        <f t="shared" si="27"/>
        <v>40</v>
      </c>
      <c r="I221" s="72" t="s">
        <v>79</v>
      </c>
      <c r="J221" s="74"/>
      <c r="L221" s="79"/>
      <c r="M221" s="80"/>
      <c r="N221" s="80"/>
      <c r="O221" s="84"/>
    </row>
    <row r="222" spans="1:15" x14ac:dyDescent="0.25">
      <c r="A222" s="71">
        <v>45377</v>
      </c>
      <c r="B222" s="72" t="s">
        <v>312</v>
      </c>
      <c r="C222" s="72" t="s">
        <v>9</v>
      </c>
      <c r="D222" s="72" t="s">
        <v>18</v>
      </c>
      <c r="E222" s="72" t="s">
        <v>56</v>
      </c>
      <c r="F222" s="72">
        <v>1</v>
      </c>
      <c r="G222" s="73">
        <f t="shared" si="29"/>
        <v>40</v>
      </c>
      <c r="H222" s="73">
        <f t="shared" si="27"/>
        <v>40</v>
      </c>
      <c r="I222" s="72" t="s">
        <v>78</v>
      </c>
      <c r="J222" s="74"/>
      <c r="L222" s="79" t="s">
        <v>18</v>
      </c>
      <c r="M222" s="80">
        <f>VLOOKUP(L222,$R$3:$T$54,3,0)</f>
        <v>16</v>
      </c>
      <c r="N222" s="80">
        <f>M222*F222</f>
        <v>16</v>
      </c>
      <c r="O222" s="81" t="s">
        <v>56</v>
      </c>
    </row>
    <row r="223" spans="1:15" x14ac:dyDescent="0.25">
      <c r="A223" s="71">
        <v>45377</v>
      </c>
      <c r="B223" s="72" t="s">
        <v>312</v>
      </c>
      <c r="C223" s="72" t="s">
        <v>9</v>
      </c>
      <c r="D223" s="72" t="s">
        <v>39</v>
      </c>
      <c r="E223" s="72" t="s">
        <v>56</v>
      </c>
      <c r="F223" s="72">
        <v>1</v>
      </c>
      <c r="G223" s="73">
        <f t="shared" si="29"/>
        <v>10</v>
      </c>
      <c r="H223" s="73">
        <f t="shared" si="27"/>
        <v>10</v>
      </c>
      <c r="I223" s="72" t="s">
        <v>78</v>
      </c>
      <c r="J223" s="74"/>
      <c r="L223" s="79" t="s">
        <v>39</v>
      </c>
      <c r="M223" s="80">
        <f>VLOOKUP(L223,$R$3:$T$54,3,0)</f>
        <v>1</v>
      </c>
      <c r="N223" s="80">
        <f>M223*F223</f>
        <v>1</v>
      </c>
      <c r="O223" s="81" t="s">
        <v>56</v>
      </c>
    </row>
    <row r="224" spans="1:15" x14ac:dyDescent="0.25">
      <c r="A224" s="71">
        <v>45377</v>
      </c>
      <c r="B224" s="72" t="s">
        <v>312</v>
      </c>
      <c r="C224" s="72" t="s">
        <v>9</v>
      </c>
      <c r="D224" s="72" t="s">
        <v>97</v>
      </c>
      <c r="E224" s="72" t="s">
        <v>56</v>
      </c>
      <c r="F224" s="72">
        <v>1</v>
      </c>
      <c r="G224" s="73">
        <f t="shared" si="29"/>
        <v>30</v>
      </c>
      <c r="H224" s="73">
        <f t="shared" si="27"/>
        <v>30</v>
      </c>
      <c r="I224" s="72" t="s">
        <v>86</v>
      </c>
      <c r="J224" s="74"/>
      <c r="L224" s="79" t="s">
        <v>97</v>
      </c>
      <c r="M224" s="80">
        <f>VLOOKUP(L224,$R$3:$T$54,3,0)</f>
        <v>3</v>
      </c>
      <c r="N224" s="80">
        <f>M224*F224</f>
        <v>3</v>
      </c>
      <c r="O224" s="81" t="s">
        <v>56</v>
      </c>
    </row>
    <row r="225" spans="1:15" x14ac:dyDescent="0.25">
      <c r="A225" s="71">
        <v>45378</v>
      </c>
      <c r="B225" s="72" t="s">
        <v>405</v>
      </c>
      <c r="C225" s="72" t="s">
        <v>10</v>
      </c>
      <c r="D225" s="72" t="s">
        <v>18</v>
      </c>
      <c r="E225" s="72" t="s">
        <v>56</v>
      </c>
      <c r="F225" s="72">
        <v>1</v>
      </c>
      <c r="G225" s="73">
        <f t="shared" si="29"/>
        <v>40</v>
      </c>
      <c r="H225" s="73">
        <f t="shared" si="27"/>
        <v>40</v>
      </c>
      <c r="I225" s="72" t="s">
        <v>79</v>
      </c>
      <c r="J225" s="74"/>
      <c r="L225" s="79" t="s">
        <v>18</v>
      </c>
      <c r="M225" s="80">
        <f>VLOOKUP(L225,$R$3:$T$54,3,0)</f>
        <v>16</v>
      </c>
      <c r="N225" s="80">
        <f>M225*F225</f>
        <v>16</v>
      </c>
      <c r="O225" s="81" t="s">
        <v>56</v>
      </c>
    </row>
    <row r="226" spans="1:15" x14ac:dyDescent="0.25">
      <c r="A226" s="71">
        <v>45378</v>
      </c>
      <c r="B226" s="72" t="s">
        <v>392</v>
      </c>
      <c r="C226" s="72" t="s">
        <v>8</v>
      </c>
      <c r="D226" s="72" t="s">
        <v>15</v>
      </c>
      <c r="E226" s="72" t="s">
        <v>82</v>
      </c>
      <c r="F226" s="72">
        <v>1</v>
      </c>
      <c r="G226" s="73">
        <f t="shared" si="29"/>
        <v>70</v>
      </c>
      <c r="H226" s="73">
        <f t="shared" si="27"/>
        <v>70</v>
      </c>
      <c r="I226" s="72" t="s">
        <v>83</v>
      </c>
      <c r="J226" s="74"/>
      <c r="L226" s="79"/>
      <c r="M226" s="80"/>
      <c r="N226" s="80"/>
      <c r="O226" s="84"/>
    </row>
    <row r="227" spans="1:15" x14ac:dyDescent="0.25">
      <c r="A227" s="71">
        <v>45378</v>
      </c>
      <c r="B227" s="72" t="s">
        <v>406</v>
      </c>
      <c r="C227" s="72" t="s">
        <v>8</v>
      </c>
      <c r="D227" s="72" t="s">
        <v>18</v>
      </c>
      <c r="E227" s="72" t="s">
        <v>82</v>
      </c>
      <c r="F227" s="72">
        <v>1</v>
      </c>
      <c r="G227" s="73">
        <f t="shared" si="29"/>
        <v>40</v>
      </c>
      <c r="H227" s="73">
        <f t="shared" si="27"/>
        <v>40</v>
      </c>
      <c r="I227" s="72" t="s">
        <v>83</v>
      </c>
      <c r="J227" s="74"/>
      <c r="L227" s="79"/>
      <c r="M227" s="80"/>
      <c r="N227" s="80"/>
      <c r="O227" s="84"/>
    </row>
    <row r="228" spans="1:15" x14ac:dyDescent="0.25">
      <c r="A228" s="71">
        <v>45378</v>
      </c>
      <c r="B228" s="72" t="s">
        <v>407</v>
      </c>
      <c r="C228" s="72" t="s">
        <v>8</v>
      </c>
      <c r="D228" s="72" t="s">
        <v>18</v>
      </c>
      <c r="E228" s="72" t="s">
        <v>82</v>
      </c>
      <c r="F228" s="72">
        <v>1</v>
      </c>
      <c r="G228" s="73">
        <f t="shared" si="29"/>
        <v>40</v>
      </c>
      <c r="H228" s="73">
        <f t="shared" si="27"/>
        <v>40</v>
      </c>
      <c r="I228" s="72" t="s">
        <v>83</v>
      </c>
      <c r="J228" s="74"/>
      <c r="L228" s="79"/>
      <c r="M228" s="80"/>
      <c r="N228" s="80"/>
      <c r="O228" s="84"/>
    </row>
    <row r="229" spans="1:15" x14ac:dyDescent="0.25">
      <c r="A229" s="71">
        <v>45378</v>
      </c>
      <c r="B229" s="72" t="s">
        <v>408</v>
      </c>
      <c r="C229" s="72" t="s">
        <v>8</v>
      </c>
      <c r="D229" s="72" t="s">
        <v>23</v>
      </c>
      <c r="E229" s="72" t="s">
        <v>82</v>
      </c>
      <c r="F229" s="72">
        <v>1</v>
      </c>
      <c r="G229" s="73">
        <f t="shared" si="29"/>
        <v>5</v>
      </c>
      <c r="H229" s="73">
        <f t="shared" si="27"/>
        <v>5</v>
      </c>
      <c r="I229" s="72" t="s">
        <v>83</v>
      </c>
      <c r="J229" s="74"/>
      <c r="L229" s="79"/>
      <c r="M229" s="80"/>
      <c r="N229" s="80"/>
      <c r="O229" s="84"/>
    </row>
    <row r="230" spans="1:15" x14ac:dyDescent="0.25">
      <c r="A230" s="71">
        <v>45378</v>
      </c>
      <c r="B230" s="72" t="s">
        <v>384</v>
      </c>
      <c r="C230" s="72" t="s">
        <v>8</v>
      </c>
      <c r="D230" s="72" t="s">
        <v>18</v>
      </c>
      <c r="E230" s="72" t="s">
        <v>82</v>
      </c>
      <c r="F230" s="72">
        <v>1</v>
      </c>
      <c r="G230" s="73">
        <f t="shared" si="29"/>
        <v>40</v>
      </c>
      <c r="H230" s="73">
        <f t="shared" si="27"/>
        <v>40</v>
      </c>
      <c r="I230" s="72" t="s">
        <v>83</v>
      </c>
      <c r="J230" s="74"/>
      <c r="L230" s="79"/>
      <c r="M230" s="80"/>
      <c r="N230" s="80"/>
      <c r="O230" s="84"/>
    </row>
    <row r="231" spans="1:15" x14ac:dyDescent="0.25">
      <c r="A231" s="71">
        <v>45378</v>
      </c>
      <c r="B231" s="72" t="s">
        <v>409</v>
      </c>
      <c r="C231" s="72" t="s">
        <v>8</v>
      </c>
      <c r="D231" s="72" t="s">
        <v>18</v>
      </c>
      <c r="E231" s="72" t="s">
        <v>82</v>
      </c>
      <c r="F231" s="72">
        <v>1</v>
      </c>
      <c r="G231" s="73">
        <f t="shared" si="29"/>
        <v>40</v>
      </c>
      <c r="H231" s="73">
        <f t="shared" si="27"/>
        <v>40</v>
      </c>
      <c r="I231" s="72" t="s">
        <v>79</v>
      </c>
      <c r="J231" s="74"/>
      <c r="L231" s="79"/>
      <c r="M231" s="80"/>
      <c r="N231" s="80"/>
      <c r="O231" s="84"/>
    </row>
    <row r="232" spans="1:15" x14ac:dyDescent="0.25">
      <c r="A232" s="71">
        <v>45378</v>
      </c>
      <c r="B232" s="72" t="s">
        <v>410</v>
      </c>
      <c r="C232" s="72" t="s">
        <v>10</v>
      </c>
      <c r="D232" s="72" t="s">
        <v>18</v>
      </c>
      <c r="E232" s="72" t="s">
        <v>56</v>
      </c>
      <c r="F232" s="72">
        <v>1</v>
      </c>
      <c r="G232" s="73">
        <f t="shared" si="29"/>
        <v>40</v>
      </c>
      <c r="H232" s="73">
        <f t="shared" si="27"/>
        <v>40</v>
      </c>
      <c r="I232" s="72" t="s">
        <v>83</v>
      </c>
      <c r="J232" s="74"/>
      <c r="L232" s="79" t="s">
        <v>18</v>
      </c>
      <c r="M232" s="80">
        <f>VLOOKUP(L232,$R$3:$T$54,3,0)</f>
        <v>16</v>
      </c>
      <c r="N232" s="80">
        <f>M232*F232</f>
        <v>16</v>
      </c>
      <c r="O232" s="81" t="s">
        <v>56</v>
      </c>
    </row>
    <row r="233" spans="1:15" x14ac:dyDescent="0.25">
      <c r="A233" s="71">
        <v>45378</v>
      </c>
      <c r="B233" s="72" t="s">
        <v>410</v>
      </c>
      <c r="C233" s="72" t="s">
        <v>10</v>
      </c>
      <c r="D233" s="72" t="s">
        <v>23</v>
      </c>
      <c r="E233" s="72" t="s">
        <v>56</v>
      </c>
      <c r="F233" s="72">
        <v>1</v>
      </c>
      <c r="G233" s="73">
        <f t="shared" si="29"/>
        <v>5</v>
      </c>
      <c r="H233" s="73">
        <f t="shared" si="27"/>
        <v>5</v>
      </c>
      <c r="I233" s="72" t="s">
        <v>83</v>
      </c>
      <c r="J233" s="74"/>
      <c r="L233" s="79" t="s">
        <v>23</v>
      </c>
      <c r="M233" s="80">
        <f>VLOOKUP(L233,$R$3:$T$54,3,0)</f>
        <v>2</v>
      </c>
      <c r="N233" s="80">
        <f>M233*F233</f>
        <v>2</v>
      </c>
      <c r="O233" s="81" t="s">
        <v>56</v>
      </c>
    </row>
    <row r="234" spans="1:15" x14ac:dyDescent="0.25">
      <c r="A234" s="71">
        <v>45378</v>
      </c>
      <c r="B234" s="72" t="s">
        <v>411</v>
      </c>
      <c r="C234" s="72" t="s">
        <v>8</v>
      </c>
      <c r="D234" s="72" t="s">
        <v>17</v>
      </c>
      <c r="E234" s="72" t="s">
        <v>82</v>
      </c>
      <c r="F234" s="72">
        <v>1</v>
      </c>
      <c r="G234" s="73">
        <f t="shared" si="29"/>
        <v>50</v>
      </c>
      <c r="H234" s="73">
        <f t="shared" si="27"/>
        <v>50</v>
      </c>
      <c r="I234" s="72" t="s">
        <v>78</v>
      </c>
      <c r="J234" s="74"/>
      <c r="L234" s="79"/>
      <c r="M234" s="80"/>
      <c r="N234" s="80"/>
      <c r="O234" s="84"/>
    </row>
    <row r="235" spans="1:15" x14ac:dyDescent="0.25">
      <c r="A235" s="71">
        <v>45378</v>
      </c>
      <c r="B235" s="72" t="s">
        <v>412</v>
      </c>
      <c r="C235" s="72" t="s">
        <v>8</v>
      </c>
      <c r="D235" s="72" t="s">
        <v>17</v>
      </c>
      <c r="E235" s="72" t="s">
        <v>82</v>
      </c>
      <c r="F235" s="72">
        <v>1</v>
      </c>
      <c r="G235" s="73">
        <f t="shared" si="29"/>
        <v>50</v>
      </c>
      <c r="H235" s="73">
        <f t="shared" si="27"/>
        <v>50</v>
      </c>
      <c r="I235" s="72" t="s">
        <v>86</v>
      </c>
      <c r="J235" s="74"/>
      <c r="L235" s="79"/>
      <c r="M235" s="80"/>
      <c r="N235" s="80"/>
      <c r="O235" s="84"/>
    </row>
    <row r="236" spans="1:15" x14ac:dyDescent="0.25">
      <c r="A236" s="71">
        <v>45378</v>
      </c>
      <c r="B236" s="72" t="s">
        <v>412</v>
      </c>
      <c r="C236" s="72" t="s">
        <v>8</v>
      </c>
      <c r="D236" s="72" t="s">
        <v>23</v>
      </c>
      <c r="E236" s="72" t="s">
        <v>82</v>
      </c>
      <c r="F236" s="72">
        <v>1</v>
      </c>
      <c r="G236" s="73">
        <f t="shared" si="29"/>
        <v>5</v>
      </c>
      <c r="H236" s="73">
        <f t="shared" si="27"/>
        <v>5</v>
      </c>
      <c r="I236" s="72" t="s">
        <v>86</v>
      </c>
      <c r="J236" s="74"/>
      <c r="L236" s="79"/>
      <c r="M236" s="80"/>
      <c r="N236" s="80"/>
      <c r="O236" s="84"/>
    </row>
    <row r="237" spans="1:15" x14ac:dyDescent="0.25">
      <c r="A237" s="71">
        <v>45378</v>
      </c>
      <c r="B237" s="72" t="s">
        <v>413</v>
      </c>
      <c r="C237" s="72" t="s">
        <v>10</v>
      </c>
      <c r="D237" s="72" t="s">
        <v>18</v>
      </c>
      <c r="E237" s="72" t="s">
        <v>56</v>
      </c>
      <c r="F237" s="72">
        <v>1</v>
      </c>
      <c r="G237" s="73">
        <f t="shared" si="29"/>
        <v>40</v>
      </c>
      <c r="H237" s="73">
        <f t="shared" si="27"/>
        <v>40</v>
      </c>
      <c r="I237" s="72" t="s">
        <v>83</v>
      </c>
      <c r="J237" s="74"/>
      <c r="L237" s="79" t="s">
        <v>18</v>
      </c>
      <c r="M237" s="80">
        <f>VLOOKUP(L237,$R$3:$T$54,3,0)</f>
        <v>16</v>
      </c>
      <c r="N237" s="80">
        <f>M237*F237</f>
        <v>16</v>
      </c>
      <c r="O237" s="81" t="s">
        <v>56</v>
      </c>
    </row>
    <row r="238" spans="1:15" x14ac:dyDescent="0.25">
      <c r="A238" s="71">
        <v>45378</v>
      </c>
      <c r="B238" s="72" t="s">
        <v>413</v>
      </c>
      <c r="C238" s="72" t="s">
        <v>10</v>
      </c>
      <c r="D238" s="72" t="s">
        <v>24</v>
      </c>
      <c r="E238" s="72" t="s">
        <v>56</v>
      </c>
      <c r="F238" s="72">
        <v>1</v>
      </c>
      <c r="G238" s="73">
        <f t="shared" si="29"/>
        <v>10</v>
      </c>
      <c r="H238" s="73">
        <f t="shared" si="27"/>
        <v>10</v>
      </c>
      <c r="I238" s="72" t="s">
        <v>83</v>
      </c>
      <c r="J238" s="74"/>
      <c r="L238" s="79" t="s">
        <v>24</v>
      </c>
      <c r="M238" s="80">
        <f>VLOOKUP(L238,$R$3:$T$54,3,0)</f>
        <v>4</v>
      </c>
      <c r="N238" s="80">
        <f>M238*F238</f>
        <v>4</v>
      </c>
      <c r="O238" s="81" t="s">
        <v>56</v>
      </c>
    </row>
    <row r="239" spans="1:15" x14ac:dyDescent="0.25">
      <c r="A239" s="71">
        <v>45379</v>
      </c>
      <c r="B239" s="72" t="s">
        <v>412</v>
      </c>
      <c r="C239" s="72" t="s">
        <v>8</v>
      </c>
      <c r="D239" s="72" t="s">
        <v>15</v>
      </c>
      <c r="E239" s="72" t="s">
        <v>82</v>
      </c>
      <c r="F239" s="72">
        <v>1</v>
      </c>
      <c r="G239" s="73">
        <f t="shared" si="29"/>
        <v>70</v>
      </c>
      <c r="H239" s="73">
        <f t="shared" si="27"/>
        <v>70</v>
      </c>
      <c r="I239" s="72" t="s">
        <v>83</v>
      </c>
      <c r="J239" s="74"/>
      <c r="L239" s="79"/>
      <c r="M239" s="80"/>
      <c r="N239" s="80"/>
      <c r="O239" s="84"/>
    </row>
    <row r="240" spans="1:15" x14ac:dyDescent="0.25">
      <c r="A240" s="71">
        <v>45379</v>
      </c>
      <c r="B240" s="72" t="s">
        <v>414</v>
      </c>
      <c r="C240" s="72" t="s">
        <v>9</v>
      </c>
      <c r="D240" s="72" t="s">
        <v>18</v>
      </c>
      <c r="E240" s="72" t="s">
        <v>56</v>
      </c>
      <c r="F240" s="72">
        <v>1</v>
      </c>
      <c r="G240" s="73">
        <f t="shared" si="29"/>
        <v>40</v>
      </c>
      <c r="H240" s="73">
        <f t="shared" si="27"/>
        <v>40</v>
      </c>
      <c r="I240" s="72" t="s">
        <v>83</v>
      </c>
      <c r="J240" s="74"/>
      <c r="L240" s="79" t="s">
        <v>18</v>
      </c>
      <c r="M240" s="80">
        <f>VLOOKUP(L240,$R$3:$T$54,3,0)</f>
        <v>16</v>
      </c>
      <c r="N240" s="80">
        <f>M240*F240</f>
        <v>16</v>
      </c>
      <c r="O240" s="81" t="s">
        <v>56</v>
      </c>
    </row>
    <row r="241" spans="1:15" x14ac:dyDescent="0.25">
      <c r="A241" s="71">
        <v>45379</v>
      </c>
      <c r="B241" s="72" t="s">
        <v>414</v>
      </c>
      <c r="C241" s="72" t="s">
        <v>9</v>
      </c>
      <c r="D241" s="72" t="s">
        <v>23</v>
      </c>
      <c r="E241" s="72" t="s">
        <v>56</v>
      </c>
      <c r="F241" s="72">
        <v>1</v>
      </c>
      <c r="G241" s="73">
        <f t="shared" si="29"/>
        <v>5</v>
      </c>
      <c r="H241" s="73">
        <f t="shared" si="27"/>
        <v>5</v>
      </c>
      <c r="I241" s="72" t="s">
        <v>83</v>
      </c>
      <c r="J241" s="74"/>
      <c r="L241" s="79" t="s">
        <v>23</v>
      </c>
      <c r="M241" s="80">
        <f>VLOOKUP(L241,$R$3:$T$54,3,0)</f>
        <v>2</v>
      </c>
      <c r="N241" s="80">
        <f>M241*F241</f>
        <v>2</v>
      </c>
      <c r="O241" s="81" t="s">
        <v>56</v>
      </c>
    </row>
    <row r="242" spans="1:15" x14ac:dyDescent="0.25">
      <c r="A242" s="71">
        <v>45379</v>
      </c>
      <c r="B242" s="72" t="s">
        <v>415</v>
      </c>
      <c r="C242" s="72" t="s">
        <v>9</v>
      </c>
      <c r="D242" s="72" t="s">
        <v>18</v>
      </c>
      <c r="E242" s="72" t="s">
        <v>56</v>
      </c>
      <c r="F242" s="72">
        <v>1</v>
      </c>
      <c r="G242" s="73">
        <f t="shared" si="29"/>
        <v>40</v>
      </c>
      <c r="H242" s="73">
        <f t="shared" si="27"/>
        <v>40</v>
      </c>
      <c r="I242" s="72" t="s">
        <v>86</v>
      </c>
      <c r="J242" s="74"/>
      <c r="L242" s="79" t="s">
        <v>18</v>
      </c>
      <c r="M242" s="80">
        <f>VLOOKUP(L242,$R$3:$T$54,3,0)</f>
        <v>16</v>
      </c>
      <c r="N242" s="80">
        <f>M242*F242</f>
        <v>16</v>
      </c>
      <c r="O242" s="81" t="s">
        <v>56</v>
      </c>
    </row>
    <row r="243" spans="1:15" x14ac:dyDescent="0.25">
      <c r="A243" s="71">
        <v>45379</v>
      </c>
      <c r="B243" s="72" t="s">
        <v>416</v>
      </c>
      <c r="C243" s="72" t="s">
        <v>10</v>
      </c>
      <c r="D243" s="72" t="s">
        <v>18</v>
      </c>
      <c r="E243" s="72" t="s">
        <v>56</v>
      </c>
      <c r="F243" s="72">
        <v>1</v>
      </c>
      <c r="G243" s="73">
        <f t="shared" si="29"/>
        <v>40</v>
      </c>
      <c r="H243" s="73">
        <f t="shared" si="27"/>
        <v>40</v>
      </c>
      <c r="I243" s="72" t="s">
        <v>86</v>
      </c>
      <c r="J243" s="74"/>
      <c r="L243" s="79" t="s">
        <v>18</v>
      </c>
      <c r="M243" s="80">
        <f>VLOOKUP(L243,$R$3:$T$54,3,0)</f>
        <v>16</v>
      </c>
      <c r="N243" s="80">
        <f>M243*F243</f>
        <v>16</v>
      </c>
      <c r="O243" s="81" t="s">
        <v>56</v>
      </c>
    </row>
    <row r="244" spans="1:15" x14ac:dyDescent="0.25">
      <c r="A244" s="71">
        <v>45379</v>
      </c>
      <c r="B244" s="72" t="s">
        <v>229</v>
      </c>
      <c r="C244" s="72" t="s">
        <v>10</v>
      </c>
      <c r="D244" s="72" t="s">
        <v>18</v>
      </c>
      <c r="E244" s="72" t="s">
        <v>56</v>
      </c>
      <c r="F244" s="72">
        <v>1</v>
      </c>
      <c r="G244" s="73">
        <f t="shared" si="29"/>
        <v>40</v>
      </c>
      <c r="H244" s="73">
        <f t="shared" si="27"/>
        <v>40</v>
      </c>
      <c r="I244" s="72" t="s">
        <v>83</v>
      </c>
      <c r="J244" s="74"/>
      <c r="L244" s="79" t="s">
        <v>18</v>
      </c>
      <c r="M244" s="80">
        <f>VLOOKUP(L244,$R$3:$T$54,3,0)</f>
        <v>16</v>
      </c>
      <c r="N244" s="80">
        <f>M244*F244</f>
        <v>16</v>
      </c>
      <c r="O244" s="81" t="s">
        <v>56</v>
      </c>
    </row>
    <row r="245" spans="1:15" x14ac:dyDescent="0.25">
      <c r="A245" s="71">
        <v>45379</v>
      </c>
      <c r="B245" s="72" t="s">
        <v>417</v>
      </c>
      <c r="C245" s="72" t="s">
        <v>8</v>
      </c>
      <c r="D245" s="72" t="s">
        <v>15</v>
      </c>
      <c r="E245" s="72" t="s">
        <v>82</v>
      </c>
      <c r="F245" s="72">
        <v>1</v>
      </c>
      <c r="G245" s="73">
        <f t="shared" si="29"/>
        <v>70</v>
      </c>
      <c r="H245" s="73">
        <f t="shared" si="27"/>
        <v>70</v>
      </c>
      <c r="I245" s="72" t="s">
        <v>83</v>
      </c>
      <c r="J245" s="74"/>
      <c r="L245" s="79"/>
      <c r="M245" s="80"/>
      <c r="N245" s="80"/>
      <c r="O245" s="84"/>
    </row>
    <row r="246" spans="1:15" x14ac:dyDescent="0.25">
      <c r="A246" s="71">
        <v>45379</v>
      </c>
      <c r="B246" s="72" t="s">
        <v>418</v>
      </c>
      <c r="C246" s="72" t="s">
        <v>8</v>
      </c>
      <c r="D246" s="72" t="s">
        <v>17</v>
      </c>
      <c r="E246" s="72" t="s">
        <v>82</v>
      </c>
      <c r="F246" s="72">
        <v>1</v>
      </c>
      <c r="G246" s="73">
        <f t="shared" si="29"/>
        <v>50</v>
      </c>
      <c r="H246" s="73">
        <f t="shared" si="27"/>
        <v>50</v>
      </c>
      <c r="I246" s="72" t="s">
        <v>83</v>
      </c>
      <c r="J246" s="74"/>
      <c r="L246" s="79"/>
      <c r="M246" s="80"/>
      <c r="N246" s="80"/>
      <c r="O246" s="84"/>
    </row>
    <row r="247" spans="1:15" x14ac:dyDescent="0.25">
      <c r="A247" s="71">
        <v>45379</v>
      </c>
      <c r="B247" s="72" t="s">
        <v>419</v>
      </c>
      <c r="C247" s="72" t="s">
        <v>8</v>
      </c>
      <c r="D247" s="72" t="s">
        <v>18</v>
      </c>
      <c r="E247" s="72" t="s">
        <v>82</v>
      </c>
      <c r="F247" s="72">
        <v>1</v>
      </c>
      <c r="G247" s="73">
        <f t="shared" si="29"/>
        <v>40</v>
      </c>
      <c r="H247" s="73">
        <f t="shared" si="27"/>
        <v>40</v>
      </c>
      <c r="I247" s="72" t="s">
        <v>83</v>
      </c>
      <c r="J247" s="74"/>
      <c r="L247" s="79"/>
      <c r="M247" s="80"/>
      <c r="N247" s="80"/>
      <c r="O247" s="84"/>
    </row>
    <row r="248" spans="1:15" x14ac:dyDescent="0.25">
      <c r="A248" s="71">
        <v>45379</v>
      </c>
      <c r="B248" s="72" t="s">
        <v>373</v>
      </c>
      <c r="C248" s="72" t="s">
        <v>8</v>
      </c>
      <c r="D248" s="72" t="s">
        <v>18</v>
      </c>
      <c r="E248" s="72" t="s">
        <v>82</v>
      </c>
      <c r="F248" s="72">
        <v>1</v>
      </c>
      <c r="G248" s="73">
        <f t="shared" si="29"/>
        <v>40</v>
      </c>
      <c r="H248" s="73">
        <f t="shared" si="27"/>
        <v>40</v>
      </c>
      <c r="I248" s="72" t="s">
        <v>83</v>
      </c>
      <c r="J248" s="74"/>
      <c r="L248" s="79"/>
      <c r="M248" s="80"/>
      <c r="N248" s="80"/>
      <c r="O248" s="84"/>
    </row>
    <row r="249" spans="1:15" x14ac:dyDescent="0.25">
      <c r="A249" s="71">
        <v>45379</v>
      </c>
      <c r="B249" s="72" t="s">
        <v>412</v>
      </c>
      <c r="C249" s="72" t="s">
        <v>8</v>
      </c>
      <c r="D249" s="72" t="s">
        <v>15</v>
      </c>
      <c r="E249" s="72" t="s">
        <v>82</v>
      </c>
      <c r="F249" s="72">
        <v>1</v>
      </c>
      <c r="G249" s="73">
        <f t="shared" si="29"/>
        <v>70</v>
      </c>
      <c r="H249" s="73">
        <f t="shared" si="27"/>
        <v>70</v>
      </c>
      <c r="I249" s="72" t="s">
        <v>83</v>
      </c>
      <c r="J249" s="74"/>
      <c r="L249" s="79"/>
      <c r="M249" s="80"/>
      <c r="N249" s="80"/>
      <c r="O249" s="84"/>
    </row>
    <row r="250" spans="1:15" x14ac:dyDescent="0.25">
      <c r="A250" s="71">
        <v>45379</v>
      </c>
      <c r="B250" s="72" t="s">
        <v>420</v>
      </c>
      <c r="C250" s="72" t="s">
        <v>8</v>
      </c>
      <c r="D250" s="72" t="s">
        <v>44</v>
      </c>
      <c r="E250" s="72" t="s">
        <v>82</v>
      </c>
      <c r="F250" s="72">
        <v>3</v>
      </c>
      <c r="G250" s="73">
        <f t="shared" si="29"/>
        <v>5</v>
      </c>
      <c r="H250" s="73">
        <f t="shared" si="27"/>
        <v>15</v>
      </c>
      <c r="I250" s="72" t="s">
        <v>78</v>
      </c>
      <c r="J250" s="74"/>
      <c r="L250" s="79"/>
      <c r="M250" s="80"/>
      <c r="N250" s="80"/>
      <c r="O250" s="84"/>
    </row>
    <row r="251" spans="1:15" x14ac:dyDescent="0.25">
      <c r="A251" s="71">
        <v>45379</v>
      </c>
      <c r="B251" s="72" t="s">
        <v>420</v>
      </c>
      <c r="C251" s="72" t="s">
        <v>8</v>
      </c>
      <c r="D251" s="72" t="s">
        <v>37</v>
      </c>
      <c r="E251" s="72" t="s">
        <v>82</v>
      </c>
      <c r="F251" s="72">
        <v>1</v>
      </c>
      <c r="G251" s="73">
        <f t="shared" si="29"/>
        <v>7</v>
      </c>
      <c r="H251" s="73">
        <f t="shared" si="27"/>
        <v>7</v>
      </c>
      <c r="I251" s="72" t="s">
        <v>78</v>
      </c>
      <c r="J251" s="74"/>
      <c r="L251" s="79"/>
      <c r="M251" s="80"/>
      <c r="N251" s="80"/>
      <c r="O251" s="84"/>
    </row>
    <row r="252" spans="1:15" x14ac:dyDescent="0.25">
      <c r="A252" s="71">
        <v>45379</v>
      </c>
      <c r="B252" s="72" t="s">
        <v>421</v>
      </c>
      <c r="C252" s="72" t="s">
        <v>8</v>
      </c>
      <c r="D252" s="72" t="s">
        <v>18</v>
      </c>
      <c r="E252" s="72" t="s">
        <v>82</v>
      </c>
      <c r="F252" s="72">
        <v>1</v>
      </c>
      <c r="G252" s="73">
        <f t="shared" si="29"/>
        <v>40</v>
      </c>
      <c r="H252" s="73">
        <f t="shared" si="27"/>
        <v>40</v>
      </c>
      <c r="I252" s="72" t="s">
        <v>86</v>
      </c>
      <c r="J252" s="74"/>
      <c r="L252" s="79"/>
      <c r="M252" s="80"/>
      <c r="N252" s="80"/>
      <c r="O252" s="84"/>
    </row>
    <row r="253" spans="1:15" x14ac:dyDescent="0.25">
      <c r="A253" s="71">
        <v>45379</v>
      </c>
      <c r="B253" s="72"/>
      <c r="C253" s="72" t="s">
        <v>8</v>
      </c>
      <c r="D253" s="72" t="s">
        <v>18</v>
      </c>
      <c r="E253" s="72" t="s">
        <v>82</v>
      </c>
      <c r="F253" s="72">
        <v>1</v>
      </c>
      <c r="G253" s="73">
        <f t="shared" si="29"/>
        <v>40</v>
      </c>
      <c r="H253" s="73">
        <f t="shared" si="27"/>
        <v>40</v>
      </c>
      <c r="I253" s="72" t="s">
        <v>86</v>
      </c>
      <c r="J253" s="74"/>
      <c r="L253" s="79"/>
      <c r="M253" s="80"/>
      <c r="N253" s="80"/>
      <c r="O253" s="84"/>
    </row>
    <row r="254" spans="1:15" x14ac:dyDescent="0.25">
      <c r="A254" s="71">
        <v>45381</v>
      </c>
      <c r="B254" s="72" t="s">
        <v>422</v>
      </c>
      <c r="C254" s="72" t="s">
        <v>8</v>
      </c>
      <c r="D254" s="72" t="s">
        <v>18</v>
      </c>
      <c r="E254" s="72" t="s">
        <v>56</v>
      </c>
      <c r="F254" s="72">
        <v>1</v>
      </c>
      <c r="G254" s="73">
        <f t="shared" si="29"/>
        <v>40</v>
      </c>
      <c r="H254" s="73">
        <f t="shared" si="27"/>
        <v>40</v>
      </c>
      <c r="I254" s="72" t="s">
        <v>83</v>
      </c>
      <c r="J254" s="74"/>
      <c r="L254" s="79" t="s">
        <v>18</v>
      </c>
      <c r="M254" s="80">
        <f>VLOOKUP(L254,$R$3:$T$54,3,0)</f>
        <v>16</v>
      </c>
      <c r="N254" s="80">
        <f>M254*F254</f>
        <v>16</v>
      </c>
      <c r="O254" s="81" t="s">
        <v>56</v>
      </c>
    </row>
    <row r="255" spans="1:15" x14ac:dyDescent="0.25">
      <c r="A255" s="71">
        <v>45381</v>
      </c>
      <c r="B255" s="72" t="s">
        <v>422</v>
      </c>
      <c r="C255" s="72" t="s">
        <v>8</v>
      </c>
      <c r="D255" s="72" t="s">
        <v>23</v>
      </c>
      <c r="E255" s="72" t="s">
        <v>56</v>
      </c>
      <c r="F255" s="72">
        <v>1</v>
      </c>
      <c r="G255" s="73">
        <f t="shared" si="29"/>
        <v>5</v>
      </c>
      <c r="H255" s="73">
        <f t="shared" si="27"/>
        <v>5</v>
      </c>
      <c r="I255" s="72" t="s">
        <v>83</v>
      </c>
      <c r="J255" s="74"/>
      <c r="L255" s="79" t="s">
        <v>23</v>
      </c>
      <c r="M255" s="80">
        <f>VLOOKUP(L255,$R$3:$T$54,3,0)</f>
        <v>2</v>
      </c>
      <c r="N255" s="80">
        <f>M255*F255</f>
        <v>2</v>
      </c>
      <c r="O255" s="81" t="s">
        <v>56</v>
      </c>
    </row>
    <row r="256" spans="1:15" x14ac:dyDescent="0.25">
      <c r="A256" s="71">
        <v>45381</v>
      </c>
      <c r="B256" s="72" t="s">
        <v>422</v>
      </c>
      <c r="C256" s="72" t="s">
        <v>8</v>
      </c>
      <c r="D256" s="72" t="s">
        <v>13</v>
      </c>
      <c r="E256" s="72" t="s">
        <v>56</v>
      </c>
      <c r="F256" s="72">
        <v>1</v>
      </c>
      <c r="G256" s="73">
        <f t="shared" si="29"/>
        <v>30</v>
      </c>
      <c r="H256" s="73">
        <f t="shared" si="27"/>
        <v>30</v>
      </c>
      <c r="I256" s="72" t="s">
        <v>83</v>
      </c>
      <c r="J256" s="74"/>
      <c r="L256" s="79" t="s">
        <v>13</v>
      </c>
      <c r="M256" s="80">
        <f>VLOOKUP(L256,$R$3:$T$54,3,0)</f>
        <v>12</v>
      </c>
      <c r="N256" s="80">
        <f>M256*F256</f>
        <v>12</v>
      </c>
      <c r="O256" s="81" t="s">
        <v>56</v>
      </c>
    </row>
    <row r="257" spans="1:15" x14ac:dyDescent="0.25">
      <c r="A257" s="71">
        <v>45381</v>
      </c>
      <c r="B257" s="72" t="s">
        <v>422</v>
      </c>
      <c r="C257" s="72" t="s">
        <v>8</v>
      </c>
      <c r="D257" s="72" t="s">
        <v>41</v>
      </c>
      <c r="E257" s="72" t="s">
        <v>56</v>
      </c>
      <c r="F257" s="72">
        <v>1</v>
      </c>
      <c r="G257" s="73">
        <f t="shared" si="29"/>
        <v>7</v>
      </c>
      <c r="H257" s="73">
        <f t="shared" si="27"/>
        <v>7</v>
      </c>
      <c r="I257" s="72" t="s">
        <v>83</v>
      </c>
      <c r="J257" s="74"/>
      <c r="L257" s="79" t="s">
        <v>41</v>
      </c>
      <c r="M257" s="80">
        <f>VLOOKUP(L257,$R$3:$T$54,3,0)</f>
        <v>0.70000000000000007</v>
      </c>
      <c r="N257" s="80">
        <f>M257*F257</f>
        <v>0.70000000000000007</v>
      </c>
      <c r="O257" s="81" t="s">
        <v>56</v>
      </c>
    </row>
    <row r="258" spans="1:15" x14ac:dyDescent="0.25">
      <c r="A258" s="71">
        <v>45381</v>
      </c>
      <c r="B258" s="72" t="s">
        <v>414</v>
      </c>
      <c r="C258" s="72" t="s">
        <v>8</v>
      </c>
      <c r="D258" s="72" t="s">
        <v>18</v>
      </c>
      <c r="E258" s="72" t="s">
        <v>56</v>
      </c>
      <c r="F258" s="72">
        <v>1</v>
      </c>
      <c r="G258" s="73">
        <f t="shared" si="29"/>
        <v>40</v>
      </c>
      <c r="H258" s="73">
        <f t="shared" si="27"/>
        <v>40</v>
      </c>
      <c r="I258" s="72" t="s">
        <v>78</v>
      </c>
      <c r="J258" s="74"/>
      <c r="L258" s="79" t="s">
        <v>18</v>
      </c>
      <c r="M258" s="80">
        <f>VLOOKUP(L258,$R$3:$T$54,3,0)</f>
        <v>16</v>
      </c>
      <c r="N258" s="80">
        <f>M258*F258</f>
        <v>16</v>
      </c>
      <c r="O258" s="81" t="s">
        <v>56</v>
      </c>
    </row>
    <row r="259" spans="1:15" x14ac:dyDescent="0.25">
      <c r="A259" s="71">
        <v>45381</v>
      </c>
      <c r="B259" s="72" t="s">
        <v>423</v>
      </c>
      <c r="C259" s="72" t="s">
        <v>8</v>
      </c>
      <c r="D259" s="72" t="s">
        <v>22</v>
      </c>
      <c r="E259" s="72" t="s">
        <v>82</v>
      </c>
      <c r="F259" s="72">
        <v>1</v>
      </c>
      <c r="G259" s="73">
        <v>20</v>
      </c>
      <c r="H259" s="73">
        <f t="shared" ref="H259:H322" si="30">F259*G259</f>
        <v>20</v>
      </c>
      <c r="I259" s="72" t="s">
        <v>78</v>
      </c>
      <c r="J259" s="74"/>
      <c r="L259" s="79"/>
      <c r="M259" s="80"/>
      <c r="N259" s="80"/>
      <c r="O259" s="84"/>
    </row>
    <row r="260" spans="1:15" x14ac:dyDescent="0.25">
      <c r="A260" s="71">
        <v>45381</v>
      </c>
      <c r="B260" s="72" t="s">
        <v>423</v>
      </c>
      <c r="C260" s="72" t="s">
        <v>8</v>
      </c>
      <c r="D260" s="72" t="s">
        <v>13</v>
      </c>
      <c r="E260" s="72" t="s">
        <v>82</v>
      </c>
      <c r="F260" s="72">
        <v>1</v>
      </c>
      <c r="G260" s="73">
        <f t="shared" ref="G260:G266" si="31">VLOOKUP(D260,$R$3:$S$114,2,0)</f>
        <v>30</v>
      </c>
      <c r="H260" s="73">
        <f t="shared" si="30"/>
        <v>30</v>
      </c>
      <c r="I260" s="72" t="s">
        <v>78</v>
      </c>
      <c r="J260" s="74"/>
      <c r="L260" s="79"/>
      <c r="M260" s="80"/>
      <c r="N260" s="80"/>
      <c r="O260" s="84"/>
    </row>
    <row r="261" spans="1:15" x14ac:dyDescent="0.25">
      <c r="A261" s="71">
        <v>45381</v>
      </c>
      <c r="B261" s="72" t="s">
        <v>423</v>
      </c>
      <c r="C261" s="72" t="s">
        <v>8</v>
      </c>
      <c r="D261" s="72" t="s">
        <v>155</v>
      </c>
      <c r="E261" s="72" t="s">
        <v>82</v>
      </c>
      <c r="F261" s="72">
        <v>2</v>
      </c>
      <c r="G261" s="73">
        <f t="shared" si="31"/>
        <v>3.5</v>
      </c>
      <c r="H261" s="73">
        <f t="shared" si="30"/>
        <v>7</v>
      </c>
      <c r="I261" s="72" t="s">
        <v>78</v>
      </c>
      <c r="J261" s="74"/>
      <c r="L261" s="79"/>
      <c r="M261" s="80"/>
      <c r="N261" s="80"/>
      <c r="O261" s="84"/>
    </row>
    <row r="262" spans="1:15" x14ac:dyDescent="0.25">
      <c r="A262" s="71">
        <v>45381</v>
      </c>
      <c r="B262" s="72" t="s">
        <v>424</v>
      </c>
      <c r="C262" s="72" t="s">
        <v>8</v>
      </c>
      <c r="D262" s="72" t="s">
        <v>18</v>
      </c>
      <c r="E262" s="72" t="s">
        <v>82</v>
      </c>
      <c r="F262" s="72">
        <v>1</v>
      </c>
      <c r="G262" s="73">
        <f t="shared" si="31"/>
        <v>40</v>
      </c>
      <c r="H262" s="73">
        <f t="shared" si="30"/>
        <v>40</v>
      </c>
      <c r="I262" s="72" t="s">
        <v>83</v>
      </c>
      <c r="J262" s="74"/>
      <c r="L262" s="79"/>
      <c r="M262" s="80"/>
      <c r="N262" s="80"/>
      <c r="O262" s="84"/>
    </row>
    <row r="263" spans="1:15" x14ac:dyDescent="0.25">
      <c r="A263" s="71">
        <v>45381</v>
      </c>
      <c r="B263" s="72" t="s">
        <v>424</v>
      </c>
      <c r="C263" s="72" t="s">
        <v>8</v>
      </c>
      <c r="D263" s="72" t="s">
        <v>48</v>
      </c>
      <c r="E263" s="72" t="s">
        <v>82</v>
      </c>
      <c r="F263" s="72">
        <v>2</v>
      </c>
      <c r="G263" s="73">
        <f t="shared" si="31"/>
        <v>10</v>
      </c>
      <c r="H263" s="73">
        <f t="shared" si="30"/>
        <v>20</v>
      </c>
      <c r="I263" s="72" t="s">
        <v>83</v>
      </c>
      <c r="J263" s="74"/>
      <c r="L263" s="79"/>
      <c r="M263" s="80"/>
      <c r="N263" s="80"/>
      <c r="O263" s="84"/>
    </row>
    <row r="264" spans="1:15" x14ac:dyDescent="0.25">
      <c r="A264" s="71">
        <v>45381</v>
      </c>
      <c r="B264" s="72" t="s">
        <v>425</v>
      </c>
      <c r="C264" s="72" t="s">
        <v>8</v>
      </c>
      <c r="D264" s="72" t="s">
        <v>17</v>
      </c>
      <c r="E264" s="72" t="s">
        <v>82</v>
      </c>
      <c r="F264" s="72">
        <v>1</v>
      </c>
      <c r="G264" s="73">
        <f t="shared" si="31"/>
        <v>50</v>
      </c>
      <c r="H264" s="73">
        <f t="shared" si="30"/>
        <v>50</v>
      </c>
      <c r="I264" s="72" t="s">
        <v>86</v>
      </c>
      <c r="J264" s="74"/>
      <c r="L264" s="79"/>
      <c r="M264" s="80"/>
      <c r="N264" s="80"/>
      <c r="O264" s="84"/>
    </row>
    <row r="265" spans="1:15" x14ac:dyDescent="0.25">
      <c r="A265" s="71">
        <v>45381</v>
      </c>
      <c r="B265" s="72" t="s">
        <v>426</v>
      </c>
      <c r="C265" s="72" t="s">
        <v>8</v>
      </c>
      <c r="D265" s="72" t="s">
        <v>18</v>
      </c>
      <c r="E265" s="72" t="s">
        <v>82</v>
      </c>
      <c r="F265" s="72">
        <v>2</v>
      </c>
      <c r="G265" s="73">
        <f t="shared" si="31"/>
        <v>40</v>
      </c>
      <c r="H265" s="73">
        <f t="shared" si="30"/>
        <v>80</v>
      </c>
      <c r="I265" s="72" t="s">
        <v>83</v>
      </c>
      <c r="J265" s="74"/>
      <c r="L265" s="79"/>
      <c r="M265" s="80"/>
      <c r="N265" s="80"/>
      <c r="O265" s="84"/>
    </row>
    <row r="266" spans="1:15" x14ac:dyDescent="0.25">
      <c r="A266" s="71">
        <v>45381</v>
      </c>
      <c r="B266" s="72" t="s">
        <v>427</v>
      </c>
      <c r="C266" s="72" t="s">
        <v>8</v>
      </c>
      <c r="D266" s="72" t="s">
        <v>18</v>
      </c>
      <c r="E266" s="72" t="s">
        <v>56</v>
      </c>
      <c r="F266" s="72">
        <v>1</v>
      </c>
      <c r="G266" s="73">
        <f t="shared" si="31"/>
        <v>40</v>
      </c>
      <c r="H266" s="73">
        <f t="shared" si="30"/>
        <v>40</v>
      </c>
      <c r="I266" s="72" t="s">
        <v>83</v>
      </c>
      <c r="J266" s="74"/>
      <c r="L266" s="79" t="s">
        <v>18</v>
      </c>
      <c r="M266" s="80">
        <f>VLOOKUP(L266,$R$3:$T$54,3,0)</f>
        <v>16</v>
      </c>
      <c r="N266" s="80">
        <f>M266*F266</f>
        <v>16</v>
      </c>
      <c r="O266" s="81" t="s">
        <v>56</v>
      </c>
    </row>
    <row r="267" spans="1:15" x14ac:dyDescent="0.25">
      <c r="A267" s="71">
        <v>45381</v>
      </c>
      <c r="B267" s="72" t="s">
        <v>427</v>
      </c>
      <c r="C267" s="72" t="s">
        <v>8</v>
      </c>
      <c r="D267" s="72" t="s">
        <v>24</v>
      </c>
      <c r="E267" s="72" t="s">
        <v>56</v>
      </c>
      <c r="F267" s="72">
        <v>1</v>
      </c>
      <c r="G267" s="73">
        <v>0</v>
      </c>
      <c r="H267" s="73">
        <f t="shared" si="30"/>
        <v>0</v>
      </c>
      <c r="I267" s="72" t="s">
        <v>83</v>
      </c>
      <c r="J267" s="74" t="s">
        <v>428</v>
      </c>
      <c r="L267" s="79"/>
      <c r="M267" s="80"/>
      <c r="N267" s="80"/>
      <c r="O267" s="84"/>
    </row>
    <row r="268" spans="1:15" x14ac:dyDescent="0.25">
      <c r="A268" s="71">
        <v>45381</v>
      </c>
      <c r="B268" s="72" t="s">
        <v>210</v>
      </c>
      <c r="C268" s="72" t="s">
        <v>8</v>
      </c>
      <c r="D268" s="72" t="s">
        <v>18</v>
      </c>
      <c r="E268" s="72" t="s">
        <v>56</v>
      </c>
      <c r="F268" s="72">
        <v>1</v>
      </c>
      <c r="G268" s="73">
        <f t="shared" ref="G268:G299" si="32">VLOOKUP(D268,$R$3:$S$114,2,0)</f>
        <v>40</v>
      </c>
      <c r="H268" s="73">
        <f t="shared" si="30"/>
        <v>40</v>
      </c>
      <c r="I268" s="72" t="s">
        <v>78</v>
      </c>
      <c r="J268" s="74"/>
      <c r="L268" s="79" t="s">
        <v>18</v>
      </c>
      <c r="M268" s="80">
        <f>VLOOKUP(L268,$R$3:$T$54,3,0)</f>
        <v>16</v>
      </c>
      <c r="N268" s="80">
        <f>M268*F268</f>
        <v>16</v>
      </c>
      <c r="O268" s="81" t="s">
        <v>56</v>
      </c>
    </row>
    <row r="269" spans="1:15" x14ac:dyDescent="0.25">
      <c r="A269" s="71">
        <v>45381</v>
      </c>
      <c r="B269" s="72" t="s">
        <v>210</v>
      </c>
      <c r="C269" s="72" t="s">
        <v>8</v>
      </c>
      <c r="D269" s="72" t="s">
        <v>24</v>
      </c>
      <c r="E269" s="72" t="s">
        <v>56</v>
      </c>
      <c r="F269" s="72">
        <v>1</v>
      </c>
      <c r="G269" s="73">
        <f t="shared" si="32"/>
        <v>10</v>
      </c>
      <c r="H269" s="73">
        <f t="shared" si="30"/>
        <v>10</v>
      </c>
      <c r="I269" s="72" t="s">
        <v>78</v>
      </c>
      <c r="J269" s="74"/>
      <c r="L269" s="79" t="s">
        <v>24</v>
      </c>
      <c r="M269" s="80">
        <f>VLOOKUP(L269,$R$3:$T$54,3,0)</f>
        <v>4</v>
      </c>
      <c r="N269" s="80">
        <f>M269*F269</f>
        <v>4</v>
      </c>
      <c r="O269" s="81" t="s">
        <v>56</v>
      </c>
    </row>
    <row r="270" spans="1:15" x14ac:dyDescent="0.25">
      <c r="A270" s="71">
        <v>45381</v>
      </c>
      <c r="B270" s="72" t="s">
        <v>423</v>
      </c>
      <c r="C270" s="72" t="s">
        <v>8</v>
      </c>
      <c r="D270" s="72" t="s">
        <v>17</v>
      </c>
      <c r="E270" s="72" t="s">
        <v>82</v>
      </c>
      <c r="F270" s="72">
        <v>1</v>
      </c>
      <c r="G270" s="73">
        <f t="shared" si="32"/>
        <v>50</v>
      </c>
      <c r="H270" s="73">
        <f t="shared" si="30"/>
        <v>50</v>
      </c>
      <c r="I270" s="72" t="s">
        <v>79</v>
      </c>
      <c r="J270" s="74"/>
      <c r="L270" s="79"/>
      <c r="M270" s="80"/>
      <c r="N270" s="80"/>
      <c r="O270" s="84"/>
    </row>
    <row r="271" spans="1:15" x14ac:dyDescent="0.25">
      <c r="A271" s="71">
        <v>45381</v>
      </c>
      <c r="B271" s="72" t="s">
        <v>429</v>
      </c>
      <c r="C271" s="72" t="s">
        <v>8</v>
      </c>
      <c r="D271" s="72" t="s">
        <v>17</v>
      </c>
      <c r="E271" s="72" t="s">
        <v>82</v>
      </c>
      <c r="F271" s="72">
        <v>1</v>
      </c>
      <c r="G271" s="73">
        <f t="shared" si="32"/>
        <v>50</v>
      </c>
      <c r="H271" s="73">
        <f t="shared" si="30"/>
        <v>50</v>
      </c>
      <c r="I271" s="72" t="s">
        <v>86</v>
      </c>
      <c r="J271" s="74"/>
      <c r="L271" s="79"/>
      <c r="M271" s="80"/>
      <c r="N271" s="80"/>
      <c r="O271" s="84"/>
    </row>
    <row r="272" spans="1:15" x14ac:dyDescent="0.25">
      <c r="A272" s="71">
        <v>45381</v>
      </c>
      <c r="B272" s="72" t="s">
        <v>429</v>
      </c>
      <c r="C272" s="72" t="s">
        <v>8</v>
      </c>
      <c r="D272" s="72" t="s">
        <v>25</v>
      </c>
      <c r="E272" s="72" t="s">
        <v>82</v>
      </c>
      <c r="F272" s="72">
        <v>1</v>
      </c>
      <c r="G272" s="73">
        <f t="shared" si="32"/>
        <v>30</v>
      </c>
      <c r="H272" s="73">
        <f t="shared" si="30"/>
        <v>30</v>
      </c>
      <c r="I272" s="72" t="s">
        <v>86</v>
      </c>
      <c r="J272" s="74"/>
      <c r="L272" s="79"/>
      <c r="M272" s="80"/>
      <c r="N272" s="80"/>
      <c r="O272" s="84"/>
    </row>
    <row r="273" spans="1:15" x14ac:dyDescent="0.25">
      <c r="A273" s="71">
        <v>45381</v>
      </c>
      <c r="B273" s="72" t="s">
        <v>430</v>
      </c>
      <c r="C273" s="72" t="s">
        <v>10</v>
      </c>
      <c r="D273" s="72" t="s">
        <v>18</v>
      </c>
      <c r="E273" s="72" t="s">
        <v>56</v>
      </c>
      <c r="F273" s="72">
        <v>1</v>
      </c>
      <c r="G273" s="73">
        <f t="shared" si="32"/>
        <v>40</v>
      </c>
      <c r="H273" s="73">
        <f t="shared" si="30"/>
        <v>40</v>
      </c>
      <c r="I273" s="72" t="s">
        <v>83</v>
      </c>
      <c r="J273" s="74"/>
      <c r="L273" s="79" t="s">
        <v>18</v>
      </c>
      <c r="M273" s="80">
        <f t="shared" ref="M273:M304" si="33">VLOOKUP(L273,$R$3:$T$54,3,0)</f>
        <v>16</v>
      </c>
      <c r="N273" s="80">
        <f t="shared" ref="N273:N304" si="34">M273*F273</f>
        <v>16</v>
      </c>
      <c r="O273" s="81" t="s">
        <v>56</v>
      </c>
    </row>
    <row r="274" spans="1:15" x14ac:dyDescent="0.25">
      <c r="A274" s="71">
        <v>45381</v>
      </c>
      <c r="B274" s="72" t="s">
        <v>431</v>
      </c>
      <c r="C274" s="72" t="s">
        <v>8</v>
      </c>
      <c r="D274" s="72" t="s">
        <v>15</v>
      </c>
      <c r="E274" s="72" t="s">
        <v>56</v>
      </c>
      <c r="F274" s="72">
        <v>1</v>
      </c>
      <c r="G274" s="73">
        <f t="shared" si="32"/>
        <v>70</v>
      </c>
      <c r="H274" s="73">
        <f t="shared" si="30"/>
        <v>70</v>
      </c>
      <c r="I274" s="72" t="s">
        <v>78</v>
      </c>
      <c r="J274" s="74"/>
      <c r="L274" s="79" t="s">
        <v>15</v>
      </c>
      <c r="M274" s="80">
        <f t="shared" si="33"/>
        <v>28</v>
      </c>
      <c r="N274" s="80">
        <f t="shared" si="34"/>
        <v>28</v>
      </c>
      <c r="O274" s="81" t="s">
        <v>56</v>
      </c>
    </row>
    <row r="275" spans="1:15" x14ac:dyDescent="0.25">
      <c r="A275" s="71">
        <v>45381</v>
      </c>
      <c r="B275" s="72" t="s">
        <v>431</v>
      </c>
      <c r="C275" s="72" t="s">
        <v>8</v>
      </c>
      <c r="D275" s="72" t="s">
        <v>34</v>
      </c>
      <c r="E275" s="72" t="s">
        <v>56</v>
      </c>
      <c r="F275" s="72">
        <v>1</v>
      </c>
      <c r="G275" s="73">
        <f t="shared" si="32"/>
        <v>10</v>
      </c>
      <c r="H275" s="73">
        <f t="shared" si="30"/>
        <v>10</v>
      </c>
      <c r="I275" s="72" t="s">
        <v>78</v>
      </c>
      <c r="J275" s="74"/>
      <c r="L275" s="79" t="s">
        <v>34</v>
      </c>
      <c r="M275" s="80">
        <f t="shared" si="33"/>
        <v>1</v>
      </c>
      <c r="N275" s="80">
        <f t="shared" si="34"/>
        <v>1</v>
      </c>
      <c r="O275" s="81" t="s">
        <v>56</v>
      </c>
    </row>
    <row r="276" spans="1:15" x14ac:dyDescent="0.25">
      <c r="A276" s="71"/>
      <c r="B276" s="72"/>
      <c r="C276" s="72"/>
      <c r="D276" s="72"/>
      <c r="E276" s="72"/>
      <c r="F276" s="72"/>
      <c r="G276" s="73" t="e">
        <f t="shared" si="32"/>
        <v>#N/A</v>
      </c>
      <c r="H276" s="73" t="e">
        <f t="shared" si="30"/>
        <v>#N/A</v>
      </c>
      <c r="I276" s="72"/>
      <c r="J276" s="74"/>
      <c r="L276" s="79"/>
      <c r="M276" s="80" t="e">
        <f t="shared" si="33"/>
        <v>#N/A</v>
      </c>
      <c r="N276" s="80" t="e">
        <f t="shared" si="34"/>
        <v>#N/A</v>
      </c>
      <c r="O276" s="84"/>
    </row>
    <row r="277" spans="1:15" x14ac:dyDescent="0.25">
      <c r="A277" s="71"/>
      <c r="B277" s="72"/>
      <c r="C277" s="72"/>
      <c r="D277" s="72"/>
      <c r="E277" s="72"/>
      <c r="F277" s="72"/>
      <c r="G277" s="73" t="e">
        <f t="shared" si="32"/>
        <v>#N/A</v>
      </c>
      <c r="H277" s="73" t="e">
        <f t="shared" si="30"/>
        <v>#N/A</v>
      </c>
      <c r="I277" s="72"/>
      <c r="J277" s="74"/>
      <c r="L277" s="79"/>
      <c r="M277" s="80" t="e">
        <f t="shared" si="33"/>
        <v>#N/A</v>
      </c>
      <c r="N277" s="80" t="e">
        <f t="shared" si="34"/>
        <v>#N/A</v>
      </c>
      <c r="O277" s="84"/>
    </row>
    <row r="278" spans="1:15" x14ac:dyDescent="0.25">
      <c r="A278" s="71"/>
      <c r="B278" s="72"/>
      <c r="C278" s="72"/>
      <c r="D278" s="72"/>
      <c r="E278" s="72"/>
      <c r="F278" s="72"/>
      <c r="G278" s="73" t="e">
        <f t="shared" si="32"/>
        <v>#N/A</v>
      </c>
      <c r="H278" s="73" t="e">
        <f t="shared" si="30"/>
        <v>#N/A</v>
      </c>
      <c r="I278" s="72"/>
      <c r="J278" s="74"/>
      <c r="L278" s="79"/>
      <c r="M278" s="80" t="e">
        <f t="shared" si="33"/>
        <v>#N/A</v>
      </c>
      <c r="N278" s="80" t="e">
        <f t="shared" si="34"/>
        <v>#N/A</v>
      </c>
      <c r="O278" s="84"/>
    </row>
    <row r="279" spans="1:15" x14ac:dyDescent="0.25">
      <c r="A279" s="71"/>
      <c r="B279" s="72"/>
      <c r="C279" s="72"/>
      <c r="D279" s="72"/>
      <c r="E279" s="72"/>
      <c r="F279" s="72"/>
      <c r="G279" s="73" t="e">
        <f t="shared" si="32"/>
        <v>#N/A</v>
      </c>
      <c r="H279" s="73" t="e">
        <f t="shared" si="30"/>
        <v>#N/A</v>
      </c>
      <c r="I279" s="72"/>
      <c r="J279" s="74"/>
      <c r="L279" s="79"/>
      <c r="M279" s="80" t="e">
        <f t="shared" si="33"/>
        <v>#N/A</v>
      </c>
      <c r="N279" s="80" t="e">
        <f t="shared" si="34"/>
        <v>#N/A</v>
      </c>
      <c r="O279" s="84"/>
    </row>
    <row r="280" spans="1:15" x14ac:dyDescent="0.25">
      <c r="A280" s="71"/>
      <c r="B280" s="72"/>
      <c r="C280" s="72"/>
      <c r="D280" s="72"/>
      <c r="E280" s="72"/>
      <c r="F280" s="72"/>
      <c r="G280" s="73" t="e">
        <f t="shared" si="32"/>
        <v>#N/A</v>
      </c>
      <c r="H280" s="73" t="e">
        <f t="shared" si="30"/>
        <v>#N/A</v>
      </c>
      <c r="I280" s="72"/>
      <c r="J280" s="74"/>
      <c r="L280" s="79"/>
      <c r="M280" s="80" t="e">
        <f t="shared" si="33"/>
        <v>#N/A</v>
      </c>
      <c r="N280" s="80" t="e">
        <f t="shared" si="34"/>
        <v>#N/A</v>
      </c>
      <c r="O280" s="84"/>
    </row>
    <row r="281" spans="1:15" x14ac:dyDescent="0.25">
      <c r="A281" s="71"/>
      <c r="B281" s="72"/>
      <c r="C281" s="72"/>
      <c r="D281" s="72"/>
      <c r="E281" s="72"/>
      <c r="F281" s="72"/>
      <c r="G281" s="73" t="e">
        <f t="shared" si="32"/>
        <v>#N/A</v>
      </c>
      <c r="H281" s="73" t="e">
        <f t="shared" si="30"/>
        <v>#N/A</v>
      </c>
      <c r="I281" s="72"/>
      <c r="J281" s="74"/>
      <c r="L281" s="79"/>
      <c r="M281" s="80" t="e">
        <f t="shared" si="33"/>
        <v>#N/A</v>
      </c>
      <c r="N281" s="80" t="e">
        <f t="shared" si="34"/>
        <v>#N/A</v>
      </c>
      <c r="O281" s="84"/>
    </row>
    <row r="282" spans="1:15" x14ac:dyDescent="0.25">
      <c r="A282" s="71"/>
      <c r="B282" s="72"/>
      <c r="C282" s="72"/>
      <c r="D282" s="72"/>
      <c r="E282" s="72"/>
      <c r="F282" s="72"/>
      <c r="G282" s="73" t="e">
        <f t="shared" si="32"/>
        <v>#N/A</v>
      </c>
      <c r="H282" s="73" t="e">
        <f t="shared" si="30"/>
        <v>#N/A</v>
      </c>
      <c r="I282" s="72"/>
      <c r="J282" s="74"/>
      <c r="L282" s="79"/>
      <c r="M282" s="80" t="e">
        <f t="shared" si="33"/>
        <v>#N/A</v>
      </c>
      <c r="N282" s="80" t="e">
        <f t="shared" si="34"/>
        <v>#N/A</v>
      </c>
      <c r="O282" s="84"/>
    </row>
    <row r="283" spans="1:15" x14ac:dyDescent="0.25">
      <c r="A283" s="71"/>
      <c r="B283" s="72"/>
      <c r="C283" s="72"/>
      <c r="D283" s="72"/>
      <c r="E283" s="72"/>
      <c r="F283" s="72"/>
      <c r="G283" s="73" t="e">
        <f t="shared" si="32"/>
        <v>#N/A</v>
      </c>
      <c r="H283" s="73" t="e">
        <f t="shared" si="30"/>
        <v>#N/A</v>
      </c>
      <c r="I283" s="72"/>
      <c r="J283" s="74"/>
      <c r="L283" s="79"/>
      <c r="M283" s="80" t="e">
        <f t="shared" si="33"/>
        <v>#N/A</v>
      </c>
      <c r="N283" s="80" t="e">
        <f t="shared" si="34"/>
        <v>#N/A</v>
      </c>
      <c r="O283" s="84"/>
    </row>
    <row r="284" spans="1:15" x14ac:dyDescent="0.25">
      <c r="A284" s="71"/>
      <c r="B284" s="72"/>
      <c r="C284" s="72"/>
      <c r="D284" s="72"/>
      <c r="E284" s="72"/>
      <c r="F284" s="72"/>
      <c r="G284" s="73" t="e">
        <f t="shared" si="32"/>
        <v>#N/A</v>
      </c>
      <c r="H284" s="73" t="e">
        <f t="shared" si="30"/>
        <v>#N/A</v>
      </c>
      <c r="I284" s="72"/>
      <c r="J284" s="74"/>
      <c r="L284" s="79"/>
      <c r="M284" s="80" t="e">
        <f t="shared" si="33"/>
        <v>#N/A</v>
      </c>
      <c r="N284" s="80" t="e">
        <f t="shared" si="34"/>
        <v>#N/A</v>
      </c>
      <c r="O284" s="84"/>
    </row>
    <row r="285" spans="1:15" x14ac:dyDescent="0.25">
      <c r="A285" s="71"/>
      <c r="B285" s="72"/>
      <c r="C285" s="72"/>
      <c r="D285" s="72"/>
      <c r="E285" s="72"/>
      <c r="F285" s="72"/>
      <c r="G285" s="73" t="e">
        <f t="shared" si="32"/>
        <v>#N/A</v>
      </c>
      <c r="H285" s="73" t="e">
        <f t="shared" si="30"/>
        <v>#N/A</v>
      </c>
      <c r="I285" s="72"/>
      <c r="J285" s="74"/>
      <c r="L285" s="79"/>
      <c r="M285" s="80" t="e">
        <f t="shared" si="33"/>
        <v>#N/A</v>
      </c>
      <c r="N285" s="80" t="e">
        <f t="shared" si="34"/>
        <v>#N/A</v>
      </c>
      <c r="O285" s="84"/>
    </row>
    <row r="286" spans="1:15" x14ac:dyDescent="0.25">
      <c r="A286" s="71"/>
      <c r="B286" s="72"/>
      <c r="C286" s="72"/>
      <c r="D286" s="72"/>
      <c r="E286" s="72"/>
      <c r="F286" s="72"/>
      <c r="G286" s="73" t="e">
        <f t="shared" si="32"/>
        <v>#N/A</v>
      </c>
      <c r="H286" s="73" t="e">
        <f t="shared" si="30"/>
        <v>#N/A</v>
      </c>
      <c r="I286" s="72"/>
      <c r="J286" s="74"/>
      <c r="L286" s="79"/>
      <c r="M286" s="80" t="e">
        <f t="shared" si="33"/>
        <v>#N/A</v>
      </c>
      <c r="N286" s="80" t="e">
        <f t="shared" si="34"/>
        <v>#N/A</v>
      </c>
      <c r="O286" s="84"/>
    </row>
    <row r="287" spans="1:15" x14ac:dyDescent="0.25">
      <c r="A287" s="71"/>
      <c r="B287" s="72"/>
      <c r="C287" s="72"/>
      <c r="D287" s="72"/>
      <c r="E287" s="72"/>
      <c r="F287" s="72"/>
      <c r="G287" s="73" t="e">
        <f t="shared" si="32"/>
        <v>#N/A</v>
      </c>
      <c r="H287" s="73" t="e">
        <f t="shared" si="30"/>
        <v>#N/A</v>
      </c>
      <c r="I287" s="72"/>
      <c r="J287" s="74"/>
      <c r="L287" s="79"/>
      <c r="M287" s="80" t="e">
        <f t="shared" si="33"/>
        <v>#N/A</v>
      </c>
      <c r="N287" s="80" t="e">
        <f t="shared" si="34"/>
        <v>#N/A</v>
      </c>
      <c r="O287" s="84"/>
    </row>
    <row r="288" spans="1:15" x14ac:dyDescent="0.25">
      <c r="A288" s="71"/>
      <c r="B288" s="72"/>
      <c r="C288" s="72"/>
      <c r="D288" s="72"/>
      <c r="E288" s="72"/>
      <c r="F288" s="72"/>
      <c r="G288" s="73" t="e">
        <f t="shared" si="32"/>
        <v>#N/A</v>
      </c>
      <c r="H288" s="73" t="e">
        <f t="shared" si="30"/>
        <v>#N/A</v>
      </c>
      <c r="I288" s="72"/>
      <c r="J288" s="74"/>
      <c r="L288" s="79"/>
      <c r="M288" s="80" t="e">
        <f t="shared" si="33"/>
        <v>#N/A</v>
      </c>
      <c r="N288" s="80" t="e">
        <f t="shared" si="34"/>
        <v>#N/A</v>
      </c>
      <c r="O288" s="84"/>
    </row>
    <row r="289" spans="1:15" x14ac:dyDescent="0.25">
      <c r="A289" s="71"/>
      <c r="B289" s="72"/>
      <c r="C289" s="72"/>
      <c r="D289" s="72"/>
      <c r="E289" s="72"/>
      <c r="F289" s="72"/>
      <c r="G289" s="73" t="e">
        <f t="shared" si="32"/>
        <v>#N/A</v>
      </c>
      <c r="H289" s="73" t="e">
        <f t="shared" si="30"/>
        <v>#N/A</v>
      </c>
      <c r="I289" s="72"/>
      <c r="J289" s="74"/>
      <c r="L289" s="79"/>
      <c r="M289" s="80" t="e">
        <f t="shared" si="33"/>
        <v>#N/A</v>
      </c>
      <c r="N289" s="80" t="e">
        <f t="shared" si="34"/>
        <v>#N/A</v>
      </c>
      <c r="O289" s="84"/>
    </row>
    <row r="290" spans="1:15" x14ac:dyDescent="0.25">
      <c r="A290" s="71"/>
      <c r="B290" s="72"/>
      <c r="C290" s="72"/>
      <c r="D290" s="72"/>
      <c r="E290" s="72"/>
      <c r="F290" s="72"/>
      <c r="G290" s="73" t="e">
        <f t="shared" si="32"/>
        <v>#N/A</v>
      </c>
      <c r="H290" s="73" t="e">
        <f t="shared" si="30"/>
        <v>#N/A</v>
      </c>
      <c r="I290" s="72"/>
      <c r="J290" s="74"/>
      <c r="L290" s="79"/>
      <c r="M290" s="80" t="e">
        <f t="shared" si="33"/>
        <v>#N/A</v>
      </c>
      <c r="N290" s="80" t="e">
        <f t="shared" si="34"/>
        <v>#N/A</v>
      </c>
      <c r="O290" s="84"/>
    </row>
    <row r="291" spans="1:15" x14ac:dyDescent="0.25">
      <c r="A291" s="71"/>
      <c r="B291" s="72"/>
      <c r="C291" s="72"/>
      <c r="D291" s="72"/>
      <c r="E291" s="72"/>
      <c r="F291" s="72"/>
      <c r="G291" s="73" t="e">
        <f t="shared" si="32"/>
        <v>#N/A</v>
      </c>
      <c r="H291" s="73" t="e">
        <f t="shared" si="30"/>
        <v>#N/A</v>
      </c>
      <c r="I291" s="72"/>
      <c r="J291" s="74"/>
      <c r="L291" s="79"/>
      <c r="M291" s="80" t="e">
        <f t="shared" si="33"/>
        <v>#N/A</v>
      </c>
      <c r="N291" s="80" t="e">
        <f t="shared" si="34"/>
        <v>#N/A</v>
      </c>
      <c r="O291" s="84"/>
    </row>
    <row r="292" spans="1:15" x14ac:dyDescent="0.25">
      <c r="A292" s="71"/>
      <c r="B292" s="72"/>
      <c r="C292" s="72"/>
      <c r="D292" s="72"/>
      <c r="E292" s="72"/>
      <c r="F292" s="72"/>
      <c r="G292" s="73" t="e">
        <f t="shared" si="32"/>
        <v>#N/A</v>
      </c>
      <c r="H292" s="73" t="e">
        <f t="shared" si="30"/>
        <v>#N/A</v>
      </c>
      <c r="I292" s="72"/>
      <c r="J292" s="74"/>
      <c r="L292" s="79"/>
      <c r="M292" s="80" t="e">
        <f t="shared" si="33"/>
        <v>#N/A</v>
      </c>
      <c r="N292" s="80" t="e">
        <f t="shared" si="34"/>
        <v>#N/A</v>
      </c>
      <c r="O292" s="84"/>
    </row>
    <row r="293" spans="1:15" x14ac:dyDescent="0.25">
      <c r="A293" s="71"/>
      <c r="B293" s="72"/>
      <c r="C293" s="72"/>
      <c r="D293" s="72"/>
      <c r="E293" s="72"/>
      <c r="F293" s="72"/>
      <c r="G293" s="73" t="e">
        <f t="shared" si="32"/>
        <v>#N/A</v>
      </c>
      <c r="H293" s="73" t="e">
        <f t="shared" si="30"/>
        <v>#N/A</v>
      </c>
      <c r="I293" s="72"/>
      <c r="J293" s="74"/>
      <c r="L293" s="79"/>
      <c r="M293" s="80" t="e">
        <f t="shared" si="33"/>
        <v>#N/A</v>
      </c>
      <c r="N293" s="80" t="e">
        <f t="shared" si="34"/>
        <v>#N/A</v>
      </c>
      <c r="O293" s="84"/>
    </row>
    <row r="294" spans="1:15" x14ac:dyDescent="0.25">
      <c r="A294" s="71"/>
      <c r="B294" s="72"/>
      <c r="C294" s="72"/>
      <c r="D294" s="72"/>
      <c r="E294" s="72"/>
      <c r="F294" s="72"/>
      <c r="G294" s="73" t="e">
        <f t="shared" si="32"/>
        <v>#N/A</v>
      </c>
      <c r="H294" s="73" t="e">
        <f t="shared" si="30"/>
        <v>#N/A</v>
      </c>
      <c r="I294" s="72"/>
      <c r="J294" s="74"/>
      <c r="L294" s="79"/>
      <c r="M294" s="80" t="e">
        <f t="shared" si="33"/>
        <v>#N/A</v>
      </c>
      <c r="N294" s="80" t="e">
        <f t="shared" si="34"/>
        <v>#N/A</v>
      </c>
      <c r="O294" s="84"/>
    </row>
    <row r="295" spans="1:15" x14ac:dyDescent="0.25">
      <c r="A295" s="71"/>
      <c r="B295" s="72"/>
      <c r="C295" s="72"/>
      <c r="D295" s="72"/>
      <c r="E295" s="72"/>
      <c r="F295" s="72"/>
      <c r="G295" s="73" t="e">
        <f t="shared" si="32"/>
        <v>#N/A</v>
      </c>
      <c r="H295" s="73" t="e">
        <f t="shared" si="30"/>
        <v>#N/A</v>
      </c>
      <c r="I295" s="72"/>
      <c r="J295" s="74"/>
      <c r="L295" s="79"/>
      <c r="M295" s="80" t="e">
        <f t="shared" si="33"/>
        <v>#N/A</v>
      </c>
      <c r="N295" s="80" t="e">
        <f t="shared" si="34"/>
        <v>#N/A</v>
      </c>
      <c r="O295" s="84"/>
    </row>
    <row r="296" spans="1:15" x14ac:dyDescent="0.25">
      <c r="A296" s="71"/>
      <c r="B296" s="72"/>
      <c r="C296" s="72"/>
      <c r="D296" s="72"/>
      <c r="E296" s="72"/>
      <c r="F296" s="72"/>
      <c r="G296" s="73" t="e">
        <f t="shared" si="32"/>
        <v>#N/A</v>
      </c>
      <c r="H296" s="73" t="e">
        <f t="shared" si="30"/>
        <v>#N/A</v>
      </c>
      <c r="I296" s="72"/>
      <c r="J296" s="74"/>
      <c r="L296" s="79"/>
      <c r="M296" s="80" t="e">
        <f t="shared" si="33"/>
        <v>#N/A</v>
      </c>
      <c r="N296" s="80" t="e">
        <f t="shared" si="34"/>
        <v>#N/A</v>
      </c>
      <c r="O296" s="84"/>
    </row>
    <row r="297" spans="1:15" x14ac:dyDescent="0.25">
      <c r="A297" s="71"/>
      <c r="B297" s="72"/>
      <c r="C297" s="72"/>
      <c r="D297" s="72"/>
      <c r="E297" s="72"/>
      <c r="F297" s="72"/>
      <c r="G297" s="73" t="e">
        <f t="shared" si="32"/>
        <v>#N/A</v>
      </c>
      <c r="H297" s="73" t="e">
        <f t="shared" si="30"/>
        <v>#N/A</v>
      </c>
      <c r="I297" s="72"/>
      <c r="J297" s="74"/>
      <c r="L297" s="79"/>
      <c r="M297" s="80" t="e">
        <f t="shared" si="33"/>
        <v>#N/A</v>
      </c>
      <c r="N297" s="80" t="e">
        <f t="shared" si="34"/>
        <v>#N/A</v>
      </c>
      <c r="O297" s="84"/>
    </row>
    <row r="298" spans="1:15" x14ac:dyDescent="0.25">
      <c r="A298" s="71"/>
      <c r="B298" s="72"/>
      <c r="C298" s="72"/>
      <c r="D298" s="72"/>
      <c r="E298" s="72"/>
      <c r="F298" s="72"/>
      <c r="G298" s="73" t="e">
        <f t="shared" si="32"/>
        <v>#N/A</v>
      </c>
      <c r="H298" s="73" t="e">
        <f t="shared" si="30"/>
        <v>#N/A</v>
      </c>
      <c r="I298" s="72"/>
      <c r="J298" s="74"/>
      <c r="L298" s="79"/>
      <c r="M298" s="80" t="e">
        <f t="shared" si="33"/>
        <v>#N/A</v>
      </c>
      <c r="N298" s="80" t="e">
        <f t="shared" si="34"/>
        <v>#N/A</v>
      </c>
      <c r="O298" s="84"/>
    </row>
    <row r="299" spans="1:15" x14ac:dyDescent="0.25">
      <c r="A299" s="71"/>
      <c r="B299" s="72"/>
      <c r="C299" s="72"/>
      <c r="D299" s="72"/>
      <c r="E299" s="72"/>
      <c r="F299" s="72"/>
      <c r="G299" s="73" t="e">
        <f t="shared" si="32"/>
        <v>#N/A</v>
      </c>
      <c r="H299" s="73" t="e">
        <f t="shared" si="30"/>
        <v>#N/A</v>
      </c>
      <c r="I299" s="72"/>
      <c r="J299" s="74"/>
      <c r="L299" s="79"/>
      <c r="M299" s="80" t="e">
        <f t="shared" si="33"/>
        <v>#N/A</v>
      </c>
      <c r="N299" s="80" t="e">
        <f t="shared" si="34"/>
        <v>#N/A</v>
      </c>
      <c r="O299" s="84"/>
    </row>
    <row r="300" spans="1:15" x14ac:dyDescent="0.25">
      <c r="A300" s="71"/>
      <c r="B300" s="72"/>
      <c r="C300" s="72"/>
      <c r="D300" s="72"/>
      <c r="E300" s="72"/>
      <c r="F300" s="72"/>
      <c r="G300" s="73" t="e">
        <f t="shared" ref="G300:G331" si="35">VLOOKUP(D300,$R$3:$S$114,2,0)</f>
        <v>#N/A</v>
      </c>
      <c r="H300" s="73" t="e">
        <f t="shared" si="30"/>
        <v>#N/A</v>
      </c>
      <c r="I300" s="72"/>
      <c r="J300" s="74"/>
      <c r="L300" s="79"/>
      <c r="M300" s="80" t="e">
        <f t="shared" si="33"/>
        <v>#N/A</v>
      </c>
      <c r="N300" s="80" t="e">
        <f t="shared" si="34"/>
        <v>#N/A</v>
      </c>
      <c r="O300" s="84"/>
    </row>
    <row r="301" spans="1:15" x14ac:dyDescent="0.25">
      <c r="A301" s="71"/>
      <c r="B301" s="72"/>
      <c r="C301" s="72"/>
      <c r="D301" s="72"/>
      <c r="E301" s="72"/>
      <c r="F301" s="72"/>
      <c r="G301" s="73" t="e">
        <f t="shared" si="35"/>
        <v>#N/A</v>
      </c>
      <c r="H301" s="73" t="e">
        <f t="shared" si="30"/>
        <v>#N/A</v>
      </c>
      <c r="I301" s="72"/>
      <c r="J301" s="74"/>
      <c r="L301" s="79"/>
      <c r="M301" s="80" t="e">
        <f t="shared" si="33"/>
        <v>#N/A</v>
      </c>
      <c r="N301" s="80" t="e">
        <f t="shared" si="34"/>
        <v>#N/A</v>
      </c>
      <c r="O301" s="84"/>
    </row>
    <row r="302" spans="1:15" x14ac:dyDescent="0.25">
      <c r="A302" s="71"/>
      <c r="B302" s="72"/>
      <c r="C302" s="72"/>
      <c r="D302" s="72"/>
      <c r="E302" s="72"/>
      <c r="F302" s="72"/>
      <c r="G302" s="73" t="e">
        <f t="shared" si="35"/>
        <v>#N/A</v>
      </c>
      <c r="H302" s="73" t="e">
        <f t="shared" si="30"/>
        <v>#N/A</v>
      </c>
      <c r="I302" s="72"/>
      <c r="J302" s="74"/>
      <c r="L302" s="79"/>
      <c r="M302" s="80" t="e">
        <f t="shared" si="33"/>
        <v>#N/A</v>
      </c>
      <c r="N302" s="80" t="e">
        <f t="shared" si="34"/>
        <v>#N/A</v>
      </c>
      <c r="O302" s="84"/>
    </row>
    <row r="303" spans="1:15" x14ac:dyDescent="0.25">
      <c r="A303" s="71"/>
      <c r="B303" s="72"/>
      <c r="C303" s="72"/>
      <c r="D303" s="72"/>
      <c r="E303" s="72"/>
      <c r="F303" s="72"/>
      <c r="G303" s="73" t="e">
        <f t="shared" si="35"/>
        <v>#N/A</v>
      </c>
      <c r="H303" s="73" t="e">
        <f t="shared" si="30"/>
        <v>#N/A</v>
      </c>
      <c r="I303" s="72"/>
      <c r="J303" s="74"/>
      <c r="L303" s="79"/>
      <c r="M303" s="80" t="e">
        <f t="shared" si="33"/>
        <v>#N/A</v>
      </c>
      <c r="N303" s="80" t="e">
        <f t="shared" si="34"/>
        <v>#N/A</v>
      </c>
      <c r="O303" s="84"/>
    </row>
    <row r="304" spans="1:15" x14ac:dyDescent="0.25">
      <c r="A304" s="71"/>
      <c r="B304" s="72"/>
      <c r="C304" s="72"/>
      <c r="D304" s="72"/>
      <c r="E304" s="72"/>
      <c r="F304" s="72"/>
      <c r="G304" s="73" t="e">
        <f t="shared" si="35"/>
        <v>#N/A</v>
      </c>
      <c r="H304" s="73" t="e">
        <f t="shared" si="30"/>
        <v>#N/A</v>
      </c>
      <c r="I304" s="72"/>
      <c r="J304" s="74"/>
      <c r="L304" s="79"/>
      <c r="M304" s="80" t="e">
        <f t="shared" si="33"/>
        <v>#N/A</v>
      </c>
      <c r="N304" s="80" t="e">
        <f t="shared" si="34"/>
        <v>#N/A</v>
      </c>
      <c r="O304" s="84"/>
    </row>
    <row r="305" spans="1:15" x14ac:dyDescent="0.25">
      <c r="A305" s="71"/>
      <c r="B305" s="72"/>
      <c r="C305" s="72"/>
      <c r="D305" s="72"/>
      <c r="E305" s="72"/>
      <c r="F305" s="72"/>
      <c r="G305" s="73" t="e">
        <f t="shared" si="35"/>
        <v>#N/A</v>
      </c>
      <c r="H305" s="73" t="e">
        <f t="shared" si="30"/>
        <v>#N/A</v>
      </c>
      <c r="I305" s="72"/>
      <c r="J305" s="74"/>
      <c r="L305" s="79"/>
      <c r="M305" s="80" t="e">
        <f t="shared" ref="M305:M336" si="36">VLOOKUP(L305,$R$3:$T$54,3,0)</f>
        <v>#N/A</v>
      </c>
      <c r="N305" s="80" t="e">
        <f t="shared" ref="N305:N336" si="37">M305*F305</f>
        <v>#N/A</v>
      </c>
      <c r="O305" s="84"/>
    </row>
    <row r="306" spans="1:15" x14ac:dyDescent="0.25">
      <c r="A306" s="71"/>
      <c r="B306" s="72"/>
      <c r="C306" s="72"/>
      <c r="D306" s="72"/>
      <c r="E306" s="72"/>
      <c r="F306" s="72"/>
      <c r="G306" s="73" t="e">
        <f t="shared" si="35"/>
        <v>#N/A</v>
      </c>
      <c r="H306" s="73" t="e">
        <f t="shared" si="30"/>
        <v>#N/A</v>
      </c>
      <c r="I306" s="72"/>
      <c r="J306" s="74"/>
      <c r="L306" s="79"/>
      <c r="M306" s="80" t="e">
        <f t="shared" si="36"/>
        <v>#N/A</v>
      </c>
      <c r="N306" s="80" t="e">
        <f t="shared" si="37"/>
        <v>#N/A</v>
      </c>
      <c r="O306" s="84"/>
    </row>
    <row r="307" spans="1:15" x14ac:dyDescent="0.25">
      <c r="A307" s="71"/>
      <c r="B307" s="72"/>
      <c r="C307" s="72"/>
      <c r="D307" s="72"/>
      <c r="E307" s="72"/>
      <c r="F307" s="72"/>
      <c r="G307" s="73" t="e">
        <f t="shared" si="35"/>
        <v>#N/A</v>
      </c>
      <c r="H307" s="73" t="e">
        <f t="shared" si="30"/>
        <v>#N/A</v>
      </c>
      <c r="I307" s="72"/>
      <c r="J307" s="74"/>
      <c r="L307" s="79"/>
      <c r="M307" s="80" t="e">
        <f t="shared" si="36"/>
        <v>#N/A</v>
      </c>
      <c r="N307" s="80" t="e">
        <f t="shared" si="37"/>
        <v>#N/A</v>
      </c>
      <c r="O307" s="84"/>
    </row>
    <row r="308" spans="1:15" x14ac:dyDescent="0.25">
      <c r="A308" s="71"/>
      <c r="B308" s="72"/>
      <c r="C308" s="72"/>
      <c r="D308" s="72"/>
      <c r="E308" s="72"/>
      <c r="F308" s="72"/>
      <c r="G308" s="73" t="e">
        <f t="shared" si="35"/>
        <v>#N/A</v>
      </c>
      <c r="H308" s="73" t="e">
        <f t="shared" si="30"/>
        <v>#N/A</v>
      </c>
      <c r="I308" s="72"/>
      <c r="J308" s="74"/>
      <c r="L308" s="79"/>
      <c r="M308" s="80" t="e">
        <f t="shared" si="36"/>
        <v>#N/A</v>
      </c>
      <c r="N308" s="80" t="e">
        <f t="shared" si="37"/>
        <v>#N/A</v>
      </c>
      <c r="O308" s="84"/>
    </row>
    <row r="309" spans="1:15" x14ac:dyDescent="0.25">
      <c r="A309" s="71"/>
      <c r="B309" s="72"/>
      <c r="C309" s="72"/>
      <c r="D309" s="72"/>
      <c r="E309" s="72"/>
      <c r="F309" s="72"/>
      <c r="G309" s="73" t="e">
        <f t="shared" si="35"/>
        <v>#N/A</v>
      </c>
      <c r="H309" s="73" t="e">
        <f t="shared" si="30"/>
        <v>#N/A</v>
      </c>
      <c r="I309" s="72"/>
      <c r="J309" s="74"/>
      <c r="L309" s="79"/>
      <c r="M309" s="80" t="e">
        <f t="shared" si="36"/>
        <v>#N/A</v>
      </c>
      <c r="N309" s="80" t="e">
        <f t="shared" si="37"/>
        <v>#N/A</v>
      </c>
      <c r="O309" s="84"/>
    </row>
    <row r="310" spans="1:15" x14ac:dyDescent="0.25">
      <c r="A310" s="71"/>
      <c r="B310" s="72"/>
      <c r="C310" s="72"/>
      <c r="D310" s="72"/>
      <c r="E310" s="72"/>
      <c r="F310" s="72"/>
      <c r="G310" s="73" t="e">
        <f t="shared" si="35"/>
        <v>#N/A</v>
      </c>
      <c r="H310" s="73" t="e">
        <f t="shared" si="30"/>
        <v>#N/A</v>
      </c>
      <c r="I310" s="72"/>
      <c r="J310" s="74"/>
      <c r="L310" s="79"/>
      <c r="M310" s="80" t="e">
        <f t="shared" si="36"/>
        <v>#N/A</v>
      </c>
      <c r="N310" s="80" t="e">
        <f t="shared" si="37"/>
        <v>#N/A</v>
      </c>
      <c r="O310" s="84"/>
    </row>
    <row r="311" spans="1:15" x14ac:dyDescent="0.25">
      <c r="A311" s="71"/>
      <c r="B311" s="72"/>
      <c r="C311" s="72"/>
      <c r="D311" s="72"/>
      <c r="E311" s="72"/>
      <c r="F311" s="72"/>
      <c r="G311" s="73" t="e">
        <f t="shared" si="35"/>
        <v>#N/A</v>
      </c>
      <c r="H311" s="73" t="e">
        <f t="shared" si="30"/>
        <v>#N/A</v>
      </c>
      <c r="I311" s="72"/>
      <c r="J311" s="74"/>
      <c r="L311" s="79"/>
      <c r="M311" s="80" t="e">
        <f t="shared" si="36"/>
        <v>#N/A</v>
      </c>
      <c r="N311" s="80" t="e">
        <f t="shared" si="37"/>
        <v>#N/A</v>
      </c>
      <c r="O311" s="84"/>
    </row>
    <row r="312" spans="1:15" x14ac:dyDescent="0.25">
      <c r="A312" s="71"/>
      <c r="B312" s="72"/>
      <c r="C312" s="72"/>
      <c r="D312" s="72"/>
      <c r="E312" s="72"/>
      <c r="F312" s="72"/>
      <c r="G312" s="73" t="e">
        <f t="shared" si="35"/>
        <v>#N/A</v>
      </c>
      <c r="H312" s="73" t="e">
        <f t="shared" si="30"/>
        <v>#N/A</v>
      </c>
      <c r="I312" s="72"/>
      <c r="J312" s="74"/>
      <c r="L312" s="79"/>
      <c r="M312" s="80" t="e">
        <f t="shared" si="36"/>
        <v>#N/A</v>
      </c>
      <c r="N312" s="80" t="e">
        <f t="shared" si="37"/>
        <v>#N/A</v>
      </c>
      <c r="O312" s="84"/>
    </row>
    <row r="313" spans="1:15" x14ac:dyDescent="0.25">
      <c r="A313" s="71"/>
      <c r="B313" s="72"/>
      <c r="C313" s="72"/>
      <c r="D313" s="72"/>
      <c r="E313" s="72"/>
      <c r="F313" s="72"/>
      <c r="G313" s="73" t="e">
        <f t="shared" si="35"/>
        <v>#N/A</v>
      </c>
      <c r="H313" s="73" t="e">
        <f t="shared" si="30"/>
        <v>#N/A</v>
      </c>
      <c r="I313" s="72"/>
      <c r="J313" s="74"/>
      <c r="L313" s="79"/>
      <c r="M313" s="80" t="e">
        <f t="shared" si="36"/>
        <v>#N/A</v>
      </c>
      <c r="N313" s="80" t="e">
        <f t="shared" si="37"/>
        <v>#N/A</v>
      </c>
      <c r="O313" s="84"/>
    </row>
    <row r="314" spans="1:15" x14ac:dyDescent="0.25">
      <c r="A314" s="71"/>
      <c r="B314" s="72"/>
      <c r="C314" s="72"/>
      <c r="D314" s="72"/>
      <c r="E314" s="72"/>
      <c r="F314" s="72"/>
      <c r="G314" s="73" t="e">
        <f t="shared" si="35"/>
        <v>#N/A</v>
      </c>
      <c r="H314" s="73" t="e">
        <f t="shared" si="30"/>
        <v>#N/A</v>
      </c>
      <c r="I314" s="72"/>
      <c r="J314" s="74"/>
      <c r="L314" s="79"/>
      <c r="M314" s="80" t="e">
        <f t="shared" si="36"/>
        <v>#N/A</v>
      </c>
      <c r="N314" s="80" t="e">
        <f t="shared" si="37"/>
        <v>#N/A</v>
      </c>
      <c r="O314" s="84"/>
    </row>
    <row r="315" spans="1:15" x14ac:dyDescent="0.25">
      <c r="A315" s="71"/>
      <c r="B315" s="72"/>
      <c r="C315" s="72"/>
      <c r="D315" s="72"/>
      <c r="E315" s="72"/>
      <c r="F315" s="72"/>
      <c r="G315" s="73" t="e">
        <f t="shared" si="35"/>
        <v>#N/A</v>
      </c>
      <c r="H315" s="73" t="e">
        <f t="shared" si="30"/>
        <v>#N/A</v>
      </c>
      <c r="I315" s="72"/>
      <c r="J315" s="74"/>
      <c r="L315" s="79"/>
      <c r="M315" s="80" t="e">
        <f t="shared" si="36"/>
        <v>#N/A</v>
      </c>
      <c r="N315" s="80" t="e">
        <f t="shared" si="37"/>
        <v>#N/A</v>
      </c>
      <c r="O315" s="84"/>
    </row>
    <row r="316" spans="1:15" x14ac:dyDescent="0.25">
      <c r="A316" s="71"/>
      <c r="B316" s="72"/>
      <c r="C316" s="72"/>
      <c r="D316" s="72"/>
      <c r="E316" s="72"/>
      <c r="F316" s="72"/>
      <c r="G316" s="73" t="e">
        <f t="shared" si="35"/>
        <v>#N/A</v>
      </c>
      <c r="H316" s="73" t="e">
        <f t="shared" si="30"/>
        <v>#N/A</v>
      </c>
      <c r="I316" s="72"/>
      <c r="J316" s="74"/>
      <c r="L316" s="79"/>
      <c r="M316" s="80" t="e">
        <f t="shared" si="36"/>
        <v>#N/A</v>
      </c>
      <c r="N316" s="80" t="e">
        <f t="shared" si="37"/>
        <v>#N/A</v>
      </c>
      <c r="O316" s="84"/>
    </row>
    <row r="317" spans="1:15" x14ac:dyDescent="0.25">
      <c r="A317" s="71"/>
      <c r="B317" s="72"/>
      <c r="C317" s="72"/>
      <c r="D317" s="72"/>
      <c r="E317" s="72"/>
      <c r="F317" s="72"/>
      <c r="G317" s="73" t="e">
        <f t="shared" si="35"/>
        <v>#N/A</v>
      </c>
      <c r="H317" s="73" t="e">
        <f t="shared" si="30"/>
        <v>#N/A</v>
      </c>
      <c r="I317" s="72"/>
      <c r="J317" s="74"/>
      <c r="L317" s="79"/>
      <c r="M317" s="80" t="e">
        <f t="shared" si="36"/>
        <v>#N/A</v>
      </c>
      <c r="N317" s="80" t="e">
        <f t="shared" si="37"/>
        <v>#N/A</v>
      </c>
      <c r="O317" s="84"/>
    </row>
    <row r="318" spans="1:15" x14ac:dyDescent="0.25">
      <c r="A318" s="71"/>
      <c r="B318" s="72"/>
      <c r="C318" s="72"/>
      <c r="D318" s="72"/>
      <c r="E318" s="72"/>
      <c r="F318" s="72"/>
      <c r="G318" s="73" t="e">
        <f t="shared" si="35"/>
        <v>#N/A</v>
      </c>
      <c r="H318" s="73" t="e">
        <f t="shared" si="30"/>
        <v>#N/A</v>
      </c>
      <c r="I318" s="72"/>
      <c r="J318" s="74"/>
      <c r="L318" s="79"/>
      <c r="M318" s="80" t="e">
        <f t="shared" si="36"/>
        <v>#N/A</v>
      </c>
      <c r="N318" s="80" t="e">
        <f t="shared" si="37"/>
        <v>#N/A</v>
      </c>
      <c r="O318" s="84"/>
    </row>
    <row r="319" spans="1:15" x14ac:dyDescent="0.25">
      <c r="A319" s="71"/>
      <c r="B319" s="72"/>
      <c r="C319" s="72"/>
      <c r="D319" s="72"/>
      <c r="E319" s="72"/>
      <c r="F319" s="72"/>
      <c r="G319" s="73" t="e">
        <f t="shared" si="35"/>
        <v>#N/A</v>
      </c>
      <c r="H319" s="73" t="e">
        <f t="shared" si="30"/>
        <v>#N/A</v>
      </c>
      <c r="I319" s="72"/>
      <c r="J319" s="74"/>
      <c r="L319" s="79"/>
      <c r="M319" s="80" t="e">
        <f t="shared" si="36"/>
        <v>#N/A</v>
      </c>
      <c r="N319" s="80" t="e">
        <f t="shared" si="37"/>
        <v>#N/A</v>
      </c>
      <c r="O319" s="84"/>
    </row>
    <row r="320" spans="1:15" x14ac:dyDescent="0.25">
      <c r="A320" s="71"/>
      <c r="B320" s="72"/>
      <c r="C320" s="72"/>
      <c r="D320" s="72"/>
      <c r="E320" s="72"/>
      <c r="F320" s="72"/>
      <c r="G320" s="73" t="e">
        <f t="shared" si="35"/>
        <v>#N/A</v>
      </c>
      <c r="H320" s="73" t="e">
        <f t="shared" si="30"/>
        <v>#N/A</v>
      </c>
      <c r="I320" s="72"/>
      <c r="J320" s="74"/>
      <c r="L320" s="79"/>
      <c r="M320" s="80" t="e">
        <f t="shared" si="36"/>
        <v>#N/A</v>
      </c>
      <c r="N320" s="80" t="e">
        <f t="shared" si="37"/>
        <v>#N/A</v>
      </c>
      <c r="O320" s="84"/>
    </row>
    <row r="321" spans="1:15" x14ac:dyDescent="0.25">
      <c r="A321" s="71"/>
      <c r="B321" s="72"/>
      <c r="C321" s="72"/>
      <c r="D321" s="72"/>
      <c r="E321" s="72"/>
      <c r="F321" s="72"/>
      <c r="G321" s="73" t="e">
        <f t="shared" si="35"/>
        <v>#N/A</v>
      </c>
      <c r="H321" s="73" t="e">
        <f t="shared" si="30"/>
        <v>#N/A</v>
      </c>
      <c r="I321" s="72"/>
      <c r="J321" s="74"/>
      <c r="L321" s="79"/>
      <c r="M321" s="80" t="e">
        <f t="shared" si="36"/>
        <v>#N/A</v>
      </c>
      <c r="N321" s="80" t="e">
        <f t="shared" si="37"/>
        <v>#N/A</v>
      </c>
      <c r="O321" s="84"/>
    </row>
    <row r="322" spans="1:15" x14ac:dyDescent="0.25">
      <c r="A322" s="71"/>
      <c r="B322" s="72"/>
      <c r="C322" s="72"/>
      <c r="D322" s="72"/>
      <c r="E322" s="72"/>
      <c r="F322" s="72"/>
      <c r="G322" s="73" t="e">
        <f t="shared" si="35"/>
        <v>#N/A</v>
      </c>
      <c r="H322" s="73" t="e">
        <f t="shared" si="30"/>
        <v>#N/A</v>
      </c>
      <c r="I322" s="72"/>
      <c r="J322" s="74"/>
      <c r="L322" s="79"/>
      <c r="M322" s="80" t="e">
        <f t="shared" si="36"/>
        <v>#N/A</v>
      </c>
      <c r="N322" s="80" t="e">
        <f t="shared" si="37"/>
        <v>#N/A</v>
      </c>
      <c r="O322" s="84"/>
    </row>
    <row r="323" spans="1:15" x14ac:dyDescent="0.25">
      <c r="A323" s="71"/>
      <c r="B323" s="72"/>
      <c r="C323" s="72"/>
      <c r="D323" s="72"/>
      <c r="E323" s="72"/>
      <c r="F323" s="72"/>
      <c r="G323" s="73" t="e">
        <f t="shared" si="35"/>
        <v>#N/A</v>
      </c>
      <c r="H323" s="73" t="e">
        <f t="shared" ref="H323:H350" si="38">F323*G323</f>
        <v>#N/A</v>
      </c>
      <c r="I323" s="72"/>
      <c r="J323" s="74"/>
      <c r="L323" s="79"/>
      <c r="M323" s="80" t="e">
        <f t="shared" si="36"/>
        <v>#N/A</v>
      </c>
      <c r="N323" s="80" t="e">
        <f t="shared" si="37"/>
        <v>#N/A</v>
      </c>
      <c r="O323" s="84"/>
    </row>
    <row r="324" spans="1:15" x14ac:dyDescent="0.25">
      <c r="A324" s="71"/>
      <c r="B324" s="72"/>
      <c r="C324" s="72"/>
      <c r="D324" s="72"/>
      <c r="E324" s="72"/>
      <c r="F324" s="72"/>
      <c r="G324" s="73" t="e">
        <f t="shared" si="35"/>
        <v>#N/A</v>
      </c>
      <c r="H324" s="73" t="e">
        <f t="shared" si="38"/>
        <v>#N/A</v>
      </c>
      <c r="I324" s="72"/>
      <c r="J324" s="74"/>
      <c r="L324" s="79"/>
      <c r="M324" s="80" t="e">
        <f t="shared" si="36"/>
        <v>#N/A</v>
      </c>
      <c r="N324" s="80" t="e">
        <f t="shared" si="37"/>
        <v>#N/A</v>
      </c>
      <c r="O324" s="84"/>
    </row>
    <row r="325" spans="1:15" x14ac:dyDescent="0.25">
      <c r="A325" s="71"/>
      <c r="B325" s="72"/>
      <c r="C325" s="72"/>
      <c r="D325" s="72"/>
      <c r="E325" s="72"/>
      <c r="F325" s="72"/>
      <c r="G325" s="73" t="e">
        <f t="shared" si="35"/>
        <v>#N/A</v>
      </c>
      <c r="H325" s="73" t="e">
        <f t="shared" si="38"/>
        <v>#N/A</v>
      </c>
      <c r="I325" s="72"/>
      <c r="J325" s="74"/>
      <c r="L325" s="79"/>
      <c r="M325" s="80" t="e">
        <f t="shared" si="36"/>
        <v>#N/A</v>
      </c>
      <c r="N325" s="80" t="e">
        <f t="shared" si="37"/>
        <v>#N/A</v>
      </c>
      <c r="O325" s="84"/>
    </row>
    <row r="326" spans="1:15" x14ac:dyDescent="0.25">
      <c r="A326" s="71"/>
      <c r="B326" s="72"/>
      <c r="C326" s="72"/>
      <c r="D326" s="72"/>
      <c r="E326" s="72"/>
      <c r="F326" s="72"/>
      <c r="G326" s="73" t="e">
        <f t="shared" si="35"/>
        <v>#N/A</v>
      </c>
      <c r="H326" s="73" t="e">
        <f t="shared" si="38"/>
        <v>#N/A</v>
      </c>
      <c r="I326" s="72"/>
      <c r="J326" s="74"/>
      <c r="L326" s="79"/>
      <c r="M326" s="80" t="e">
        <f t="shared" si="36"/>
        <v>#N/A</v>
      </c>
      <c r="N326" s="80" t="e">
        <f t="shared" si="37"/>
        <v>#N/A</v>
      </c>
      <c r="O326" s="84"/>
    </row>
    <row r="327" spans="1:15" x14ac:dyDescent="0.25">
      <c r="A327" s="71"/>
      <c r="B327" s="72"/>
      <c r="C327" s="72"/>
      <c r="D327" s="72"/>
      <c r="E327" s="72"/>
      <c r="F327" s="72"/>
      <c r="G327" s="73" t="e">
        <f t="shared" si="35"/>
        <v>#N/A</v>
      </c>
      <c r="H327" s="73" t="e">
        <f t="shared" si="38"/>
        <v>#N/A</v>
      </c>
      <c r="I327" s="72"/>
      <c r="J327" s="74"/>
      <c r="L327" s="79"/>
      <c r="M327" s="80" t="e">
        <f t="shared" si="36"/>
        <v>#N/A</v>
      </c>
      <c r="N327" s="80" t="e">
        <f t="shared" si="37"/>
        <v>#N/A</v>
      </c>
      <c r="O327" s="84"/>
    </row>
    <row r="328" spans="1:15" x14ac:dyDescent="0.25">
      <c r="A328" s="71"/>
      <c r="B328" s="72"/>
      <c r="C328" s="72"/>
      <c r="D328" s="72"/>
      <c r="E328" s="72"/>
      <c r="F328" s="72"/>
      <c r="G328" s="73" t="e">
        <f t="shared" si="35"/>
        <v>#N/A</v>
      </c>
      <c r="H328" s="73" t="e">
        <f t="shared" si="38"/>
        <v>#N/A</v>
      </c>
      <c r="I328" s="72"/>
      <c r="J328" s="74"/>
      <c r="L328" s="79"/>
      <c r="M328" s="80" t="e">
        <f t="shared" si="36"/>
        <v>#N/A</v>
      </c>
      <c r="N328" s="80" t="e">
        <f t="shared" si="37"/>
        <v>#N/A</v>
      </c>
      <c r="O328" s="84"/>
    </row>
    <row r="329" spans="1:15" x14ac:dyDescent="0.25">
      <c r="A329" s="71"/>
      <c r="B329" s="72"/>
      <c r="C329" s="72"/>
      <c r="D329" s="72"/>
      <c r="E329" s="72"/>
      <c r="F329" s="72"/>
      <c r="G329" s="73" t="e">
        <f t="shared" si="35"/>
        <v>#N/A</v>
      </c>
      <c r="H329" s="73" t="e">
        <f t="shared" si="38"/>
        <v>#N/A</v>
      </c>
      <c r="I329" s="72"/>
      <c r="J329" s="74"/>
      <c r="L329" s="79"/>
      <c r="M329" s="80" t="e">
        <f t="shared" si="36"/>
        <v>#N/A</v>
      </c>
      <c r="N329" s="80" t="e">
        <f t="shared" si="37"/>
        <v>#N/A</v>
      </c>
      <c r="O329" s="84"/>
    </row>
    <row r="330" spans="1:15" x14ac:dyDescent="0.25">
      <c r="A330" s="71"/>
      <c r="B330" s="72"/>
      <c r="C330" s="72"/>
      <c r="D330" s="72"/>
      <c r="E330" s="72"/>
      <c r="F330" s="72"/>
      <c r="G330" s="73" t="e">
        <f t="shared" si="35"/>
        <v>#N/A</v>
      </c>
      <c r="H330" s="73" t="e">
        <f t="shared" si="38"/>
        <v>#N/A</v>
      </c>
      <c r="I330" s="72"/>
      <c r="J330" s="74"/>
      <c r="L330" s="79"/>
      <c r="M330" s="80" t="e">
        <f t="shared" si="36"/>
        <v>#N/A</v>
      </c>
      <c r="N330" s="80" t="e">
        <f t="shared" si="37"/>
        <v>#N/A</v>
      </c>
      <c r="O330" s="84"/>
    </row>
    <row r="331" spans="1:15" x14ac:dyDescent="0.25">
      <c r="A331" s="71"/>
      <c r="B331" s="72"/>
      <c r="C331" s="72"/>
      <c r="D331" s="72"/>
      <c r="E331" s="72"/>
      <c r="F331" s="72"/>
      <c r="G331" s="73" t="e">
        <f t="shared" si="35"/>
        <v>#N/A</v>
      </c>
      <c r="H331" s="73" t="e">
        <f t="shared" si="38"/>
        <v>#N/A</v>
      </c>
      <c r="I331" s="72"/>
      <c r="J331" s="74"/>
      <c r="L331" s="79"/>
      <c r="M331" s="80" t="e">
        <f t="shared" si="36"/>
        <v>#N/A</v>
      </c>
      <c r="N331" s="80" t="e">
        <f t="shared" si="37"/>
        <v>#N/A</v>
      </c>
      <c r="O331" s="84"/>
    </row>
    <row r="332" spans="1:15" x14ac:dyDescent="0.25">
      <c r="A332" s="71"/>
      <c r="B332" s="72"/>
      <c r="C332" s="72"/>
      <c r="D332" s="72"/>
      <c r="E332" s="72"/>
      <c r="F332" s="72"/>
      <c r="G332" s="73" t="e">
        <f t="shared" ref="G332:G350" si="39">VLOOKUP(D332,$R$3:$S$114,2,0)</f>
        <v>#N/A</v>
      </c>
      <c r="H332" s="73" t="e">
        <f t="shared" si="38"/>
        <v>#N/A</v>
      </c>
      <c r="I332" s="72"/>
      <c r="J332" s="74"/>
      <c r="L332" s="79"/>
      <c r="M332" s="80" t="e">
        <f t="shared" si="36"/>
        <v>#N/A</v>
      </c>
      <c r="N332" s="80" t="e">
        <f t="shared" si="37"/>
        <v>#N/A</v>
      </c>
      <c r="O332" s="84"/>
    </row>
    <row r="333" spans="1:15" x14ac:dyDescent="0.25">
      <c r="A333" s="71"/>
      <c r="B333" s="72"/>
      <c r="C333" s="72"/>
      <c r="D333" s="72"/>
      <c r="E333" s="72"/>
      <c r="F333" s="72"/>
      <c r="G333" s="73" t="e">
        <f t="shared" si="39"/>
        <v>#N/A</v>
      </c>
      <c r="H333" s="73" t="e">
        <f t="shared" si="38"/>
        <v>#N/A</v>
      </c>
      <c r="I333" s="72"/>
      <c r="J333" s="74"/>
      <c r="L333" s="79"/>
      <c r="M333" s="80" t="e">
        <f t="shared" si="36"/>
        <v>#N/A</v>
      </c>
      <c r="N333" s="80" t="e">
        <f t="shared" si="37"/>
        <v>#N/A</v>
      </c>
      <c r="O333" s="84"/>
    </row>
    <row r="334" spans="1:15" x14ac:dyDescent="0.25">
      <c r="A334" s="71"/>
      <c r="B334" s="72"/>
      <c r="C334" s="72"/>
      <c r="D334" s="72"/>
      <c r="E334" s="72"/>
      <c r="F334" s="72"/>
      <c r="G334" s="73" t="e">
        <f t="shared" si="39"/>
        <v>#N/A</v>
      </c>
      <c r="H334" s="73" t="e">
        <f t="shared" si="38"/>
        <v>#N/A</v>
      </c>
      <c r="I334" s="72"/>
      <c r="J334" s="74"/>
      <c r="L334" s="79"/>
      <c r="M334" s="80" t="e">
        <f t="shared" si="36"/>
        <v>#N/A</v>
      </c>
      <c r="N334" s="80" t="e">
        <f t="shared" si="37"/>
        <v>#N/A</v>
      </c>
      <c r="O334" s="84"/>
    </row>
    <row r="335" spans="1:15" x14ac:dyDescent="0.25">
      <c r="A335" s="71"/>
      <c r="B335" s="72"/>
      <c r="C335" s="72"/>
      <c r="D335" s="72"/>
      <c r="E335" s="72"/>
      <c r="F335" s="72"/>
      <c r="G335" s="73" t="e">
        <f t="shared" si="39"/>
        <v>#N/A</v>
      </c>
      <c r="H335" s="73" t="e">
        <f t="shared" si="38"/>
        <v>#N/A</v>
      </c>
      <c r="I335" s="72"/>
      <c r="J335" s="74"/>
      <c r="L335" s="79"/>
      <c r="M335" s="80" t="e">
        <f t="shared" si="36"/>
        <v>#N/A</v>
      </c>
      <c r="N335" s="80" t="e">
        <f t="shared" si="37"/>
        <v>#N/A</v>
      </c>
      <c r="O335" s="84"/>
    </row>
    <row r="336" spans="1:15" x14ac:dyDescent="0.25">
      <c r="A336" s="71"/>
      <c r="B336" s="72"/>
      <c r="C336" s="72"/>
      <c r="D336" s="72"/>
      <c r="E336" s="72"/>
      <c r="F336" s="72"/>
      <c r="G336" s="73" t="e">
        <f t="shared" si="39"/>
        <v>#N/A</v>
      </c>
      <c r="H336" s="73" t="e">
        <f t="shared" si="38"/>
        <v>#N/A</v>
      </c>
      <c r="I336" s="72"/>
      <c r="J336" s="74"/>
      <c r="L336" s="79"/>
      <c r="M336" s="80" t="e">
        <f t="shared" si="36"/>
        <v>#N/A</v>
      </c>
      <c r="N336" s="80" t="e">
        <f t="shared" si="37"/>
        <v>#N/A</v>
      </c>
      <c r="O336" s="84"/>
    </row>
    <row r="337" spans="1:15" x14ac:dyDescent="0.25">
      <c r="A337" s="71"/>
      <c r="B337" s="72"/>
      <c r="C337" s="72"/>
      <c r="D337" s="72"/>
      <c r="E337" s="72"/>
      <c r="F337" s="72"/>
      <c r="G337" s="73" t="e">
        <f t="shared" si="39"/>
        <v>#N/A</v>
      </c>
      <c r="H337" s="73" t="e">
        <f t="shared" si="38"/>
        <v>#N/A</v>
      </c>
      <c r="I337" s="72"/>
      <c r="J337" s="74"/>
      <c r="L337" s="79"/>
      <c r="M337" s="80" t="e">
        <f t="shared" ref="M337:M350" si="40">VLOOKUP(L337,$R$3:$T$54,3,0)</f>
        <v>#N/A</v>
      </c>
      <c r="N337" s="80" t="e">
        <f t="shared" ref="N337:N350" si="41">M337*F337</f>
        <v>#N/A</v>
      </c>
      <c r="O337" s="84"/>
    </row>
    <row r="338" spans="1:15" x14ac:dyDescent="0.25">
      <c r="A338" s="71"/>
      <c r="B338" s="72"/>
      <c r="C338" s="72"/>
      <c r="D338" s="72"/>
      <c r="E338" s="72"/>
      <c r="F338" s="72"/>
      <c r="G338" s="73" t="e">
        <f t="shared" si="39"/>
        <v>#N/A</v>
      </c>
      <c r="H338" s="73" t="e">
        <f t="shared" si="38"/>
        <v>#N/A</v>
      </c>
      <c r="I338" s="72"/>
      <c r="J338" s="74"/>
      <c r="L338" s="79"/>
      <c r="M338" s="80" t="e">
        <f t="shared" si="40"/>
        <v>#N/A</v>
      </c>
      <c r="N338" s="80" t="e">
        <f t="shared" si="41"/>
        <v>#N/A</v>
      </c>
      <c r="O338" s="84"/>
    </row>
    <row r="339" spans="1:15" x14ac:dyDescent="0.25">
      <c r="A339" s="71"/>
      <c r="B339" s="72"/>
      <c r="C339" s="72"/>
      <c r="D339" s="72"/>
      <c r="E339" s="72"/>
      <c r="F339" s="72"/>
      <c r="G339" s="73" t="e">
        <f t="shared" si="39"/>
        <v>#N/A</v>
      </c>
      <c r="H339" s="73" t="e">
        <f t="shared" si="38"/>
        <v>#N/A</v>
      </c>
      <c r="I339" s="72"/>
      <c r="J339" s="74"/>
      <c r="L339" s="79"/>
      <c r="M339" s="80" t="e">
        <f t="shared" si="40"/>
        <v>#N/A</v>
      </c>
      <c r="N339" s="80" t="e">
        <f t="shared" si="41"/>
        <v>#N/A</v>
      </c>
      <c r="O339" s="84"/>
    </row>
    <row r="340" spans="1:15" x14ac:dyDescent="0.25">
      <c r="A340" s="71"/>
      <c r="B340" s="72"/>
      <c r="C340" s="72"/>
      <c r="D340" s="72"/>
      <c r="E340" s="72"/>
      <c r="F340" s="72"/>
      <c r="G340" s="73" t="e">
        <f t="shared" si="39"/>
        <v>#N/A</v>
      </c>
      <c r="H340" s="73" t="e">
        <f t="shared" si="38"/>
        <v>#N/A</v>
      </c>
      <c r="I340" s="72"/>
      <c r="J340" s="74"/>
      <c r="L340" s="79"/>
      <c r="M340" s="80" t="e">
        <f t="shared" si="40"/>
        <v>#N/A</v>
      </c>
      <c r="N340" s="80" t="e">
        <f t="shared" si="41"/>
        <v>#N/A</v>
      </c>
      <c r="O340" s="84"/>
    </row>
    <row r="341" spans="1:15" x14ac:dyDescent="0.25">
      <c r="A341" s="71"/>
      <c r="B341" s="72"/>
      <c r="C341" s="72"/>
      <c r="D341" s="72"/>
      <c r="E341" s="72"/>
      <c r="F341" s="72"/>
      <c r="G341" s="73" t="e">
        <f t="shared" si="39"/>
        <v>#N/A</v>
      </c>
      <c r="H341" s="73" t="e">
        <f t="shared" si="38"/>
        <v>#N/A</v>
      </c>
      <c r="I341" s="72"/>
      <c r="J341" s="74"/>
      <c r="L341" s="79"/>
      <c r="M341" s="80" t="e">
        <f t="shared" si="40"/>
        <v>#N/A</v>
      </c>
      <c r="N341" s="80" t="e">
        <f t="shared" si="41"/>
        <v>#N/A</v>
      </c>
      <c r="O341" s="84"/>
    </row>
    <row r="342" spans="1:15" x14ac:dyDescent="0.25">
      <c r="A342" s="71"/>
      <c r="B342" s="72"/>
      <c r="C342" s="72"/>
      <c r="D342" s="72"/>
      <c r="E342" s="72"/>
      <c r="F342" s="72"/>
      <c r="G342" s="73" t="e">
        <f t="shared" si="39"/>
        <v>#N/A</v>
      </c>
      <c r="H342" s="73" t="e">
        <f t="shared" si="38"/>
        <v>#N/A</v>
      </c>
      <c r="I342" s="72"/>
      <c r="J342" s="74"/>
      <c r="L342" s="79"/>
      <c r="M342" s="80" t="e">
        <f t="shared" si="40"/>
        <v>#N/A</v>
      </c>
      <c r="N342" s="80" t="e">
        <f t="shared" si="41"/>
        <v>#N/A</v>
      </c>
      <c r="O342" s="84"/>
    </row>
    <row r="343" spans="1:15" x14ac:dyDescent="0.25">
      <c r="A343" s="71"/>
      <c r="B343" s="72"/>
      <c r="C343" s="72"/>
      <c r="D343" s="72"/>
      <c r="E343" s="72"/>
      <c r="F343" s="72"/>
      <c r="G343" s="73" t="e">
        <f t="shared" si="39"/>
        <v>#N/A</v>
      </c>
      <c r="H343" s="73" t="e">
        <f t="shared" si="38"/>
        <v>#N/A</v>
      </c>
      <c r="I343" s="72"/>
      <c r="J343" s="74"/>
      <c r="L343" s="79"/>
      <c r="M343" s="80" t="e">
        <f t="shared" si="40"/>
        <v>#N/A</v>
      </c>
      <c r="N343" s="80" t="e">
        <f t="shared" si="41"/>
        <v>#N/A</v>
      </c>
      <c r="O343" s="84"/>
    </row>
    <row r="344" spans="1:15" x14ac:dyDescent="0.25">
      <c r="A344" s="71"/>
      <c r="B344" s="72"/>
      <c r="C344" s="72"/>
      <c r="D344" s="72"/>
      <c r="E344" s="72"/>
      <c r="F344" s="72"/>
      <c r="G344" s="73" t="e">
        <f t="shared" si="39"/>
        <v>#N/A</v>
      </c>
      <c r="H344" s="73" t="e">
        <f t="shared" si="38"/>
        <v>#N/A</v>
      </c>
      <c r="I344" s="72"/>
      <c r="J344" s="74"/>
      <c r="L344" s="79"/>
      <c r="M344" s="80" t="e">
        <f t="shared" si="40"/>
        <v>#N/A</v>
      </c>
      <c r="N344" s="80" t="e">
        <f t="shared" si="41"/>
        <v>#N/A</v>
      </c>
      <c r="O344" s="84"/>
    </row>
    <row r="345" spans="1:15" x14ac:dyDescent="0.25">
      <c r="A345" s="71"/>
      <c r="B345" s="72"/>
      <c r="C345" s="72"/>
      <c r="D345" s="72"/>
      <c r="E345" s="72"/>
      <c r="F345" s="72"/>
      <c r="G345" s="73" t="e">
        <f t="shared" si="39"/>
        <v>#N/A</v>
      </c>
      <c r="H345" s="73" t="e">
        <f t="shared" si="38"/>
        <v>#N/A</v>
      </c>
      <c r="I345" s="72"/>
      <c r="J345" s="74"/>
      <c r="L345" s="79"/>
      <c r="M345" s="80" t="e">
        <f t="shared" si="40"/>
        <v>#N/A</v>
      </c>
      <c r="N345" s="80" t="e">
        <f t="shared" si="41"/>
        <v>#N/A</v>
      </c>
      <c r="O345" s="84"/>
    </row>
    <row r="346" spans="1:15" x14ac:dyDescent="0.25">
      <c r="A346" s="71"/>
      <c r="B346" s="72"/>
      <c r="C346" s="72"/>
      <c r="D346" s="72"/>
      <c r="E346" s="72"/>
      <c r="F346" s="72"/>
      <c r="G346" s="73" t="e">
        <f t="shared" si="39"/>
        <v>#N/A</v>
      </c>
      <c r="H346" s="73" t="e">
        <f t="shared" si="38"/>
        <v>#N/A</v>
      </c>
      <c r="I346" s="72"/>
      <c r="J346" s="74"/>
      <c r="L346" s="79"/>
      <c r="M346" s="80" t="e">
        <f t="shared" si="40"/>
        <v>#N/A</v>
      </c>
      <c r="N346" s="80" t="e">
        <f t="shared" si="41"/>
        <v>#N/A</v>
      </c>
      <c r="O346" s="84"/>
    </row>
    <row r="347" spans="1:15" x14ac:dyDescent="0.25">
      <c r="A347" s="71"/>
      <c r="B347" s="72"/>
      <c r="C347" s="72"/>
      <c r="D347" s="72"/>
      <c r="E347" s="72"/>
      <c r="F347" s="72"/>
      <c r="G347" s="73" t="e">
        <f t="shared" si="39"/>
        <v>#N/A</v>
      </c>
      <c r="H347" s="73" t="e">
        <f t="shared" si="38"/>
        <v>#N/A</v>
      </c>
      <c r="I347" s="72"/>
      <c r="J347" s="74"/>
      <c r="L347" s="79"/>
      <c r="M347" s="80" t="e">
        <f t="shared" si="40"/>
        <v>#N/A</v>
      </c>
      <c r="N347" s="80" t="e">
        <f t="shared" si="41"/>
        <v>#N/A</v>
      </c>
      <c r="O347" s="84"/>
    </row>
    <row r="348" spans="1:15" x14ac:dyDescent="0.25">
      <c r="A348" s="71"/>
      <c r="B348" s="72"/>
      <c r="C348" s="72"/>
      <c r="D348" s="72"/>
      <c r="E348" s="72"/>
      <c r="F348" s="72"/>
      <c r="G348" s="73" t="e">
        <f t="shared" si="39"/>
        <v>#N/A</v>
      </c>
      <c r="H348" s="73" t="e">
        <f t="shared" si="38"/>
        <v>#N/A</v>
      </c>
      <c r="I348" s="72"/>
      <c r="J348" s="74"/>
      <c r="L348" s="79"/>
      <c r="M348" s="80" t="e">
        <f t="shared" si="40"/>
        <v>#N/A</v>
      </c>
      <c r="N348" s="80" t="e">
        <f t="shared" si="41"/>
        <v>#N/A</v>
      </c>
      <c r="O348" s="84"/>
    </row>
    <row r="349" spans="1:15" x14ac:dyDescent="0.25">
      <c r="A349" s="71"/>
      <c r="B349" s="72"/>
      <c r="C349" s="72"/>
      <c r="D349" s="72"/>
      <c r="E349" s="72"/>
      <c r="F349" s="72"/>
      <c r="G349" s="73" t="e">
        <f t="shared" si="39"/>
        <v>#N/A</v>
      </c>
      <c r="H349" s="73" t="e">
        <f t="shared" si="38"/>
        <v>#N/A</v>
      </c>
      <c r="I349" s="72"/>
      <c r="J349" s="74"/>
      <c r="L349" s="79"/>
      <c r="M349" s="80" t="e">
        <f t="shared" si="40"/>
        <v>#N/A</v>
      </c>
      <c r="N349" s="80" t="e">
        <f t="shared" si="41"/>
        <v>#N/A</v>
      </c>
      <c r="O349" s="84"/>
    </row>
    <row r="350" spans="1:15" x14ac:dyDescent="0.25">
      <c r="A350" s="71"/>
      <c r="B350" s="72"/>
      <c r="C350" s="72"/>
      <c r="D350" s="72"/>
      <c r="E350" s="72"/>
      <c r="F350" s="72"/>
      <c r="G350" s="73" t="e">
        <f t="shared" si="39"/>
        <v>#N/A</v>
      </c>
      <c r="H350" s="73" t="e">
        <f t="shared" si="38"/>
        <v>#N/A</v>
      </c>
      <c r="I350" s="72"/>
      <c r="J350" s="74"/>
      <c r="L350" s="85"/>
      <c r="M350" s="86" t="e">
        <f t="shared" si="40"/>
        <v>#N/A</v>
      </c>
      <c r="N350" s="86" t="e">
        <f t="shared" si="41"/>
        <v>#N/A</v>
      </c>
      <c r="O350" s="87"/>
    </row>
    <row r="351" spans="1:15" ht="15.75" x14ac:dyDescent="0.25">
      <c r="H351" s="88" t="e">
        <f>SUM(H3:H350)</f>
        <v>#N/A</v>
      </c>
      <c r="N351" s="89" t="e">
        <f>SUM(N3:N350)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2"/>
  <sheetViews>
    <sheetView tabSelected="1" workbookViewId="0">
      <selection activeCell="D1" sqref="D1"/>
    </sheetView>
  </sheetViews>
  <sheetFormatPr defaultRowHeight="15" x14ac:dyDescent="0.25"/>
  <cols>
    <col min="1" max="1" width="17.5703125" bestFit="1" customWidth="1"/>
    <col min="2" max="2" width="17.42578125" bestFit="1" customWidth="1"/>
    <col min="3" max="3" width="21.42578125" bestFit="1" customWidth="1"/>
    <col min="4" max="4" width="57.14062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54" bestFit="1" customWidth="1"/>
    <col min="13" max="13" width="35.85546875" bestFit="1" customWidth="1"/>
    <col min="14" max="14" width="14.7109375" bestFit="1" customWidth="1"/>
    <col min="15" max="15" width="8.14062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432</v>
      </c>
      <c r="B1" s="53"/>
      <c r="C1" s="53"/>
      <c r="D1" s="53"/>
      <c r="E1" s="53"/>
      <c r="F1" s="54"/>
      <c r="G1" s="54" t="s">
        <v>66</v>
      </c>
      <c r="H1" s="55">
        <f>SUM(H3:H248)</f>
        <v>10348.5</v>
      </c>
      <c r="I1" s="55">
        <f>SUM(I3:I248)</f>
        <v>10203.887699999999</v>
      </c>
      <c r="J1" s="54"/>
      <c r="K1" s="56"/>
      <c r="M1" s="57"/>
      <c r="N1" s="58"/>
      <c r="O1" s="58"/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435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45384</v>
      </c>
      <c r="B3" s="72" t="s">
        <v>436</v>
      </c>
      <c r="C3" s="72" t="s">
        <v>8</v>
      </c>
      <c r="D3" s="72" t="s">
        <v>16</v>
      </c>
      <c r="E3" s="72" t="s">
        <v>82</v>
      </c>
      <c r="F3" s="72">
        <v>1</v>
      </c>
      <c r="G3" s="73">
        <f>VLOOKUP(D3,$S$3:$T$42,2,0)</f>
        <v>80</v>
      </c>
      <c r="H3" s="73">
        <f t="shared" ref="H3:H49" si="0">F3*G3</f>
        <v>80</v>
      </c>
      <c r="I3" s="73">
        <f t="shared" ref="I3:I66" si="1">IF(J3="Cartão de Debito",H3-(H3*$AC$5),IF(J3="Cartão de Credito",H3-(H3*$AC$6), IF(J3="Pix",H3-(H3*$AC$7), IF(J3="Dinheiro (R$)", H3-(H3*$AC$8)))))</f>
        <v>78.087999999999994</v>
      </c>
      <c r="J3" s="72" t="s">
        <v>78</v>
      </c>
      <c r="K3" s="74"/>
      <c r="M3" s="96"/>
      <c r="N3" s="76" t="e">
        <f t="shared" ref="N3:N39" si="2">VLOOKUP(M3,$S$3:$U$60,3,0)</f>
        <v>#N/A</v>
      </c>
      <c r="O3" s="76"/>
      <c r="P3" s="97"/>
      <c r="S3" s="50" t="s">
        <v>18</v>
      </c>
      <c r="T3" s="52">
        <v>40</v>
      </c>
      <c r="U3" s="52">
        <f t="shared" ref="U3:U30" si="3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4">Z3*0.4</f>
        <v>16</v>
      </c>
      <c r="AB3" s="92"/>
    </row>
    <row r="4" spans="1:32" x14ac:dyDescent="0.25">
      <c r="A4" s="95">
        <v>45384</v>
      </c>
      <c r="B4" s="72" t="s">
        <v>436</v>
      </c>
      <c r="C4" s="72" t="s">
        <v>8</v>
      </c>
      <c r="D4" s="72" t="s">
        <v>32</v>
      </c>
      <c r="E4" s="72" t="s">
        <v>82</v>
      </c>
      <c r="F4" s="72">
        <v>1</v>
      </c>
      <c r="G4" s="73">
        <f>VLOOKUP(D4,$S$3:$T$42,2,0)</f>
        <v>50</v>
      </c>
      <c r="H4" s="73">
        <f t="shared" si="0"/>
        <v>50</v>
      </c>
      <c r="I4" s="73">
        <f t="shared" si="1"/>
        <v>48.805</v>
      </c>
      <c r="J4" s="72" t="s">
        <v>78</v>
      </c>
      <c r="K4" s="74"/>
      <c r="M4" s="99"/>
      <c r="N4" s="80" t="e">
        <f t="shared" si="2"/>
        <v>#N/A</v>
      </c>
      <c r="O4" s="80"/>
      <c r="P4" s="100"/>
      <c r="S4" s="50" t="s">
        <v>19</v>
      </c>
      <c r="T4" s="52">
        <v>40</v>
      </c>
      <c r="U4" s="52">
        <f t="shared" si="3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4"/>
        <v>16</v>
      </c>
      <c r="AB4" s="92"/>
    </row>
    <row r="5" spans="1:32" x14ac:dyDescent="0.25">
      <c r="A5" s="95">
        <v>45384</v>
      </c>
      <c r="B5" s="72" t="s">
        <v>436</v>
      </c>
      <c r="C5" s="72" t="s">
        <v>8</v>
      </c>
      <c r="D5" s="72" t="s">
        <v>25</v>
      </c>
      <c r="E5" s="72" t="s">
        <v>82</v>
      </c>
      <c r="F5" s="72">
        <v>1</v>
      </c>
      <c r="G5" s="73">
        <v>10</v>
      </c>
      <c r="H5" s="73">
        <f t="shared" si="0"/>
        <v>10</v>
      </c>
      <c r="I5" s="73">
        <f t="shared" si="1"/>
        <v>9.7609999999999992</v>
      </c>
      <c r="J5" s="72" t="s">
        <v>78</v>
      </c>
      <c r="K5" s="74"/>
      <c r="M5" s="99"/>
      <c r="N5" s="80" t="e">
        <f t="shared" si="2"/>
        <v>#N/A</v>
      </c>
      <c r="O5" s="80"/>
      <c r="P5" s="100"/>
      <c r="S5" s="50" t="s">
        <v>22</v>
      </c>
      <c r="T5" s="52">
        <v>30</v>
      </c>
      <c r="U5" s="52">
        <f t="shared" si="3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4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45384</v>
      </c>
      <c r="B6" s="72" t="s">
        <v>437</v>
      </c>
      <c r="C6" s="72" t="s">
        <v>8</v>
      </c>
      <c r="D6" s="72" t="s">
        <v>18</v>
      </c>
      <c r="E6" s="72" t="s">
        <v>82</v>
      </c>
      <c r="F6" s="72">
        <v>1</v>
      </c>
      <c r="G6" s="73">
        <f t="shared" ref="G6:G25" si="5">VLOOKUP(D6,$S$3:$T$42,2,0)</f>
        <v>40</v>
      </c>
      <c r="H6" s="73">
        <f t="shared" si="0"/>
        <v>40</v>
      </c>
      <c r="I6" s="73">
        <f t="shared" si="1"/>
        <v>40</v>
      </c>
      <c r="J6" s="72" t="s">
        <v>83</v>
      </c>
      <c r="K6" s="74"/>
      <c r="M6" s="99"/>
      <c r="N6" s="80" t="e">
        <f t="shared" si="2"/>
        <v>#N/A</v>
      </c>
      <c r="O6" s="80"/>
      <c r="P6" s="100"/>
      <c r="S6" s="50" t="s">
        <v>23</v>
      </c>
      <c r="T6" s="52">
        <v>5</v>
      </c>
      <c r="U6" s="52">
        <f t="shared" si="3"/>
        <v>2</v>
      </c>
      <c r="W6" s="90" t="s">
        <v>86</v>
      </c>
      <c r="Y6" s="91" t="s">
        <v>90</v>
      </c>
      <c r="Z6" s="92">
        <v>38.003999999999998</v>
      </c>
      <c r="AA6" s="92">
        <f t="shared" si="4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45384</v>
      </c>
      <c r="B7" s="72" t="s">
        <v>438</v>
      </c>
      <c r="C7" s="72" t="s">
        <v>8</v>
      </c>
      <c r="D7" s="72" t="s">
        <v>16</v>
      </c>
      <c r="E7" s="72" t="s">
        <v>82</v>
      </c>
      <c r="F7" s="72">
        <v>1</v>
      </c>
      <c r="G7" s="73">
        <f t="shared" si="5"/>
        <v>80</v>
      </c>
      <c r="H7" s="73">
        <f t="shared" si="0"/>
        <v>80</v>
      </c>
      <c r="I7" s="73">
        <f t="shared" si="1"/>
        <v>76.007999999999996</v>
      </c>
      <c r="J7" s="72" t="s">
        <v>86</v>
      </c>
      <c r="K7" s="74"/>
      <c r="M7" s="99"/>
      <c r="N7" s="80" t="e">
        <f t="shared" si="2"/>
        <v>#N/A</v>
      </c>
      <c r="O7" s="80"/>
      <c r="P7" s="100"/>
      <c r="S7" s="50" t="s">
        <v>24</v>
      </c>
      <c r="T7" s="52">
        <v>10</v>
      </c>
      <c r="U7" s="52">
        <f t="shared" si="3"/>
        <v>4</v>
      </c>
      <c r="Y7" s="91" t="s">
        <v>93</v>
      </c>
      <c r="Z7" s="92">
        <v>40</v>
      </c>
      <c r="AA7" s="92">
        <f t="shared" si="4"/>
        <v>16</v>
      </c>
      <c r="AB7" s="92"/>
      <c r="AC7" s="91">
        <v>0</v>
      </c>
      <c r="AD7" s="50" t="s">
        <v>83</v>
      </c>
    </row>
    <row r="8" spans="1:32" x14ac:dyDescent="0.25">
      <c r="A8" s="95">
        <v>45384</v>
      </c>
      <c r="B8" s="72" t="s">
        <v>439</v>
      </c>
      <c r="C8" s="72" t="s">
        <v>8</v>
      </c>
      <c r="D8" s="72" t="s">
        <v>18</v>
      </c>
      <c r="E8" s="72" t="s">
        <v>82</v>
      </c>
      <c r="F8" s="72">
        <v>1</v>
      </c>
      <c r="G8" s="73">
        <f t="shared" si="5"/>
        <v>40</v>
      </c>
      <c r="H8" s="73">
        <f t="shared" si="0"/>
        <v>40</v>
      </c>
      <c r="I8" s="73">
        <f t="shared" si="1"/>
        <v>39.043999999999997</v>
      </c>
      <c r="J8" s="72" t="s">
        <v>78</v>
      </c>
      <c r="K8" s="74"/>
      <c r="M8" s="99"/>
      <c r="N8" s="80" t="e">
        <f t="shared" si="2"/>
        <v>#N/A</v>
      </c>
      <c r="O8" s="80"/>
      <c r="P8" s="100"/>
      <c r="S8" s="50" t="s">
        <v>21</v>
      </c>
      <c r="T8" s="52">
        <v>10</v>
      </c>
      <c r="U8" s="52">
        <f t="shared" si="3"/>
        <v>4</v>
      </c>
      <c r="Y8" s="91" t="s">
        <v>95</v>
      </c>
      <c r="Z8" s="92">
        <v>40</v>
      </c>
      <c r="AA8" s="92">
        <f t="shared" si="4"/>
        <v>16</v>
      </c>
      <c r="AB8" s="92"/>
      <c r="AC8" s="91">
        <v>0</v>
      </c>
      <c r="AD8" s="50" t="s">
        <v>440</v>
      </c>
    </row>
    <row r="9" spans="1:32" x14ac:dyDescent="0.25">
      <c r="A9" s="95">
        <v>45384</v>
      </c>
      <c r="B9" s="72" t="s">
        <v>441</v>
      </c>
      <c r="C9" s="72" t="s">
        <v>10</v>
      </c>
      <c r="D9" s="72" t="s">
        <v>18</v>
      </c>
      <c r="E9" s="72" t="s">
        <v>56</v>
      </c>
      <c r="F9" s="72">
        <v>1</v>
      </c>
      <c r="G9" s="73">
        <f t="shared" si="5"/>
        <v>40</v>
      </c>
      <c r="H9" s="73">
        <f t="shared" si="0"/>
        <v>40</v>
      </c>
      <c r="I9" s="73">
        <f t="shared" si="1"/>
        <v>39.043999999999997</v>
      </c>
      <c r="J9" s="72" t="s">
        <v>78</v>
      </c>
      <c r="K9" s="74"/>
      <c r="M9" s="99" t="s">
        <v>18</v>
      </c>
      <c r="N9" s="80">
        <f t="shared" si="2"/>
        <v>16</v>
      </c>
      <c r="O9" s="80">
        <f>N9*F9</f>
        <v>16</v>
      </c>
      <c r="P9" s="100" t="s">
        <v>56</v>
      </c>
      <c r="S9" s="50" t="s">
        <v>42</v>
      </c>
      <c r="T9" s="52">
        <v>20</v>
      </c>
      <c r="U9" s="52">
        <f t="shared" si="3"/>
        <v>8</v>
      </c>
      <c r="Y9" s="91" t="s">
        <v>98</v>
      </c>
      <c r="Z9" s="92">
        <v>39.043999999999997</v>
      </c>
      <c r="AA9" s="92">
        <f t="shared" si="4"/>
        <v>15.617599999999999</v>
      </c>
      <c r="AB9" s="92"/>
    </row>
    <row r="10" spans="1:32" x14ac:dyDescent="0.25">
      <c r="A10" s="95">
        <v>45384</v>
      </c>
      <c r="B10" s="72" t="s">
        <v>442</v>
      </c>
      <c r="C10" s="72" t="s">
        <v>8</v>
      </c>
      <c r="D10" s="72" t="s">
        <v>16</v>
      </c>
      <c r="E10" s="72" t="s">
        <v>82</v>
      </c>
      <c r="F10" s="72">
        <v>1</v>
      </c>
      <c r="G10" s="73">
        <f t="shared" si="5"/>
        <v>80</v>
      </c>
      <c r="H10" s="73">
        <f t="shared" si="0"/>
        <v>80</v>
      </c>
      <c r="I10" s="73">
        <f t="shared" si="1"/>
        <v>80</v>
      </c>
      <c r="J10" s="72" t="s">
        <v>83</v>
      </c>
      <c r="K10" s="74"/>
      <c r="M10" s="99"/>
      <c r="N10" s="80" t="e">
        <f t="shared" si="2"/>
        <v>#N/A</v>
      </c>
      <c r="O10" s="80"/>
      <c r="P10" s="100"/>
      <c r="S10" s="50" t="s">
        <v>99</v>
      </c>
      <c r="T10" s="52">
        <v>40</v>
      </c>
      <c r="U10" s="52">
        <f t="shared" si="3"/>
        <v>16</v>
      </c>
      <c r="Y10" s="91" t="s">
        <v>100</v>
      </c>
      <c r="Z10" s="92">
        <v>38.003999999999998</v>
      </c>
      <c r="AA10" s="92">
        <f t="shared" si="4"/>
        <v>15.201599999999999</v>
      </c>
      <c r="AB10" s="92"/>
    </row>
    <row r="11" spans="1:32" x14ac:dyDescent="0.25">
      <c r="A11" s="95">
        <v>45384</v>
      </c>
      <c r="B11" s="72" t="s">
        <v>442</v>
      </c>
      <c r="C11" s="72" t="s">
        <v>8</v>
      </c>
      <c r="D11" s="72" t="s">
        <v>25</v>
      </c>
      <c r="E11" s="72" t="s">
        <v>82</v>
      </c>
      <c r="F11" s="72">
        <v>1</v>
      </c>
      <c r="G11" s="73">
        <f t="shared" si="5"/>
        <v>30</v>
      </c>
      <c r="H11" s="73">
        <f t="shared" si="0"/>
        <v>30</v>
      </c>
      <c r="I11" s="73">
        <f t="shared" si="1"/>
        <v>30</v>
      </c>
      <c r="J11" s="72" t="s">
        <v>83</v>
      </c>
      <c r="K11" s="74"/>
      <c r="M11" s="99"/>
      <c r="N11" s="80" t="e">
        <f t="shared" si="2"/>
        <v>#N/A</v>
      </c>
      <c r="O11" s="80"/>
      <c r="P11" s="100"/>
      <c r="S11" s="50" t="s">
        <v>13</v>
      </c>
      <c r="T11" s="52">
        <v>30</v>
      </c>
      <c r="U11" s="52">
        <f t="shared" si="3"/>
        <v>12</v>
      </c>
      <c r="Y11" s="91" t="s">
        <v>102</v>
      </c>
      <c r="Z11" s="92">
        <v>30</v>
      </c>
      <c r="AA11" s="92">
        <f t="shared" si="4"/>
        <v>12</v>
      </c>
      <c r="AB11" s="92"/>
    </row>
    <row r="12" spans="1:32" x14ac:dyDescent="0.25">
      <c r="A12" s="95">
        <v>45384</v>
      </c>
      <c r="B12" s="72" t="s">
        <v>236</v>
      </c>
      <c r="C12" s="72" t="s">
        <v>8</v>
      </c>
      <c r="D12" s="72" t="s">
        <v>16</v>
      </c>
      <c r="E12" s="72" t="s">
        <v>56</v>
      </c>
      <c r="F12" s="72">
        <v>1</v>
      </c>
      <c r="G12" s="73">
        <f t="shared" si="5"/>
        <v>80</v>
      </c>
      <c r="H12" s="73">
        <f t="shared" si="0"/>
        <v>80</v>
      </c>
      <c r="I12" s="73">
        <f t="shared" si="1"/>
        <v>80</v>
      </c>
      <c r="J12" s="72" t="s">
        <v>83</v>
      </c>
      <c r="K12" s="74"/>
      <c r="M12" s="99" t="s">
        <v>16</v>
      </c>
      <c r="N12" s="80">
        <f t="shared" si="2"/>
        <v>32</v>
      </c>
      <c r="O12" s="80">
        <f>N12*F12</f>
        <v>32</v>
      </c>
      <c r="P12" s="100" t="s">
        <v>56</v>
      </c>
      <c r="S12" s="50" t="s">
        <v>104</v>
      </c>
      <c r="T12" s="52">
        <v>60</v>
      </c>
      <c r="U12" s="52">
        <f t="shared" si="3"/>
        <v>24</v>
      </c>
      <c r="Y12" s="91" t="s">
        <v>105</v>
      </c>
      <c r="Z12" s="92">
        <v>30</v>
      </c>
      <c r="AA12" s="92">
        <f t="shared" si="4"/>
        <v>12</v>
      </c>
      <c r="AB12" s="92"/>
    </row>
    <row r="13" spans="1:32" x14ac:dyDescent="0.25">
      <c r="A13" s="95">
        <v>45384</v>
      </c>
      <c r="B13" s="72" t="s">
        <v>204</v>
      </c>
      <c r="C13" s="72" t="s">
        <v>8</v>
      </c>
      <c r="D13" s="72" t="s">
        <v>17</v>
      </c>
      <c r="E13" s="72" t="s">
        <v>82</v>
      </c>
      <c r="F13" s="72">
        <v>1</v>
      </c>
      <c r="G13" s="73">
        <f t="shared" si="5"/>
        <v>50</v>
      </c>
      <c r="H13" s="73">
        <f t="shared" si="0"/>
        <v>50</v>
      </c>
      <c r="I13" s="73">
        <f t="shared" si="1"/>
        <v>50</v>
      </c>
      <c r="J13" s="72" t="s">
        <v>79</v>
      </c>
      <c r="K13" s="74"/>
      <c r="M13" s="99"/>
      <c r="N13" s="80" t="e">
        <f t="shared" si="2"/>
        <v>#N/A</v>
      </c>
      <c r="O13" s="80"/>
      <c r="P13" s="100"/>
      <c r="S13" s="50" t="s">
        <v>106</v>
      </c>
      <c r="T13" s="52">
        <v>15</v>
      </c>
      <c r="U13" s="52">
        <f t="shared" si="3"/>
        <v>6</v>
      </c>
      <c r="Y13" s="91" t="s">
        <v>107</v>
      </c>
      <c r="Z13" s="92">
        <v>29.283000000000001</v>
      </c>
      <c r="AA13" s="92">
        <f t="shared" si="4"/>
        <v>11.713200000000001</v>
      </c>
      <c r="AB13" s="92"/>
    </row>
    <row r="14" spans="1:32" x14ac:dyDescent="0.25">
      <c r="A14" s="95">
        <v>45385</v>
      </c>
      <c r="B14" s="72" t="s">
        <v>443</v>
      </c>
      <c r="C14" s="72" t="s">
        <v>8</v>
      </c>
      <c r="D14" s="72" t="s">
        <v>18</v>
      </c>
      <c r="E14" s="72" t="s">
        <v>82</v>
      </c>
      <c r="F14" s="72">
        <v>1</v>
      </c>
      <c r="G14" s="73">
        <f t="shared" si="5"/>
        <v>40</v>
      </c>
      <c r="H14" s="73">
        <f t="shared" si="0"/>
        <v>40</v>
      </c>
      <c r="I14" s="73">
        <f t="shared" si="1"/>
        <v>40</v>
      </c>
      <c r="J14" s="72" t="s">
        <v>83</v>
      </c>
      <c r="K14" s="74"/>
      <c r="M14" s="99"/>
      <c r="N14" s="80" t="e">
        <f t="shared" si="2"/>
        <v>#N/A</v>
      </c>
      <c r="O14" s="80"/>
      <c r="P14" s="100"/>
      <c r="S14" s="50" t="s">
        <v>15</v>
      </c>
      <c r="T14" s="52">
        <v>70</v>
      </c>
      <c r="U14" s="52">
        <f t="shared" si="3"/>
        <v>28</v>
      </c>
      <c r="Y14" s="91" t="s">
        <v>108</v>
      </c>
      <c r="Z14" s="92">
        <v>28.503</v>
      </c>
      <c r="AA14" s="92">
        <f t="shared" si="4"/>
        <v>11.401200000000001</v>
      </c>
      <c r="AB14" s="92"/>
    </row>
    <row r="15" spans="1:32" x14ac:dyDescent="0.25">
      <c r="A15" s="95">
        <v>45385</v>
      </c>
      <c r="B15" s="72" t="s">
        <v>444</v>
      </c>
      <c r="C15" s="72" t="s">
        <v>8</v>
      </c>
      <c r="D15" s="72" t="s">
        <v>18</v>
      </c>
      <c r="E15" s="72" t="s">
        <v>82</v>
      </c>
      <c r="F15" s="72">
        <v>1</v>
      </c>
      <c r="G15" s="73">
        <f t="shared" si="5"/>
        <v>40</v>
      </c>
      <c r="H15" s="73">
        <f t="shared" si="0"/>
        <v>40</v>
      </c>
      <c r="I15" s="73">
        <f t="shared" si="1"/>
        <v>39.043999999999997</v>
      </c>
      <c r="J15" s="72" t="s">
        <v>78</v>
      </c>
      <c r="K15" s="74"/>
      <c r="M15" s="99"/>
      <c r="N15" s="80" t="e">
        <f t="shared" si="2"/>
        <v>#N/A</v>
      </c>
      <c r="O15" s="80"/>
      <c r="P15" s="100"/>
      <c r="S15" s="50" t="s">
        <v>40</v>
      </c>
      <c r="T15" s="52">
        <v>45</v>
      </c>
      <c r="U15" s="52">
        <f t="shared" si="3"/>
        <v>18</v>
      </c>
      <c r="Y15" s="91" t="s">
        <v>110</v>
      </c>
      <c r="Z15" s="92">
        <v>5</v>
      </c>
      <c r="AA15" s="92">
        <f t="shared" si="4"/>
        <v>2</v>
      </c>
      <c r="AB15" s="92"/>
    </row>
    <row r="16" spans="1:32" x14ac:dyDescent="0.25">
      <c r="A16" s="95">
        <v>45385</v>
      </c>
      <c r="B16" s="72" t="s">
        <v>444</v>
      </c>
      <c r="C16" s="72" t="s">
        <v>8</v>
      </c>
      <c r="D16" s="72" t="s">
        <v>23</v>
      </c>
      <c r="E16" s="72" t="s">
        <v>82</v>
      </c>
      <c r="F16" s="72">
        <v>1</v>
      </c>
      <c r="G16" s="73">
        <f t="shared" si="5"/>
        <v>5</v>
      </c>
      <c r="H16" s="73">
        <f t="shared" si="0"/>
        <v>5</v>
      </c>
      <c r="I16" s="73">
        <f t="shared" si="1"/>
        <v>4.8804999999999996</v>
      </c>
      <c r="J16" s="72" t="s">
        <v>78</v>
      </c>
      <c r="K16" s="74"/>
      <c r="M16" s="99"/>
      <c r="N16" s="80" t="e">
        <f t="shared" si="2"/>
        <v>#N/A</v>
      </c>
      <c r="O16" s="80"/>
      <c r="P16" s="100"/>
      <c r="S16" s="50" t="s">
        <v>17</v>
      </c>
      <c r="T16" s="52">
        <v>50</v>
      </c>
      <c r="U16" s="52">
        <f t="shared" si="3"/>
        <v>20</v>
      </c>
      <c r="Y16" s="91" t="s">
        <v>113</v>
      </c>
      <c r="Z16" s="92">
        <v>5</v>
      </c>
      <c r="AA16" s="92">
        <f t="shared" si="4"/>
        <v>2</v>
      </c>
      <c r="AB16" s="92"/>
    </row>
    <row r="17" spans="1:28" x14ac:dyDescent="0.25">
      <c r="A17" s="95">
        <v>45385</v>
      </c>
      <c r="B17" s="72" t="s">
        <v>445</v>
      </c>
      <c r="C17" s="72" t="s">
        <v>8</v>
      </c>
      <c r="D17" s="72" t="s">
        <v>17</v>
      </c>
      <c r="E17" s="72" t="s">
        <v>82</v>
      </c>
      <c r="F17" s="72">
        <v>1</v>
      </c>
      <c r="G17" s="73">
        <f t="shared" si="5"/>
        <v>50</v>
      </c>
      <c r="H17" s="73">
        <f t="shared" si="0"/>
        <v>50</v>
      </c>
      <c r="I17" s="73">
        <f t="shared" si="1"/>
        <v>48.805</v>
      </c>
      <c r="J17" s="72" t="s">
        <v>78</v>
      </c>
      <c r="K17" s="74"/>
      <c r="M17" s="99"/>
      <c r="N17" s="80" t="e">
        <f t="shared" si="2"/>
        <v>#N/A</v>
      </c>
      <c r="O17" s="80"/>
      <c r="P17" s="100"/>
      <c r="S17" s="50" t="s">
        <v>112</v>
      </c>
      <c r="T17" s="52">
        <v>75</v>
      </c>
      <c r="U17" s="52">
        <f t="shared" si="3"/>
        <v>30</v>
      </c>
      <c r="Y17" s="91" t="s">
        <v>115</v>
      </c>
      <c r="Z17" s="92">
        <v>4.8804999999999996</v>
      </c>
      <c r="AA17" s="92">
        <f t="shared" si="4"/>
        <v>1.9521999999999999</v>
      </c>
      <c r="AB17" s="92"/>
    </row>
    <row r="18" spans="1:28" x14ac:dyDescent="0.25">
      <c r="A18" s="95">
        <v>45385</v>
      </c>
      <c r="B18" s="72" t="s">
        <v>443</v>
      </c>
      <c r="C18" s="72" t="s">
        <v>8</v>
      </c>
      <c r="D18" s="72" t="s">
        <v>18</v>
      </c>
      <c r="E18" s="72" t="s">
        <v>82</v>
      </c>
      <c r="F18" s="72">
        <v>1</v>
      </c>
      <c r="G18" s="73">
        <f t="shared" si="5"/>
        <v>40</v>
      </c>
      <c r="H18" s="73">
        <f t="shared" si="0"/>
        <v>40</v>
      </c>
      <c r="I18" s="73">
        <f t="shared" si="1"/>
        <v>40</v>
      </c>
      <c r="J18" s="72" t="s">
        <v>83</v>
      </c>
      <c r="K18" s="74"/>
      <c r="M18" s="99"/>
      <c r="N18" s="80" t="e">
        <f t="shared" si="2"/>
        <v>#N/A</v>
      </c>
      <c r="O18" s="80"/>
      <c r="P18" s="100"/>
      <c r="S18" s="50" t="s">
        <v>14</v>
      </c>
      <c r="T18" s="52">
        <v>55</v>
      </c>
      <c r="U18" s="52">
        <f t="shared" si="3"/>
        <v>22</v>
      </c>
      <c r="Y18" s="91" t="s">
        <v>117</v>
      </c>
      <c r="Z18" s="92">
        <v>4.7504999999999997</v>
      </c>
      <c r="AA18" s="92">
        <f t="shared" si="4"/>
        <v>1.9001999999999999</v>
      </c>
    </row>
    <row r="19" spans="1:28" x14ac:dyDescent="0.25">
      <c r="A19" s="95">
        <v>45385</v>
      </c>
      <c r="B19" s="72" t="s">
        <v>443</v>
      </c>
      <c r="C19" s="72" t="s">
        <v>8</v>
      </c>
      <c r="D19" s="72" t="s">
        <v>31</v>
      </c>
      <c r="E19" s="72" t="s">
        <v>82</v>
      </c>
      <c r="F19" s="72">
        <v>1</v>
      </c>
      <c r="G19" s="73">
        <f t="shared" si="5"/>
        <v>15</v>
      </c>
      <c r="H19" s="73">
        <f t="shared" si="0"/>
        <v>15</v>
      </c>
      <c r="I19" s="73">
        <f t="shared" si="1"/>
        <v>15</v>
      </c>
      <c r="J19" s="72" t="s">
        <v>83</v>
      </c>
      <c r="K19" s="74"/>
      <c r="M19" s="99"/>
      <c r="N19" s="80" t="e">
        <f t="shared" si="2"/>
        <v>#N/A</v>
      </c>
      <c r="O19" s="80"/>
      <c r="P19" s="100"/>
      <c r="S19" s="50" t="s">
        <v>58</v>
      </c>
      <c r="T19" s="52">
        <v>100</v>
      </c>
      <c r="U19" s="52">
        <f t="shared" si="3"/>
        <v>40</v>
      </c>
      <c r="Y19" s="91" t="s">
        <v>119</v>
      </c>
      <c r="Z19" s="92">
        <v>10</v>
      </c>
      <c r="AA19" s="92">
        <f t="shared" si="4"/>
        <v>4</v>
      </c>
    </row>
    <row r="20" spans="1:28" x14ac:dyDescent="0.25">
      <c r="A20" s="95">
        <v>45386</v>
      </c>
      <c r="B20" s="72" t="s">
        <v>308</v>
      </c>
      <c r="C20" s="72" t="s">
        <v>10</v>
      </c>
      <c r="D20" s="72" t="s">
        <v>18</v>
      </c>
      <c r="E20" s="72" t="s">
        <v>56</v>
      </c>
      <c r="F20" s="72">
        <v>1</v>
      </c>
      <c r="G20" s="73">
        <f t="shared" si="5"/>
        <v>40</v>
      </c>
      <c r="H20" s="73">
        <f t="shared" si="0"/>
        <v>40</v>
      </c>
      <c r="I20" s="73">
        <f t="shared" si="1"/>
        <v>40</v>
      </c>
      <c r="J20" s="72" t="s">
        <v>83</v>
      </c>
      <c r="K20" s="74"/>
      <c r="M20" s="99" t="s">
        <v>18</v>
      </c>
      <c r="N20" s="80">
        <f t="shared" si="2"/>
        <v>16</v>
      </c>
      <c r="O20" s="80">
        <f>N20*F20</f>
        <v>16</v>
      </c>
      <c r="P20" s="100" t="s">
        <v>56</v>
      </c>
      <c r="S20" s="50" t="s">
        <v>30</v>
      </c>
      <c r="T20" s="52">
        <v>90</v>
      </c>
      <c r="U20" s="52">
        <f t="shared" si="3"/>
        <v>36</v>
      </c>
      <c r="Y20" s="91" t="s">
        <v>122</v>
      </c>
      <c r="Z20" s="92">
        <v>10</v>
      </c>
      <c r="AA20" s="92">
        <f t="shared" si="4"/>
        <v>4</v>
      </c>
    </row>
    <row r="21" spans="1:28" x14ac:dyDescent="0.25">
      <c r="A21" s="95">
        <v>45386</v>
      </c>
      <c r="B21" s="72" t="s">
        <v>446</v>
      </c>
      <c r="C21" s="72" t="s">
        <v>8</v>
      </c>
      <c r="D21" s="72" t="s">
        <v>30</v>
      </c>
      <c r="E21" s="72" t="s">
        <v>82</v>
      </c>
      <c r="F21" s="72">
        <v>1</v>
      </c>
      <c r="G21" s="73">
        <f t="shared" si="5"/>
        <v>90</v>
      </c>
      <c r="H21" s="73">
        <f t="shared" si="0"/>
        <v>90</v>
      </c>
      <c r="I21" s="73">
        <f t="shared" si="1"/>
        <v>85.509</v>
      </c>
      <c r="J21" s="72" t="s">
        <v>86</v>
      </c>
      <c r="K21" s="74"/>
      <c r="M21" s="99"/>
      <c r="N21" s="80" t="e">
        <f t="shared" si="2"/>
        <v>#N/A</v>
      </c>
      <c r="O21" s="80"/>
      <c r="P21" s="100"/>
      <c r="S21" s="50" t="s">
        <v>447</v>
      </c>
      <c r="T21" s="52">
        <v>180</v>
      </c>
      <c r="U21" s="52">
        <f t="shared" si="3"/>
        <v>72</v>
      </c>
      <c r="Y21" s="91" t="s">
        <v>123</v>
      </c>
      <c r="Z21" s="92">
        <v>9.7609999999999992</v>
      </c>
      <c r="AA21" s="92">
        <f t="shared" si="4"/>
        <v>3.9043999999999999</v>
      </c>
    </row>
    <row r="22" spans="1:28" x14ac:dyDescent="0.25">
      <c r="A22" s="95">
        <v>45386</v>
      </c>
      <c r="B22" s="72" t="s">
        <v>446</v>
      </c>
      <c r="C22" s="72" t="s">
        <v>8</v>
      </c>
      <c r="D22" s="72" t="s">
        <v>34</v>
      </c>
      <c r="E22" s="72" t="s">
        <v>82</v>
      </c>
      <c r="F22" s="72">
        <v>1</v>
      </c>
      <c r="G22" s="73">
        <f t="shared" si="5"/>
        <v>10</v>
      </c>
      <c r="H22" s="73">
        <f t="shared" si="0"/>
        <v>10</v>
      </c>
      <c r="I22" s="73">
        <f t="shared" si="1"/>
        <v>9.5009999999999994</v>
      </c>
      <c r="J22" s="72" t="s">
        <v>86</v>
      </c>
      <c r="K22" s="74"/>
      <c r="M22" s="99"/>
      <c r="N22" s="80" t="e">
        <f t="shared" si="2"/>
        <v>#N/A</v>
      </c>
      <c r="O22" s="80"/>
      <c r="P22" s="100"/>
      <c r="S22" s="50" t="s">
        <v>43</v>
      </c>
      <c r="T22" s="52">
        <v>130</v>
      </c>
      <c r="U22" s="52">
        <f t="shared" si="3"/>
        <v>52</v>
      </c>
      <c r="Y22" s="91" t="s">
        <v>125</v>
      </c>
      <c r="Z22" s="92">
        <v>9.5009999999999994</v>
      </c>
      <c r="AA22" s="92">
        <f t="shared" si="4"/>
        <v>3.8003999999999998</v>
      </c>
      <c r="AB22" s="92"/>
    </row>
    <row r="23" spans="1:28" x14ac:dyDescent="0.25">
      <c r="A23" s="95">
        <v>45386</v>
      </c>
      <c r="B23" s="72" t="s">
        <v>448</v>
      </c>
      <c r="C23" s="72" t="s">
        <v>8</v>
      </c>
      <c r="D23" s="72" t="s">
        <v>18</v>
      </c>
      <c r="E23" s="72" t="s">
        <v>82</v>
      </c>
      <c r="F23" s="72">
        <v>1</v>
      </c>
      <c r="G23" s="73">
        <f t="shared" si="5"/>
        <v>40</v>
      </c>
      <c r="H23" s="73">
        <f t="shared" si="0"/>
        <v>40</v>
      </c>
      <c r="I23" s="73">
        <f t="shared" si="1"/>
        <v>39.043999999999997</v>
      </c>
      <c r="J23" s="72" t="s">
        <v>78</v>
      </c>
      <c r="K23" s="74"/>
      <c r="M23" s="99"/>
      <c r="N23" s="80" t="e">
        <f t="shared" si="2"/>
        <v>#N/A</v>
      </c>
      <c r="O23" s="80"/>
      <c r="P23" s="100"/>
      <c r="S23" s="50" t="s">
        <v>449</v>
      </c>
      <c r="T23" s="52">
        <v>240</v>
      </c>
      <c r="U23" s="52">
        <f t="shared" si="3"/>
        <v>96</v>
      </c>
      <c r="Y23" s="91" t="s">
        <v>126</v>
      </c>
      <c r="Z23" s="92">
        <v>10</v>
      </c>
      <c r="AA23" s="92">
        <f t="shared" si="4"/>
        <v>4</v>
      </c>
      <c r="AB23" s="92"/>
    </row>
    <row r="24" spans="1:28" x14ac:dyDescent="0.25">
      <c r="A24" s="95">
        <v>45386</v>
      </c>
      <c r="B24" s="72" t="s">
        <v>448</v>
      </c>
      <c r="C24" s="72" t="s">
        <v>8</v>
      </c>
      <c r="D24" s="72" t="s">
        <v>23</v>
      </c>
      <c r="E24" s="72" t="s">
        <v>82</v>
      </c>
      <c r="F24" s="72">
        <v>1</v>
      </c>
      <c r="G24" s="73">
        <f t="shared" si="5"/>
        <v>5</v>
      </c>
      <c r="H24" s="73">
        <f t="shared" si="0"/>
        <v>5</v>
      </c>
      <c r="I24" s="73">
        <f t="shared" si="1"/>
        <v>4.8804999999999996</v>
      </c>
      <c r="J24" s="72" t="s">
        <v>78</v>
      </c>
      <c r="K24" s="74"/>
      <c r="M24" s="99"/>
      <c r="N24" s="80" t="e">
        <f t="shared" si="2"/>
        <v>#N/A</v>
      </c>
      <c r="O24" s="80"/>
      <c r="P24" s="100"/>
      <c r="S24" s="50" t="s">
        <v>16</v>
      </c>
      <c r="T24" s="52">
        <v>80</v>
      </c>
      <c r="U24" s="52">
        <f t="shared" si="3"/>
        <v>32</v>
      </c>
      <c r="Y24" s="91" t="s">
        <v>128</v>
      </c>
      <c r="Z24" s="92">
        <v>10</v>
      </c>
      <c r="AA24" s="92">
        <f t="shared" si="4"/>
        <v>4</v>
      </c>
    </row>
    <row r="25" spans="1:28" x14ac:dyDescent="0.25">
      <c r="A25" s="95">
        <v>45386</v>
      </c>
      <c r="B25" s="72" t="s">
        <v>414</v>
      </c>
      <c r="C25" s="72" t="s">
        <v>10</v>
      </c>
      <c r="D25" s="72" t="s">
        <v>18</v>
      </c>
      <c r="E25" s="72" t="s">
        <v>56</v>
      </c>
      <c r="F25" s="72">
        <v>2</v>
      </c>
      <c r="G25" s="73">
        <f t="shared" si="5"/>
        <v>40</v>
      </c>
      <c r="H25" s="73">
        <f t="shared" si="0"/>
        <v>80</v>
      </c>
      <c r="I25" s="73">
        <f t="shared" si="1"/>
        <v>80</v>
      </c>
      <c r="J25" s="72" t="s">
        <v>83</v>
      </c>
      <c r="K25" s="74"/>
      <c r="M25" s="99" t="s">
        <v>18</v>
      </c>
      <c r="N25" s="80">
        <f t="shared" si="2"/>
        <v>16</v>
      </c>
      <c r="O25" s="80">
        <f>N25*F25</f>
        <v>32</v>
      </c>
      <c r="P25" s="100" t="s">
        <v>56</v>
      </c>
      <c r="S25" s="50" t="s">
        <v>121</v>
      </c>
      <c r="T25" s="52">
        <v>130</v>
      </c>
      <c r="U25" s="52">
        <f t="shared" si="3"/>
        <v>52</v>
      </c>
      <c r="Y25" s="91" t="s">
        <v>130</v>
      </c>
      <c r="Z25" s="92">
        <v>9.7609999999999992</v>
      </c>
      <c r="AA25" s="92">
        <f t="shared" si="4"/>
        <v>3.9043999999999999</v>
      </c>
    </row>
    <row r="26" spans="1:28" x14ac:dyDescent="0.25">
      <c r="A26" s="95">
        <v>45386</v>
      </c>
      <c r="B26" s="72" t="s">
        <v>414</v>
      </c>
      <c r="C26" s="72" t="s">
        <v>10</v>
      </c>
      <c r="D26" s="72" t="s">
        <v>29</v>
      </c>
      <c r="E26" s="72" t="s">
        <v>56</v>
      </c>
      <c r="F26" s="72">
        <v>1</v>
      </c>
      <c r="G26" s="73">
        <f>VLOOKUP(D26,$S$3:$T$120,2,0)</f>
        <v>7</v>
      </c>
      <c r="H26" s="73">
        <f t="shared" si="0"/>
        <v>7</v>
      </c>
      <c r="I26" s="73">
        <f t="shared" si="1"/>
        <v>7</v>
      </c>
      <c r="J26" s="72" t="s">
        <v>83</v>
      </c>
      <c r="K26" s="74"/>
      <c r="M26" s="99" t="s">
        <v>29</v>
      </c>
      <c r="N26" s="80">
        <f t="shared" si="2"/>
        <v>0.70000000000000007</v>
      </c>
      <c r="O26" s="80">
        <f>N26*F26</f>
        <v>0.70000000000000007</v>
      </c>
      <c r="P26" s="100" t="s">
        <v>56</v>
      </c>
      <c r="S26" s="50" t="s">
        <v>60</v>
      </c>
      <c r="T26" s="52">
        <v>90</v>
      </c>
      <c r="U26" s="52">
        <f t="shared" si="3"/>
        <v>36</v>
      </c>
      <c r="Y26" s="91" t="s">
        <v>132</v>
      </c>
      <c r="Z26" s="92">
        <v>9.5009999999999994</v>
      </c>
      <c r="AA26" s="92">
        <f t="shared" si="4"/>
        <v>3.8003999999999998</v>
      </c>
    </row>
    <row r="27" spans="1:28" x14ac:dyDescent="0.25">
      <c r="A27" s="95">
        <v>45386</v>
      </c>
      <c r="B27" s="72" t="s">
        <v>414</v>
      </c>
      <c r="C27" s="72" t="s">
        <v>10</v>
      </c>
      <c r="D27" s="72" t="s">
        <v>35</v>
      </c>
      <c r="E27" s="72" t="s">
        <v>56</v>
      </c>
      <c r="F27" s="72">
        <v>1</v>
      </c>
      <c r="G27" s="73">
        <f>VLOOKUP(D27,$S$3:$T$120,2,0)</f>
        <v>7</v>
      </c>
      <c r="H27" s="73">
        <f t="shared" si="0"/>
        <v>7</v>
      </c>
      <c r="I27" s="73">
        <f t="shared" si="1"/>
        <v>7</v>
      </c>
      <c r="J27" s="72" t="s">
        <v>83</v>
      </c>
      <c r="K27" s="74"/>
      <c r="M27" s="99" t="s">
        <v>35</v>
      </c>
      <c r="N27" s="80">
        <f t="shared" si="2"/>
        <v>0.70000000000000007</v>
      </c>
      <c r="O27" s="80">
        <f>N27*F27</f>
        <v>0.70000000000000007</v>
      </c>
      <c r="P27" s="100" t="s">
        <v>56</v>
      </c>
      <c r="S27" s="50" t="s">
        <v>32</v>
      </c>
      <c r="T27" s="52">
        <v>50</v>
      </c>
      <c r="U27" s="52">
        <f t="shared" si="3"/>
        <v>20</v>
      </c>
      <c r="Y27" s="91" t="s">
        <v>134</v>
      </c>
      <c r="Z27" s="92">
        <v>20</v>
      </c>
      <c r="AA27" s="92">
        <f t="shared" si="4"/>
        <v>8</v>
      </c>
    </row>
    <row r="28" spans="1:28" x14ac:dyDescent="0.25">
      <c r="A28" s="95">
        <v>45386</v>
      </c>
      <c r="B28" s="72" t="s">
        <v>450</v>
      </c>
      <c r="C28" s="72" t="s">
        <v>8</v>
      </c>
      <c r="D28" s="72" t="s">
        <v>17</v>
      </c>
      <c r="E28" s="72" t="s">
        <v>82</v>
      </c>
      <c r="F28" s="72">
        <v>1</v>
      </c>
      <c r="G28" s="73">
        <f>VLOOKUP(D28,$S$3:$T$120,2,0)</f>
        <v>50</v>
      </c>
      <c r="H28" s="73">
        <f t="shared" si="0"/>
        <v>50</v>
      </c>
      <c r="I28" s="73">
        <f t="shared" si="1"/>
        <v>50</v>
      </c>
      <c r="J28" s="72" t="s">
        <v>83</v>
      </c>
      <c r="K28" s="74"/>
      <c r="M28" s="99"/>
      <c r="N28" s="80" t="e">
        <f t="shared" si="2"/>
        <v>#N/A</v>
      </c>
      <c r="O28" s="80"/>
      <c r="P28" s="100"/>
      <c r="S28" s="50" t="s">
        <v>20</v>
      </c>
      <c r="T28" s="52">
        <v>15</v>
      </c>
      <c r="U28" s="52">
        <f t="shared" si="3"/>
        <v>6</v>
      </c>
      <c r="Y28" s="91" t="s">
        <v>136</v>
      </c>
      <c r="Z28" s="92">
        <v>20</v>
      </c>
      <c r="AA28" s="92">
        <f t="shared" si="4"/>
        <v>8</v>
      </c>
      <c r="AB28" s="92"/>
    </row>
    <row r="29" spans="1:28" x14ac:dyDescent="0.25">
      <c r="A29" s="95">
        <v>45386</v>
      </c>
      <c r="B29" s="72" t="s">
        <v>451</v>
      </c>
      <c r="C29" s="72" t="s">
        <v>8</v>
      </c>
      <c r="D29" s="72" t="s">
        <v>18</v>
      </c>
      <c r="E29" s="72" t="s">
        <v>82</v>
      </c>
      <c r="F29" s="72">
        <v>1</v>
      </c>
      <c r="G29" s="73">
        <f>VLOOKUP(D29,$S$3:$T$120,2,0)</f>
        <v>40</v>
      </c>
      <c r="H29" s="73">
        <f t="shared" si="0"/>
        <v>40</v>
      </c>
      <c r="I29" s="73">
        <f t="shared" si="1"/>
        <v>40</v>
      </c>
      <c r="J29" s="72" t="s">
        <v>83</v>
      </c>
      <c r="K29" s="74"/>
      <c r="M29" s="99"/>
      <c r="N29" s="80" t="e">
        <f t="shared" si="2"/>
        <v>#N/A</v>
      </c>
      <c r="O29" s="80"/>
      <c r="P29" s="100"/>
      <c r="S29" s="50" t="s">
        <v>31</v>
      </c>
      <c r="T29" s="52">
        <v>15</v>
      </c>
      <c r="U29" s="52">
        <f t="shared" si="3"/>
        <v>6</v>
      </c>
      <c r="Y29" s="91" t="s">
        <v>137</v>
      </c>
      <c r="Z29" s="92">
        <v>19.521999999999998</v>
      </c>
      <c r="AA29" s="92">
        <f t="shared" si="4"/>
        <v>7.8087999999999997</v>
      </c>
      <c r="AB29" s="92"/>
    </row>
    <row r="30" spans="1:28" x14ac:dyDescent="0.25">
      <c r="A30" s="95">
        <v>45386</v>
      </c>
      <c r="B30" s="72" t="s">
        <v>452</v>
      </c>
      <c r="C30" s="72" t="s">
        <v>8</v>
      </c>
      <c r="D30" s="72" t="s">
        <v>23</v>
      </c>
      <c r="E30" s="72" t="s">
        <v>82</v>
      </c>
      <c r="F30" s="72">
        <v>1</v>
      </c>
      <c r="G30" s="73">
        <f>VLOOKUP(D30,$S$3:$T$120,2,0)</f>
        <v>5</v>
      </c>
      <c r="H30" s="73">
        <f t="shared" si="0"/>
        <v>5</v>
      </c>
      <c r="I30" s="73">
        <f t="shared" si="1"/>
        <v>5</v>
      </c>
      <c r="J30" s="72" t="s">
        <v>83</v>
      </c>
      <c r="K30" s="74"/>
      <c r="M30" s="99"/>
      <c r="N30" s="80" t="e">
        <f t="shared" si="2"/>
        <v>#N/A</v>
      </c>
      <c r="O30" s="80"/>
      <c r="P30" s="100"/>
      <c r="S30" s="50" t="s">
        <v>25</v>
      </c>
      <c r="T30" s="52">
        <v>30</v>
      </c>
      <c r="U30" s="52">
        <f t="shared" si="3"/>
        <v>12</v>
      </c>
      <c r="Y30" s="91" t="s">
        <v>139</v>
      </c>
      <c r="Z30" s="92">
        <v>19.001999999999999</v>
      </c>
      <c r="AA30" s="92">
        <f t="shared" si="4"/>
        <v>7.6007999999999996</v>
      </c>
      <c r="AB30" s="92"/>
    </row>
    <row r="31" spans="1:28" x14ac:dyDescent="0.25">
      <c r="A31" s="95">
        <v>45386</v>
      </c>
      <c r="B31" s="72" t="s">
        <v>453</v>
      </c>
      <c r="C31" s="72" t="s">
        <v>8</v>
      </c>
      <c r="D31" s="72" t="s">
        <v>19</v>
      </c>
      <c r="E31" s="72" t="s">
        <v>82</v>
      </c>
      <c r="F31" s="72">
        <v>1</v>
      </c>
      <c r="G31" s="73">
        <v>30</v>
      </c>
      <c r="H31" s="73">
        <f t="shared" si="0"/>
        <v>30</v>
      </c>
      <c r="I31" s="73">
        <f t="shared" si="1"/>
        <v>30</v>
      </c>
      <c r="J31" s="72" t="s">
        <v>83</v>
      </c>
      <c r="K31" s="74"/>
      <c r="M31" s="99"/>
      <c r="N31" s="80" t="e">
        <f t="shared" si="2"/>
        <v>#N/A</v>
      </c>
      <c r="O31" s="80"/>
      <c r="P31" s="100"/>
      <c r="S31" s="50" t="s">
        <v>131</v>
      </c>
      <c r="T31" s="52">
        <v>30</v>
      </c>
      <c r="U31" s="52">
        <f t="shared" ref="U31:U60" si="6">T31*0.1</f>
        <v>3</v>
      </c>
      <c r="Y31" s="91" t="s">
        <v>141</v>
      </c>
      <c r="Z31" s="92">
        <v>40</v>
      </c>
      <c r="AA31" s="92">
        <f t="shared" si="4"/>
        <v>16</v>
      </c>
    </row>
    <row r="32" spans="1:28" x14ac:dyDescent="0.25">
      <c r="A32" s="95">
        <v>45386</v>
      </c>
      <c r="B32" s="72" t="s">
        <v>448</v>
      </c>
      <c r="C32" s="72" t="s">
        <v>8</v>
      </c>
      <c r="D32" s="72" t="s">
        <v>16</v>
      </c>
      <c r="E32" s="72" t="s">
        <v>82</v>
      </c>
      <c r="F32" s="72">
        <v>1</v>
      </c>
      <c r="G32" s="73">
        <f>VLOOKUP(D32,$S$3:$T$120,2,0)</f>
        <v>80</v>
      </c>
      <c r="H32" s="73">
        <f t="shared" si="0"/>
        <v>80</v>
      </c>
      <c r="I32" s="73">
        <f t="shared" si="1"/>
        <v>80</v>
      </c>
      <c r="J32" s="72" t="s">
        <v>83</v>
      </c>
      <c r="K32" s="74"/>
      <c r="M32" s="99"/>
      <c r="N32" s="80" t="e">
        <f t="shared" si="2"/>
        <v>#N/A</v>
      </c>
      <c r="O32" s="80"/>
      <c r="P32" s="100"/>
      <c r="S32" s="50" t="s">
        <v>64</v>
      </c>
      <c r="T32" s="52">
        <v>30</v>
      </c>
      <c r="U32" s="52">
        <f t="shared" si="6"/>
        <v>3</v>
      </c>
      <c r="Y32" s="91" t="s">
        <v>144</v>
      </c>
      <c r="Z32" s="92">
        <v>40</v>
      </c>
      <c r="AA32" s="92">
        <f t="shared" si="4"/>
        <v>16</v>
      </c>
    </row>
    <row r="33" spans="1:27" x14ac:dyDescent="0.25">
      <c r="A33" s="95">
        <v>45386</v>
      </c>
      <c r="B33" s="72" t="s">
        <v>448</v>
      </c>
      <c r="C33" s="72" t="s">
        <v>8</v>
      </c>
      <c r="D33" s="72" t="s">
        <v>33</v>
      </c>
      <c r="E33" s="72" t="s">
        <v>82</v>
      </c>
      <c r="F33" s="72">
        <v>1</v>
      </c>
      <c r="G33" s="73">
        <f>VLOOKUP(D33,$S$3:$T$120,2,0)</f>
        <v>35</v>
      </c>
      <c r="H33" s="73">
        <f t="shared" si="0"/>
        <v>35</v>
      </c>
      <c r="I33" s="73">
        <f t="shared" si="1"/>
        <v>35</v>
      </c>
      <c r="J33" s="72" t="s">
        <v>83</v>
      </c>
      <c r="K33" s="74"/>
      <c r="M33" s="99"/>
      <c r="N33" s="80" t="e">
        <f t="shared" si="2"/>
        <v>#N/A</v>
      </c>
      <c r="O33" s="80"/>
      <c r="P33" s="100"/>
      <c r="S33" s="50" t="s">
        <v>97</v>
      </c>
      <c r="T33" s="52">
        <v>30</v>
      </c>
      <c r="U33" s="52">
        <f t="shared" si="6"/>
        <v>3</v>
      </c>
      <c r="Y33" s="91" t="s">
        <v>146</v>
      </c>
      <c r="Z33" s="92">
        <v>39.043999999999997</v>
      </c>
      <c r="AA33" s="92">
        <f t="shared" si="4"/>
        <v>15.617599999999999</v>
      </c>
    </row>
    <row r="34" spans="1:27" x14ac:dyDescent="0.25">
      <c r="A34" s="95">
        <v>45386</v>
      </c>
      <c r="B34" s="72" t="s">
        <v>448</v>
      </c>
      <c r="C34" s="72" t="s">
        <v>8</v>
      </c>
      <c r="D34" s="72" t="s">
        <v>26</v>
      </c>
      <c r="E34" s="72" t="s">
        <v>82</v>
      </c>
      <c r="F34" s="72">
        <v>1</v>
      </c>
      <c r="G34" s="73">
        <f>VLOOKUP(D34,$S$3:$T$120,2,0)</f>
        <v>35</v>
      </c>
      <c r="H34" s="73">
        <f t="shared" si="0"/>
        <v>35</v>
      </c>
      <c r="I34" s="73">
        <f t="shared" si="1"/>
        <v>35</v>
      </c>
      <c r="J34" s="72" t="s">
        <v>83</v>
      </c>
      <c r="K34" s="74"/>
      <c r="M34" s="99"/>
      <c r="N34" s="80" t="e">
        <f t="shared" si="2"/>
        <v>#N/A</v>
      </c>
      <c r="O34" s="80"/>
      <c r="P34" s="100"/>
      <c r="S34" s="50" t="s">
        <v>39</v>
      </c>
      <c r="T34" s="52">
        <v>10</v>
      </c>
      <c r="U34" s="52">
        <f t="shared" si="6"/>
        <v>1</v>
      </c>
      <c r="Y34" s="91" t="s">
        <v>148</v>
      </c>
      <c r="Z34" s="92">
        <v>38.003999999999998</v>
      </c>
      <c r="AA34" s="92">
        <f t="shared" si="4"/>
        <v>15.201599999999999</v>
      </c>
    </row>
    <row r="35" spans="1:27" x14ac:dyDescent="0.25">
      <c r="A35" s="95">
        <v>45386</v>
      </c>
      <c r="B35" s="72" t="s">
        <v>448</v>
      </c>
      <c r="C35" s="72" t="s">
        <v>8</v>
      </c>
      <c r="D35" s="72" t="s">
        <v>35</v>
      </c>
      <c r="E35" s="72" t="s">
        <v>82</v>
      </c>
      <c r="F35" s="72">
        <v>2</v>
      </c>
      <c r="G35" s="73">
        <v>5</v>
      </c>
      <c r="H35" s="73">
        <f t="shared" si="0"/>
        <v>10</v>
      </c>
      <c r="I35" s="73">
        <f t="shared" si="1"/>
        <v>10</v>
      </c>
      <c r="J35" s="72" t="s">
        <v>83</v>
      </c>
      <c r="K35" s="74"/>
      <c r="M35" s="99"/>
      <c r="N35" s="80" t="e">
        <f t="shared" si="2"/>
        <v>#N/A</v>
      </c>
      <c r="O35" s="80"/>
      <c r="P35" s="100"/>
      <c r="S35" s="50" t="s">
        <v>63</v>
      </c>
      <c r="T35" s="52">
        <v>20</v>
      </c>
      <c r="U35" s="52">
        <f t="shared" si="6"/>
        <v>2</v>
      </c>
      <c r="Y35" s="91" t="s">
        <v>150</v>
      </c>
      <c r="Z35" s="92">
        <v>30</v>
      </c>
      <c r="AA35" s="92">
        <f t="shared" ref="AA35:AA66" si="7">Z35*0.4</f>
        <v>12</v>
      </c>
    </row>
    <row r="36" spans="1:27" x14ac:dyDescent="0.25">
      <c r="A36" s="95">
        <v>45386</v>
      </c>
      <c r="B36" s="72" t="s">
        <v>454</v>
      </c>
      <c r="C36" s="72" t="s">
        <v>10</v>
      </c>
      <c r="D36" s="72" t="s">
        <v>18</v>
      </c>
      <c r="E36" s="72" t="s">
        <v>56</v>
      </c>
      <c r="F36" s="72">
        <v>1</v>
      </c>
      <c r="G36" s="73">
        <f t="shared" ref="G36:G48" si="8">VLOOKUP(D36,$S$3:$T$120,2,0)</f>
        <v>40</v>
      </c>
      <c r="H36" s="73">
        <f t="shared" si="0"/>
        <v>40</v>
      </c>
      <c r="I36" s="73">
        <f t="shared" si="1"/>
        <v>39.043999999999997</v>
      </c>
      <c r="J36" s="72" t="s">
        <v>78</v>
      </c>
      <c r="K36" s="74"/>
      <c r="M36" s="99" t="s">
        <v>18</v>
      </c>
      <c r="N36" s="80">
        <f t="shared" si="2"/>
        <v>16</v>
      </c>
      <c r="O36" s="80">
        <f>N36*F36</f>
        <v>16</v>
      </c>
      <c r="P36" s="100" t="s">
        <v>56</v>
      </c>
      <c r="S36" s="50" t="s">
        <v>34</v>
      </c>
      <c r="T36" s="52">
        <v>10</v>
      </c>
      <c r="U36" s="52">
        <f t="shared" si="6"/>
        <v>1</v>
      </c>
      <c r="Y36" s="91" t="s">
        <v>153</v>
      </c>
      <c r="Z36" s="92">
        <v>30</v>
      </c>
      <c r="AA36" s="92">
        <f t="shared" si="7"/>
        <v>12</v>
      </c>
    </row>
    <row r="37" spans="1:27" x14ac:dyDescent="0.25">
      <c r="A37" s="95">
        <v>45387</v>
      </c>
      <c r="B37" s="72" t="s">
        <v>455</v>
      </c>
      <c r="C37" s="72" t="s">
        <v>8</v>
      </c>
      <c r="D37" s="72" t="s">
        <v>17</v>
      </c>
      <c r="E37" s="72" t="s">
        <v>56</v>
      </c>
      <c r="F37" s="72">
        <v>1</v>
      </c>
      <c r="G37" s="73">
        <f t="shared" si="8"/>
        <v>50</v>
      </c>
      <c r="H37" s="73">
        <f t="shared" si="0"/>
        <v>50</v>
      </c>
      <c r="I37" s="73">
        <f t="shared" si="1"/>
        <v>50</v>
      </c>
      <c r="J37" s="72" t="s">
        <v>79</v>
      </c>
      <c r="K37" s="74"/>
      <c r="M37" s="99" t="s">
        <v>17</v>
      </c>
      <c r="N37" s="80">
        <f t="shared" si="2"/>
        <v>20</v>
      </c>
      <c r="O37" s="80">
        <f>N37*F37</f>
        <v>20</v>
      </c>
      <c r="P37" s="100" t="s">
        <v>56</v>
      </c>
      <c r="S37" s="50" t="s">
        <v>36</v>
      </c>
      <c r="T37" s="52">
        <v>35</v>
      </c>
      <c r="U37" s="52">
        <f t="shared" si="6"/>
        <v>3.5</v>
      </c>
      <c r="Y37" s="91" t="s">
        <v>154</v>
      </c>
      <c r="Z37" s="92">
        <v>29.283000000000001</v>
      </c>
      <c r="AA37" s="92">
        <f t="shared" si="7"/>
        <v>11.713200000000001</v>
      </c>
    </row>
    <row r="38" spans="1:27" x14ac:dyDescent="0.25">
      <c r="A38" s="95">
        <v>45387</v>
      </c>
      <c r="B38" s="72" t="s">
        <v>456</v>
      </c>
      <c r="C38" s="72" t="s">
        <v>8</v>
      </c>
      <c r="D38" s="72" t="s">
        <v>22</v>
      </c>
      <c r="E38" s="72" t="s">
        <v>82</v>
      </c>
      <c r="F38" s="72">
        <v>2</v>
      </c>
      <c r="G38" s="73">
        <f t="shared" si="8"/>
        <v>30</v>
      </c>
      <c r="H38" s="73">
        <f t="shared" si="0"/>
        <v>60</v>
      </c>
      <c r="I38" s="73">
        <f t="shared" si="1"/>
        <v>58.566000000000003</v>
      </c>
      <c r="J38" s="72" t="s">
        <v>78</v>
      </c>
      <c r="K38" s="74"/>
      <c r="M38" s="99"/>
      <c r="N38" s="80" t="e">
        <f t="shared" si="2"/>
        <v>#N/A</v>
      </c>
      <c r="O38" s="80"/>
      <c r="P38" s="100"/>
      <c r="S38" s="50" t="s">
        <v>143</v>
      </c>
      <c r="T38" s="52">
        <v>35</v>
      </c>
      <c r="U38" s="52">
        <f t="shared" si="6"/>
        <v>3.5</v>
      </c>
      <c r="Y38" s="91" t="s">
        <v>156</v>
      </c>
      <c r="Z38" s="92">
        <v>28.503</v>
      </c>
      <c r="AA38" s="92">
        <f t="shared" si="7"/>
        <v>11.401200000000001</v>
      </c>
    </row>
    <row r="39" spans="1:27" x14ac:dyDescent="0.25">
      <c r="A39" s="95">
        <v>45387</v>
      </c>
      <c r="B39" s="72" t="s">
        <v>397</v>
      </c>
      <c r="C39" s="72" t="s">
        <v>9</v>
      </c>
      <c r="D39" s="72" t="s">
        <v>18</v>
      </c>
      <c r="E39" s="72" t="s">
        <v>56</v>
      </c>
      <c r="F39" s="72">
        <v>1</v>
      </c>
      <c r="G39" s="73">
        <f t="shared" si="8"/>
        <v>40</v>
      </c>
      <c r="H39" s="73">
        <f t="shared" si="0"/>
        <v>40</v>
      </c>
      <c r="I39" s="73">
        <f t="shared" si="1"/>
        <v>40</v>
      </c>
      <c r="J39" s="72" t="s">
        <v>79</v>
      </c>
      <c r="K39" s="74"/>
      <c r="M39" s="99" t="s">
        <v>18</v>
      </c>
      <c r="N39" s="80">
        <f t="shared" si="2"/>
        <v>16</v>
      </c>
      <c r="O39" s="80">
        <f>N39*F39</f>
        <v>16</v>
      </c>
      <c r="P39" s="100" t="s">
        <v>56</v>
      </c>
      <c r="S39" s="50" t="s">
        <v>33</v>
      </c>
      <c r="T39" s="52">
        <v>35</v>
      </c>
      <c r="U39" s="52">
        <f t="shared" si="6"/>
        <v>3.5</v>
      </c>
      <c r="Y39" s="91" t="s">
        <v>158</v>
      </c>
      <c r="Z39" s="92">
        <v>60</v>
      </c>
      <c r="AA39" s="92">
        <f t="shared" si="7"/>
        <v>24</v>
      </c>
    </row>
    <row r="40" spans="1:27" x14ac:dyDescent="0.25">
      <c r="A40" s="95">
        <v>45387</v>
      </c>
      <c r="B40" s="72" t="s">
        <v>457</v>
      </c>
      <c r="C40" s="72" t="s">
        <v>8</v>
      </c>
      <c r="D40" s="72" t="s">
        <v>19</v>
      </c>
      <c r="E40" s="72" t="s">
        <v>82</v>
      </c>
      <c r="F40" s="72">
        <v>1</v>
      </c>
      <c r="G40" s="73">
        <f t="shared" si="8"/>
        <v>40</v>
      </c>
      <c r="H40" s="73">
        <f t="shared" si="0"/>
        <v>40</v>
      </c>
      <c r="I40" s="73">
        <f t="shared" si="1"/>
        <v>40</v>
      </c>
      <c r="J40" s="72" t="s">
        <v>83</v>
      </c>
      <c r="K40" s="74"/>
      <c r="M40" s="99"/>
      <c r="N40" s="80"/>
      <c r="O40" s="80"/>
      <c r="P40" s="100"/>
      <c r="S40" s="50" t="s">
        <v>26</v>
      </c>
      <c r="T40" s="52">
        <v>35</v>
      </c>
      <c r="U40" s="52">
        <f t="shared" si="6"/>
        <v>3.5</v>
      </c>
      <c r="Y40" s="91" t="s">
        <v>161</v>
      </c>
      <c r="Z40" s="92">
        <v>60</v>
      </c>
      <c r="AA40" s="92">
        <f t="shared" si="7"/>
        <v>24</v>
      </c>
    </row>
    <row r="41" spans="1:27" x14ac:dyDescent="0.25">
      <c r="A41" s="95">
        <v>45387</v>
      </c>
      <c r="B41" s="72" t="s">
        <v>458</v>
      </c>
      <c r="C41" s="72" t="s">
        <v>8</v>
      </c>
      <c r="D41" s="72" t="s">
        <v>23</v>
      </c>
      <c r="E41" s="72" t="s">
        <v>82</v>
      </c>
      <c r="F41" s="72">
        <v>1</v>
      </c>
      <c r="G41" s="73">
        <f t="shared" si="8"/>
        <v>5</v>
      </c>
      <c r="H41" s="73">
        <f t="shared" si="0"/>
        <v>5</v>
      </c>
      <c r="I41" s="73">
        <f t="shared" si="1"/>
        <v>5</v>
      </c>
      <c r="J41" s="72" t="s">
        <v>83</v>
      </c>
      <c r="K41" s="74"/>
      <c r="M41" s="99"/>
      <c r="N41" s="80"/>
      <c r="O41" s="80"/>
      <c r="P41" s="100"/>
      <c r="S41" s="50" t="s">
        <v>61</v>
      </c>
      <c r="T41" s="52">
        <v>35</v>
      </c>
      <c r="U41" s="52">
        <f t="shared" si="6"/>
        <v>3.5</v>
      </c>
      <c r="Y41" s="91" t="s">
        <v>163</v>
      </c>
      <c r="Z41" s="92">
        <v>58.566000000000003</v>
      </c>
      <c r="AA41" s="92">
        <f t="shared" si="7"/>
        <v>23.426400000000001</v>
      </c>
    </row>
    <row r="42" spans="1:27" x14ac:dyDescent="0.25">
      <c r="A42" s="95">
        <v>45387</v>
      </c>
      <c r="B42" s="72" t="s">
        <v>459</v>
      </c>
      <c r="C42" s="72" t="s">
        <v>10</v>
      </c>
      <c r="D42" s="72" t="s">
        <v>18</v>
      </c>
      <c r="E42" s="72" t="s">
        <v>56</v>
      </c>
      <c r="F42" s="72">
        <v>1</v>
      </c>
      <c r="G42" s="73">
        <f t="shared" si="8"/>
        <v>40</v>
      </c>
      <c r="H42" s="73">
        <f t="shared" si="0"/>
        <v>40</v>
      </c>
      <c r="I42" s="73">
        <f t="shared" si="1"/>
        <v>40</v>
      </c>
      <c r="J42" s="72" t="s">
        <v>83</v>
      </c>
      <c r="K42" s="74"/>
      <c r="M42" s="99" t="s">
        <v>18</v>
      </c>
      <c r="N42" s="80">
        <f t="shared" ref="N42:N73" si="9">VLOOKUP(M42,$S$3:$U$60,3,0)</f>
        <v>16</v>
      </c>
      <c r="O42" s="80">
        <f>N42*F42</f>
        <v>16</v>
      </c>
      <c r="P42" s="100" t="s">
        <v>56</v>
      </c>
      <c r="S42" s="50" t="s">
        <v>152</v>
      </c>
      <c r="T42" s="52">
        <v>60</v>
      </c>
      <c r="U42" s="52">
        <f t="shared" si="6"/>
        <v>6</v>
      </c>
      <c r="Y42" s="91" t="s">
        <v>165</v>
      </c>
      <c r="Z42" s="92">
        <v>57.006</v>
      </c>
      <c r="AA42" s="92">
        <f t="shared" si="7"/>
        <v>22.802400000000002</v>
      </c>
    </row>
    <row r="43" spans="1:27" x14ac:dyDescent="0.25">
      <c r="A43" s="95">
        <v>45387</v>
      </c>
      <c r="B43" s="72" t="s">
        <v>291</v>
      </c>
      <c r="C43" s="72" t="s">
        <v>8</v>
      </c>
      <c r="D43" s="72" t="s">
        <v>18</v>
      </c>
      <c r="E43" s="72" t="s">
        <v>56</v>
      </c>
      <c r="F43" s="72">
        <v>1</v>
      </c>
      <c r="G43" s="73">
        <f t="shared" si="8"/>
        <v>40</v>
      </c>
      <c r="H43" s="73">
        <f t="shared" si="0"/>
        <v>40</v>
      </c>
      <c r="I43" s="73">
        <f t="shared" si="1"/>
        <v>38.003999999999998</v>
      </c>
      <c r="J43" s="72" t="s">
        <v>86</v>
      </c>
      <c r="K43" s="74"/>
      <c r="M43" s="99" t="s">
        <v>18</v>
      </c>
      <c r="N43" s="80">
        <f t="shared" si="9"/>
        <v>16</v>
      </c>
      <c r="O43" s="80">
        <f>N43*F43</f>
        <v>16</v>
      </c>
      <c r="P43" s="100" t="s">
        <v>56</v>
      </c>
      <c r="S43" s="50" t="s">
        <v>47</v>
      </c>
      <c r="T43" s="52">
        <v>65</v>
      </c>
      <c r="U43" s="52">
        <f t="shared" si="6"/>
        <v>6.5</v>
      </c>
      <c r="Y43" s="91" t="s">
        <v>167</v>
      </c>
      <c r="Z43" s="92">
        <v>15</v>
      </c>
      <c r="AA43" s="92">
        <f t="shared" si="7"/>
        <v>6</v>
      </c>
    </row>
    <row r="44" spans="1:27" x14ac:dyDescent="0.25">
      <c r="A44" s="95">
        <v>45387</v>
      </c>
      <c r="B44" s="72" t="s">
        <v>291</v>
      </c>
      <c r="C44" s="72" t="s">
        <v>8</v>
      </c>
      <c r="D44" s="72" t="s">
        <v>36</v>
      </c>
      <c r="E44" s="72" t="s">
        <v>56</v>
      </c>
      <c r="F44" s="72">
        <v>1</v>
      </c>
      <c r="G44" s="73">
        <f t="shared" si="8"/>
        <v>35</v>
      </c>
      <c r="H44" s="73">
        <f t="shared" si="0"/>
        <v>35</v>
      </c>
      <c r="I44" s="73">
        <f t="shared" si="1"/>
        <v>33.253500000000003</v>
      </c>
      <c r="J44" s="72" t="s">
        <v>86</v>
      </c>
      <c r="K44" s="74"/>
      <c r="M44" s="99" t="s">
        <v>36</v>
      </c>
      <c r="N44" s="80">
        <f t="shared" si="9"/>
        <v>3.5</v>
      </c>
      <c r="O44" s="80">
        <f>N44*F44</f>
        <v>3.5</v>
      </c>
      <c r="P44" s="100" t="s">
        <v>56</v>
      </c>
      <c r="S44" s="50" t="s">
        <v>57</v>
      </c>
      <c r="T44" s="52">
        <v>40</v>
      </c>
      <c r="U44" s="52">
        <f t="shared" si="6"/>
        <v>4</v>
      </c>
      <c r="Y44" s="91" t="s">
        <v>169</v>
      </c>
      <c r="Z44" s="92">
        <v>15</v>
      </c>
      <c r="AA44" s="92">
        <f t="shared" si="7"/>
        <v>6</v>
      </c>
    </row>
    <row r="45" spans="1:27" x14ac:dyDescent="0.25">
      <c r="A45" s="95">
        <v>45387</v>
      </c>
      <c r="B45" s="72" t="s">
        <v>460</v>
      </c>
      <c r="C45" s="72" t="s">
        <v>8</v>
      </c>
      <c r="D45" s="72" t="s">
        <v>22</v>
      </c>
      <c r="E45" s="72" t="s">
        <v>82</v>
      </c>
      <c r="F45" s="72">
        <v>2</v>
      </c>
      <c r="G45" s="73">
        <f t="shared" si="8"/>
        <v>30</v>
      </c>
      <c r="H45" s="73">
        <f t="shared" si="0"/>
        <v>60</v>
      </c>
      <c r="I45" s="73">
        <f t="shared" si="1"/>
        <v>60</v>
      </c>
      <c r="J45" s="72" t="s">
        <v>83</v>
      </c>
      <c r="K45" s="74"/>
      <c r="M45" s="99"/>
      <c r="N45" s="80" t="e">
        <f t="shared" si="9"/>
        <v>#N/A</v>
      </c>
      <c r="O45" s="80"/>
      <c r="P45" s="100"/>
      <c r="S45" s="50" t="s">
        <v>59</v>
      </c>
      <c r="T45" s="52"/>
      <c r="U45" s="52">
        <f t="shared" si="6"/>
        <v>0</v>
      </c>
      <c r="Y45" s="91" t="s">
        <v>171</v>
      </c>
      <c r="Z45" s="92">
        <v>14.641500000000001</v>
      </c>
      <c r="AA45" s="92">
        <f t="shared" si="7"/>
        <v>5.8566000000000003</v>
      </c>
    </row>
    <row r="46" spans="1:27" x14ac:dyDescent="0.25">
      <c r="A46" s="95">
        <v>45387</v>
      </c>
      <c r="B46" s="72" t="s">
        <v>461</v>
      </c>
      <c r="C46" s="72" t="s">
        <v>8</v>
      </c>
      <c r="D46" s="72" t="s">
        <v>18</v>
      </c>
      <c r="E46" s="72" t="s">
        <v>82</v>
      </c>
      <c r="F46" s="72">
        <v>1</v>
      </c>
      <c r="G46" s="73">
        <f t="shared" si="8"/>
        <v>40</v>
      </c>
      <c r="H46" s="73">
        <f t="shared" si="0"/>
        <v>40</v>
      </c>
      <c r="I46" s="73">
        <f t="shared" si="1"/>
        <v>40</v>
      </c>
      <c r="J46" s="72" t="s">
        <v>83</v>
      </c>
      <c r="K46" s="74"/>
      <c r="M46" s="99"/>
      <c r="N46" s="80" t="e">
        <f t="shared" si="9"/>
        <v>#N/A</v>
      </c>
      <c r="O46" s="80"/>
      <c r="P46" s="100"/>
      <c r="S46" s="50" t="s">
        <v>160</v>
      </c>
      <c r="T46" s="52">
        <v>12</v>
      </c>
      <c r="U46" s="52">
        <f t="shared" si="6"/>
        <v>1.2000000000000002</v>
      </c>
      <c r="Y46" s="91" t="s">
        <v>173</v>
      </c>
      <c r="Z46" s="92">
        <v>14.2515</v>
      </c>
      <c r="AA46" s="92">
        <f t="shared" si="7"/>
        <v>5.7006000000000006</v>
      </c>
    </row>
    <row r="47" spans="1:27" x14ac:dyDescent="0.25">
      <c r="A47" s="95">
        <v>45387</v>
      </c>
      <c r="B47" s="72" t="s">
        <v>461</v>
      </c>
      <c r="C47" s="72" t="s">
        <v>8</v>
      </c>
      <c r="D47" s="72" t="s">
        <v>35</v>
      </c>
      <c r="E47" s="72" t="s">
        <v>82</v>
      </c>
      <c r="F47" s="72">
        <v>1</v>
      </c>
      <c r="G47" s="73">
        <f t="shared" si="8"/>
        <v>7</v>
      </c>
      <c r="H47" s="73">
        <f t="shared" si="0"/>
        <v>7</v>
      </c>
      <c r="I47" s="73">
        <f t="shared" si="1"/>
        <v>7</v>
      </c>
      <c r="J47" s="72" t="s">
        <v>83</v>
      </c>
      <c r="K47" s="74"/>
      <c r="M47" s="99"/>
      <c r="N47" s="80" t="e">
        <f t="shared" si="9"/>
        <v>#N/A</v>
      </c>
      <c r="O47" s="80"/>
      <c r="P47" s="100"/>
      <c r="S47" s="50" t="s">
        <v>162</v>
      </c>
      <c r="T47" s="52">
        <v>8</v>
      </c>
      <c r="U47" s="52">
        <f t="shared" si="6"/>
        <v>0.8</v>
      </c>
      <c r="Y47" s="91" t="s">
        <v>176</v>
      </c>
      <c r="Z47" s="92">
        <v>70</v>
      </c>
      <c r="AA47" s="92">
        <f t="shared" si="7"/>
        <v>28</v>
      </c>
    </row>
    <row r="48" spans="1:27" x14ac:dyDescent="0.25">
      <c r="A48" s="95">
        <v>45387</v>
      </c>
      <c r="B48" s="72" t="s">
        <v>157</v>
      </c>
      <c r="C48" s="72" t="s">
        <v>8</v>
      </c>
      <c r="D48" s="72" t="s">
        <v>18</v>
      </c>
      <c r="E48" s="72" t="s">
        <v>82</v>
      </c>
      <c r="F48" s="72">
        <v>1</v>
      </c>
      <c r="G48" s="73">
        <f t="shared" si="8"/>
        <v>40</v>
      </c>
      <c r="H48" s="73">
        <f t="shared" si="0"/>
        <v>40</v>
      </c>
      <c r="I48" s="73">
        <f t="shared" si="1"/>
        <v>40</v>
      </c>
      <c r="J48" s="72" t="s">
        <v>83</v>
      </c>
      <c r="K48" s="74"/>
      <c r="M48" s="99"/>
      <c r="N48" s="80" t="e">
        <f t="shared" si="9"/>
        <v>#N/A</v>
      </c>
      <c r="O48" s="80"/>
      <c r="P48" s="100"/>
      <c r="S48" s="50" t="s">
        <v>41</v>
      </c>
      <c r="T48" s="52">
        <v>7</v>
      </c>
      <c r="U48" s="52">
        <f t="shared" si="6"/>
        <v>0.70000000000000007</v>
      </c>
      <c r="Y48" s="91" t="s">
        <v>177</v>
      </c>
      <c r="Z48" s="92">
        <v>70</v>
      </c>
      <c r="AA48" s="92">
        <f t="shared" si="7"/>
        <v>28</v>
      </c>
    </row>
    <row r="49" spans="1:27" x14ac:dyDescent="0.25">
      <c r="A49" s="95">
        <v>45387</v>
      </c>
      <c r="B49" s="72" t="s">
        <v>462</v>
      </c>
      <c r="C49" s="72" t="s">
        <v>8</v>
      </c>
      <c r="D49" s="72" t="s">
        <v>15</v>
      </c>
      <c r="E49" s="72" t="s">
        <v>82</v>
      </c>
      <c r="F49" s="72"/>
      <c r="G49" s="73">
        <v>40</v>
      </c>
      <c r="H49" s="73">
        <f t="shared" si="0"/>
        <v>0</v>
      </c>
      <c r="I49" s="73">
        <f t="shared" si="1"/>
        <v>0</v>
      </c>
      <c r="J49" s="72" t="s">
        <v>79</v>
      </c>
      <c r="K49" s="74" t="s">
        <v>463</v>
      </c>
      <c r="M49" s="99"/>
      <c r="N49" s="80" t="e">
        <f t="shared" si="9"/>
        <v>#N/A</v>
      </c>
      <c r="O49" s="80"/>
      <c r="P49" s="100"/>
      <c r="S49" s="50" t="s">
        <v>38</v>
      </c>
      <c r="T49" s="52">
        <v>6</v>
      </c>
      <c r="U49" s="52">
        <f t="shared" si="6"/>
        <v>0.60000000000000009</v>
      </c>
      <c r="Y49" s="91" t="s">
        <v>180</v>
      </c>
      <c r="Z49" s="92">
        <v>68.326999999999998</v>
      </c>
      <c r="AA49" s="92">
        <f t="shared" si="7"/>
        <v>27.3308</v>
      </c>
    </row>
    <row r="50" spans="1:27" x14ac:dyDescent="0.25">
      <c r="A50" s="95">
        <v>45387</v>
      </c>
      <c r="B50" s="72" t="s">
        <v>464</v>
      </c>
      <c r="C50" s="72" t="s">
        <v>8</v>
      </c>
      <c r="D50" s="72" t="s">
        <v>18</v>
      </c>
      <c r="E50" s="72" t="s">
        <v>82</v>
      </c>
      <c r="F50" s="72">
        <v>1</v>
      </c>
      <c r="G50" s="73">
        <f>VLOOKUP(D50,$S$3:$T$120,2,0)</f>
        <v>40</v>
      </c>
      <c r="H50" s="73">
        <v>40</v>
      </c>
      <c r="I50" s="73">
        <f t="shared" si="1"/>
        <v>38.003999999999998</v>
      </c>
      <c r="J50" s="72" t="s">
        <v>86</v>
      </c>
      <c r="K50" s="74"/>
      <c r="M50" s="99"/>
      <c r="N50" s="80" t="e">
        <f t="shared" si="9"/>
        <v>#N/A</v>
      </c>
      <c r="O50" s="80"/>
      <c r="P50" s="100"/>
      <c r="S50" s="50" t="s">
        <v>29</v>
      </c>
      <c r="T50" s="52">
        <v>7</v>
      </c>
      <c r="U50" s="52">
        <f t="shared" si="6"/>
        <v>0.70000000000000007</v>
      </c>
      <c r="Y50" s="91" t="s">
        <v>181</v>
      </c>
      <c r="Z50" s="92">
        <v>66.507000000000005</v>
      </c>
      <c r="AA50" s="92">
        <f t="shared" si="7"/>
        <v>26.602800000000002</v>
      </c>
    </row>
    <row r="51" spans="1:27" x14ac:dyDescent="0.25">
      <c r="A51" s="95">
        <v>45387</v>
      </c>
      <c r="B51" s="72" t="s">
        <v>465</v>
      </c>
      <c r="C51" s="72" t="s">
        <v>10</v>
      </c>
      <c r="D51" s="72" t="s">
        <v>18</v>
      </c>
      <c r="E51" s="72" t="s">
        <v>56</v>
      </c>
      <c r="F51" s="72">
        <v>1</v>
      </c>
      <c r="G51" s="73">
        <f>VLOOKUP(D51,$S$3:$T$120,2,0)</f>
        <v>40</v>
      </c>
      <c r="H51" s="73">
        <f t="shared" ref="H51:H68" si="10">F51*G51</f>
        <v>40</v>
      </c>
      <c r="I51" s="73">
        <f t="shared" si="1"/>
        <v>39.043999999999997</v>
      </c>
      <c r="J51" s="72" t="s">
        <v>78</v>
      </c>
      <c r="K51" s="74"/>
      <c r="M51" s="99" t="s">
        <v>18</v>
      </c>
      <c r="N51" s="80">
        <f t="shared" si="9"/>
        <v>16</v>
      </c>
      <c r="O51" s="80">
        <f>N51*F51</f>
        <v>16</v>
      </c>
      <c r="P51" s="100" t="s">
        <v>56</v>
      </c>
      <c r="S51" s="50" t="s">
        <v>170</v>
      </c>
      <c r="T51" s="52">
        <v>5</v>
      </c>
      <c r="U51" s="52">
        <f t="shared" si="6"/>
        <v>0.5</v>
      </c>
      <c r="Y51" s="91" t="s">
        <v>184</v>
      </c>
      <c r="Z51" s="92">
        <v>75</v>
      </c>
      <c r="AA51" s="92">
        <f t="shared" si="7"/>
        <v>30</v>
      </c>
    </row>
    <row r="52" spans="1:27" x14ac:dyDescent="0.25">
      <c r="A52" s="95">
        <v>45387</v>
      </c>
      <c r="B52" s="72" t="s">
        <v>461</v>
      </c>
      <c r="C52" s="72" t="s">
        <v>8</v>
      </c>
      <c r="D52" s="72" t="s">
        <v>30</v>
      </c>
      <c r="E52" s="72" t="s">
        <v>82</v>
      </c>
      <c r="F52" s="72">
        <v>1</v>
      </c>
      <c r="G52" s="73">
        <f>VLOOKUP(D52,$S$3:$T$120,2,0)</f>
        <v>90</v>
      </c>
      <c r="H52" s="73">
        <f t="shared" si="10"/>
        <v>90</v>
      </c>
      <c r="I52" s="73">
        <f t="shared" si="1"/>
        <v>90</v>
      </c>
      <c r="J52" s="72" t="s">
        <v>83</v>
      </c>
      <c r="K52" s="74"/>
      <c r="M52" s="99"/>
      <c r="N52" s="80" t="e">
        <f t="shared" si="9"/>
        <v>#N/A</v>
      </c>
      <c r="O52" s="80"/>
      <c r="P52" s="100"/>
      <c r="S52" s="50" t="s">
        <v>48</v>
      </c>
      <c r="T52" s="52">
        <v>10</v>
      </c>
      <c r="U52" s="52">
        <f t="shared" si="6"/>
        <v>1</v>
      </c>
      <c r="Y52" s="91" t="s">
        <v>186</v>
      </c>
      <c r="Z52" s="92">
        <v>75</v>
      </c>
      <c r="AA52" s="92">
        <f t="shared" si="7"/>
        <v>30</v>
      </c>
    </row>
    <row r="53" spans="1:27" x14ac:dyDescent="0.25">
      <c r="A53" s="95">
        <v>45387</v>
      </c>
      <c r="B53" s="72" t="s">
        <v>466</v>
      </c>
      <c r="C53" s="72" t="s">
        <v>8</v>
      </c>
      <c r="D53" s="72" t="s">
        <v>15</v>
      </c>
      <c r="E53" s="72" t="s">
        <v>82</v>
      </c>
      <c r="F53" s="72">
        <v>1</v>
      </c>
      <c r="G53" s="73">
        <f>VLOOKUP(D53,$S$3:$T$120,2,0)</f>
        <v>70</v>
      </c>
      <c r="H53" s="73">
        <f t="shared" si="10"/>
        <v>70</v>
      </c>
      <c r="I53" s="73">
        <f t="shared" si="1"/>
        <v>70</v>
      </c>
      <c r="J53" s="72" t="s">
        <v>83</v>
      </c>
      <c r="K53" s="74"/>
      <c r="M53" s="99"/>
      <c r="N53" s="80" t="e">
        <f t="shared" si="9"/>
        <v>#N/A</v>
      </c>
      <c r="O53" s="80"/>
      <c r="P53" s="100"/>
      <c r="S53" s="50" t="s">
        <v>44</v>
      </c>
      <c r="T53" s="52">
        <v>5</v>
      </c>
      <c r="U53" s="52">
        <f t="shared" si="6"/>
        <v>0.5</v>
      </c>
      <c r="Y53" s="91" t="s">
        <v>187</v>
      </c>
      <c r="Z53" s="92">
        <v>73.207499999999996</v>
      </c>
      <c r="AA53" s="92">
        <f t="shared" si="7"/>
        <v>29.283000000000001</v>
      </c>
    </row>
    <row r="54" spans="1:27" x14ac:dyDescent="0.25">
      <c r="A54" s="95">
        <v>45387</v>
      </c>
      <c r="B54" s="72" t="s">
        <v>466</v>
      </c>
      <c r="C54" s="72" t="s">
        <v>8</v>
      </c>
      <c r="D54" s="72" t="s">
        <v>33</v>
      </c>
      <c r="E54" s="72" t="s">
        <v>82</v>
      </c>
      <c r="F54" s="72">
        <v>1</v>
      </c>
      <c r="G54" s="73">
        <v>30</v>
      </c>
      <c r="H54" s="73">
        <f t="shared" si="10"/>
        <v>30</v>
      </c>
      <c r="I54" s="73">
        <f t="shared" si="1"/>
        <v>30</v>
      </c>
      <c r="J54" s="72" t="s">
        <v>83</v>
      </c>
      <c r="K54" s="74"/>
      <c r="M54" s="99"/>
      <c r="N54" s="80" t="e">
        <f t="shared" si="9"/>
        <v>#N/A</v>
      </c>
      <c r="O54" s="80"/>
      <c r="P54" s="100"/>
      <c r="S54" s="50" t="s">
        <v>37</v>
      </c>
      <c r="T54" s="52">
        <v>7</v>
      </c>
      <c r="U54" s="52">
        <f t="shared" si="6"/>
        <v>0.70000000000000007</v>
      </c>
      <c r="Y54" s="91" t="s">
        <v>188</v>
      </c>
      <c r="Z54" s="92">
        <v>71.257499999999993</v>
      </c>
      <c r="AA54" s="92">
        <f t="shared" si="7"/>
        <v>28.503</v>
      </c>
    </row>
    <row r="55" spans="1:27" x14ac:dyDescent="0.25">
      <c r="A55" s="95">
        <v>45388</v>
      </c>
      <c r="B55" s="72" t="s">
        <v>467</v>
      </c>
      <c r="C55" s="72" t="s">
        <v>10</v>
      </c>
      <c r="D55" s="72" t="s">
        <v>18</v>
      </c>
      <c r="E55" s="72" t="s">
        <v>56</v>
      </c>
      <c r="F55" s="72">
        <v>1</v>
      </c>
      <c r="G55" s="73">
        <f>VLOOKUP(D55,$S$3:$T$120,2,0)</f>
        <v>40</v>
      </c>
      <c r="H55" s="73">
        <f t="shared" si="10"/>
        <v>40</v>
      </c>
      <c r="I55" s="73">
        <f t="shared" si="1"/>
        <v>39.043999999999997</v>
      </c>
      <c r="J55" s="72" t="s">
        <v>78</v>
      </c>
      <c r="K55" s="74"/>
      <c r="M55" s="99" t="s">
        <v>18</v>
      </c>
      <c r="N55" s="80">
        <f t="shared" si="9"/>
        <v>16</v>
      </c>
      <c r="O55" s="80">
        <f>N55*F55</f>
        <v>16</v>
      </c>
      <c r="P55" s="100" t="s">
        <v>56</v>
      </c>
      <c r="S55" s="50" t="s">
        <v>179</v>
      </c>
      <c r="T55" s="52">
        <v>3.5</v>
      </c>
      <c r="U55" s="52">
        <f t="shared" si="6"/>
        <v>0.35000000000000003</v>
      </c>
      <c r="Y55" s="91" t="s">
        <v>190</v>
      </c>
      <c r="Z55" s="92">
        <v>55</v>
      </c>
      <c r="AA55" s="92">
        <f t="shared" si="7"/>
        <v>22</v>
      </c>
    </row>
    <row r="56" spans="1:27" x14ac:dyDescent="0.25">
      <c r="A56" s="95">
        <v>45388</v>
      </c>
      <c r="B56" s="72" t="s">
        <v>142</v>
      </c>
      <c r="C56" s="72" t="s">
        <v>8</v>
      </c>
      <c r="D56" s="72" t="s">
        <v>18</v>
      </c>
      <c r="E56" s="72" t="s">
        <v>56</v>
      </c>
      <c r="F56" s="72">
        <v>1</v>
      </c>
      <c r="G56" s="73">
        <f>VLOOKUP(D56,$S$3:$T$120,2,0)</f>
        <v>40</v>
      </c>
      <c r="H56" s="73">
        <f t="shared" si="10"/>
        <v>40</v>
      </c>
      <c r="I56" s="73">
        <f t="shared" si="1"/>
        <v>40</v>
      </c>
      <c r="J56" s="72" t="s">
        <v>83</v>
      </c>
      <c r="K56" s="74"/>
      <c r="M56" s="99" t="s">
        <v>18</v>
      </c>
      <c r="N56" s="80">
        <f t="shared" si="9"/>
        <v>16</v>
      </c>
      <c r="O56" s="80">
        <f>N56*F56</f>
        <v>16</v>
      </c>
      <c r="P56" s="100" t="s">
        <v>56</v>
      </c>
      <c r="S56" s="50" t="s">
        <v>46</v>
      </c>
      <c r="T56" s="52">
        <v>5</v>
      </c>
      <c r="U56" s="52">
        <f t="shared" si="6"/>
        <v>0.5</v>
      </c>
      <c r="Y56" s="91" t="s">
        <v>192</v>
      </c>
      <c r="Z56" s="92">
        <v>55</v>
      </c>
      <c r="AA56" s="92">
        <f t="shared" si="7"/>
        <v>22</v>
      </c>
    </row>
    <row r="57" spans="1:27" x14ac:dyDescent="0.25">
      <c r="A57" s="95">
        <v>45388</v>
      </c>
      <c r="B57" s="72" t="s">
        <v>142</v>
      </c>
      <c r="C57" s="72" t="s">
        <v>8</v>
      </c>
      <c r="D57" s="72" t="s">
        <v>37</v>
      </c>
      <c r="E57" s="72" t="s">
        <v>56</v>
      </c>
      <c r="F57" s="72">
        <v>1</v>
      </c>
      <c r="G57" s="73">
        <f>VLOOKUP(D57,$S$3:$T$120,2,0)</f>
        <v>7</v>
      </c>
      <c r="H57" s="73">
        <f t="shared" si="10"/>
        <v>7</v>
      </c>
      <c r="I57" s="73">
        <f t="shared" si="1"/>
        <v>7</v>
      </c>
      <c r="J57" s="72" t="s">
        <v>83</v>
      </c>
      <c r="K57" s="74"/>
      <c r="M57" s="99" t="s">
        <v>37</v>
      </c>
      <c r="N57" s="80">
        <f t="shared" si="9"/>
        <v>0.70000000000000007</v>
      </c>
      <c r="O57" s="80">
        <f>N57*F57</f>
        <v>0.70000000000000007</v>
      </c>
      <c r="P57" s="100" t="s">
        <v>56</v>
      </c>
      <c r="S57" s="50" t="s">
        <v>183</v>
      </c>
      <c r="T57" s="52">
        <v>7</v>
      </c>
      <c r="U57" s="52">
        <f t="shared" si="6"/>
        <v>0.70000000000000007</v>
      </c>
      <c r="Y57" s="91" t="s">
        <v>193</v>
      </c>
      <c r="Z57" s="92">
        <v>53.685499999999998</v>
      </c>
      <c r="AA57" s="92">
        <f t="shared" si="7"/>
        <v>21.4742</v>
      </c>
    </row>
    <row r="58" spans="1:27" x14ac:dyDescent="0.25">
      <c r="A58" s="95">
        <v>45388</v>
      </c>
      <c r="B58" s="72" t="s">
        <v>142</v>
      </c>
      <c r="C58" s="72" t="s">
        <v>8</v>
      </c>
      <c r="D58" s="72" t="s">
        <v>38</v>
      </c>
      <c r="E58" s="72" t="s">
        <v>56</v>
      </c>
      <c r="F58" s="72">
        <v>1</v>
      </c>
      <c r="G58" s="73">
        <f>VLOOKUP(D58,$S$3:$T$120,2,0)</f>
        <v>6</v>
      </c>
      <c r="H58" s="73">
        <f t="shared" si="10"/>
        <v>6</v>
      </c>
      <c r="I58" s="73">
        <f t="shared" si="1"/>
        <v>6</v>
      </c>
      <c r="J58" s="72" t="s">
        <v>83</v>
      </c>
      <c r="K58" s="74"/>
      <c r="M58" s="99" t="s">
        <v>38</v>
      </c>
      <c r="N58" s="80">
        <f t="shared" si="9"/>
        <v>0.60000000000000009</v>
      </c>
      <c r="O58" s="80">
        <f>N58*F58</f>
        <v>0.60000000000000009</v>
      </c>
      <c r="P58" s="100" t="s">
        <v>56</v>
      </c>
      <c r="S58" s="50" t="s">
        <v>35</v>
      </c>
      <c r="T58" s="52">
        <v>7</v>
      </c>
      <c r="U58" s="52">
        <f t="shared" si="6"/>
        <v>0.70000000000000007</v>
      </c>
      <c r="Y58" s="91" t="s">
        <v>195</v>
      </c>
      <c r="Z58" s="92">
        <v>52.255499999999998</v>
      </c>
      <c r="AA58" s="92">
        <f t="shared" si="7"/>
        <v>20.902200000000001</v>
      </c>
    </row>
    <row r="59" spans="1:27" x14ac:dyDescent="0.25">
      <c r="A59" s="95">
        <v>45388</v>
      </c>
      <c r="B59" s="72" t="s">
        <v>142</v>
      </c>
      <c r="C59" s="72" t="s">
        <v>8</v>
      </c>
      <c r="D59" s="72" t="s">
        <v>29</v>
      </c>
      <c r="E59" s="72" t="s">
        <v>56</v>
      </c>
      <c r="F59" s="72">
        <v>2</v>
      </c>
      <c r="G59" s="73">
        <f>VLOOKUP(D59,$S$3:$T$120,2,0)</f>
        <v>7</v>
      </c>
      <c r="H59" s="73">
        <f t="shared" si="10"/>
        <v>14</v>
      </c>
      <c r="I59" s="73">
        <f t="shared" si="1"/>
        <v>14</v>
      </c>
      <c r="J59" s="72" t="s">
        <v>83</v>
      </c>
      <c r="K59" s="74"/>
      <c r="M59" s="99" t="s">
        <v>29</v>
      </c>
      <c r="N59" s="80">
        <f t="shared" si="9"/>
        <v>0.70000000000000007</v>
      </c>
      <c r="O59" s="80">
        <f>N59*F59</f>
        <v>1.4000000000000001</v>
      </c>
      <c r="P59" s="100" t="s">
        <v>56</v>
      </c>
      <c r="S59" s="50" t="s">
        <v>155</v>
      </c>
      <c r="T59" s="52">
        <v>3.5</v>
      </c>
      <c r="U59" s="52">
        <f t="shared" si="6"/>
        <v>0.35000000000000003</v>
      </c>
      <c r="Y59" s="91" t="s">
        <v>197</v>
      </c>
      <c r="Z59" s="92">
        <v>100</v>
      </c>
      <c r="AA59" s="92">
        <f t="shared" si="7"/>
        <v>40</v>
      </c>
    </row>
    <row r="60" spans="1:27" x14ac:dyDescent="0.25">
      <c r="A60" s="95">
        <v>45388</v>
      </c>
      <c r="B60" s="72" t="s">
        <v>142</v>
      </c>
      <c r="C60" s="72" t="s">
        <v>8</v>
      </c>
      <c r="D60" s="72" t="s">
        <v>19</v>
      </c>
      <c r="E60" s="72" t="s">
        <v>82</v>
      </c>
      <c r="F60" s="72">
        <v>1</v>
      </c>
      <c r="G60" s="73">
        <v>30</v>
      </c>
      <c r="H60" s="73">
        <f t="shared" si="10"/>
        <v>30</v>
      </c>
      <c r="I60" s="73">
        <f t="shared" si="1"/>
        <v>30</v>
      </c>
      <c r="J60" s="72" t="s">
        <v>83</v>
      </c>
      <c r="K60" s="74"/>
      <c r="M60" s="99"/>
      <c r="N60" s="80" t="e">
        <f t="shared" si="9"/>
        <v>#N/A</v>
      </c>
      <c r="O60" s="80"/>
      <c r="P60" s="100"/>
      <c r="S60" s="50" t="s">
        <v>45</v>
      </c>
      <c r="T60" s="52">
        <v>3.5</v>
      </c>
      <c r="U60" s="52">
        <f t="shared" si="6"/>
        <v>0.35000000000000003</v>
      </c>
      <c r="Y60" s="91" t="s">
        <v>199</v>
      </c>
      <c r="Z60" s="92">
        <v>100</v>
      </c>
      <c r="AA60" s="92">
        <f t="shared" si="7"/>
        <v>40</v>
      </c>
    </row>
    <row r="61" spans="1:27" x14ac:dyDescent="0.25">
      <c r="A61" s="95">
        <v>45388</v>
      </c>
      <c r="B61" s="72" t="s">
        <v>116</v>
      </c>
      <c r="C61" s="72" t="s">
        <v>8</v>
      </c>
      <c r="D61" s="72" t="s">
        <v>17</v>
      </c>
      <c r="E61" s="72" t="s">
        <v>82</v>
      </c>
      <c r="F61" s="72">
        <v>1</v>
      </c>
      <c r="G61" s="73">
        <f t="shared" ref="G61:G84" si="11">VLOOKUP(D61,$S$3:$T$120,2,0)</f>
        <v>50</v>
      </c>
      <c r="H61" s="73">
        <f t="shared" si="10"/>
        <v>50</v>
      </c>
      <c r="I61" s="73">
        <f t="shared" si="1"/>
        <v>50</v>
      </c>
      <c r="J61" s="72" t="s">
        <v>83</v>
      </c>
      <c r="K61" s="74"/>
      <c r="M61" s="99"/>
      <c r="N61" s="80" t="e">
        <f t="shared" si="9"/>
        <v>#N/A</v>
      </c>
      <c r="O61" s="80"/>
      <c r="P61" s="100"/>
      <c r="Y61" s="91" t="s">
        <v>201</v>
      </c>
      <c r="Z61" s="92">
        <v>97.61</v>
      </c>
      <c r="AA61" s="92">
        <f t="shared" si="7"/>
        <v>39.044000000000004</v>
      </c>
    </row>
    <row r="62" spans="1:27" x14ac:dyDescent="0.25">
      <c r="A62" s="95">
        <v>45388</v>
      </c>
      <c r="B62" s="72" t="s">
        <v>468</v>
      </c>
      <c r="C62" s="72" t="s">
        <v>8</v>
      </c>
      <c r="D62" s="72" t="s">
        <v>17</v>
      </c>
      <c r="E62" s="72" t="s">
        <v>82</v>
      </c>
      <c r="F62" s="72">
        <v>1</v>
      </c>
      <c r="G62" s="73">
        <f t="shared" si="11"/>
        <v>50</v>
      </c>
      <c r="H62" s="73">
        <f t="shared" si="10"/>
        <v>50</v>
      </c>
      <c r="I62" s="73">
        <f t="shared" si="1"/>
        <v>50</v>
      </c>
      <c r="J62" s="72" t="s">
        <v>83</v>
      </c>
      <c r="K62" s="74"/>
      <c r="M62" s="99"/>
      <c r="N62" s="80" t="e">
        <f t="shared" si="9"/>
        <v>#N/A</v>
      </c>
      <c r="O62" s="80"/>
      <c r="P62" s="100"/>
      <c r="Y62" s="91" t="s">
        <v>203</v>
      </c>
      <c r="Z62" s="92">
        <v>95.01</v>
      </c>
      <c r="AA62" s="92">
        <f t="shared" si="7"/>
        <v>38.004000000000005</v>
      </c>
    </row>
    <row r="63" spans="1:27" x14ac:dyDescent="0.25">
      <c r="A63" s="95">
        <v>45388</v>
      </c>
      <c r="B63" s="72" t="s">
        <v>469</v>
      </c>
      <c r="C63" s="72" t="s">
        <v>8</v>
      </c>
      <c r="D63" s="72" t="s">
        <v>15</v>
      </c>
      <c r="E63" s="72" t="s">
        <v>82</v>
      </c>
      <c r="F63" s="72">
        <v>1</v>
      </c>
      <c r="G63" s="73">
        <f t="shared" si="11"/>
        <v>70</v>
      </c>
      <c r="H63" s="73">
        <f t="shared" si="10"/>
        <v>70</v>
      </c>
      <c r="I63" s="73">
        <f t="shared" si="1"/>
        <v>70</v>
      </c>
      <c r="J63" s="72" t="s">
        <v>83</v>
      </c>
      <c r="K63" s="74"/>
      <c r="M63" s="99"/>
      <c r="N63" s="80" t="e">
        <f t="shared" si="9"/>
        <v>#N/A</v>
      </c>
      <c r="O63" s="80"/>
      <c r="P63" s="100"/>
      <c r="Y63" s="91" t="s">
        <v>205</v>
      </c>
      <c r="Z63" s="92">
        <v>80</v>
      </c>
      <c r="AA63" s="92">
        <f t="shared" si="7"/>
        <v>32</v>
      </c>
    </row>
    <row r="64" spans="1:27" x14ac:dyDescent="0.25">
      <c r="A64" s="95">
        <v>45388</v>
      </c>
      <c r="B64" s="72" t="s">
        <v>470</v>
      </c>
      <c r="C64" s="72" t="s">
        <v>8</v>
      </c>
      <c r="D64" s="72" t="s">
        <v>15</v>
      </c>
      <c r="E64" s="72" t="s">
        <v>56</v>
      </c>
      <c r="F64" s="72">
        <v>1</v>
      </c>
      <c r="G64" s="73">
        <f t="shared" si="11"/>
        <v>70</v>
      </c>
      <c r="H64" s="73">
        <f t="shared" si="10"/>
        <v>70</v>
      </c>
      <c r="I64" s="73">
        <f t="shared" si="1"/>
        <v>70</v>
      </c>
      <c r="J64" s="72" t="s">
        <v>83</v>
      </c>
      <c r="K64" s="74"/>
      <c r="M64" s="72" t="s">
        <v>15</v>
      </c>
      <c r="N64" s="80">
        <f t="shared" si="9"/>
        <v>28</v>
      </c>
      <c r="O64" s="80">
        <f>N64*F64</f>
        <v>28</v>
      </c>
      <c r="P64" s="100" t="s">
        <v>56</v>
      </c>
      <c r="Y64" s="91" t="s">
        <v>207</v>
      </c>
      <c r="Z64" s="92">
        <v>80</v>
      </c>
      <c r="AA64" s="92">
        <f t="shared" si="7"/>
        <v>32</v>
      </c>
    </row>
    <row r="65" spans="1:27" x14ac:dyDescent="0.25">
      <c r="A65" s="95">
        <v>45388</v>
      </c>
      <c r="B65" s="72" t="s">
        <v>470</v>
      </c>
      <c r="C65" s="72" t="s">
        <v>8</v>
      </c>
      <c r="D65" s="72" t="s">
        <v>39</v>
      </c>
      <c r="E65" s="72" t="s">
        <v>56</v>
      </c>
      <c r="F65" s="72">
        <v>1</v>
      </c>
      <c r="G65" s="73">
        <f t="shared" si="11"/>
        <v>10</v>
      </c>
      <c r="H65" s="73">
        <f t="shared" si="10"/>
        <v>10</v>
      </c>
      <c r="I65" s="73">
        <f t="shared" si="1"/>
        <v>10</v>
      </c>
      <c r="J65" s="72" t="s">
        <v>83</v>
      </c>
      <c r="K65" s="74"/>
      <c r="M65" s="72" t="s">
        <v>39</v>
      </c>
      <c r="N65" s="80">
        <f t="shared" si="9"/>
        <v>1</v>
      </c>
      <c r="O65" s="80">
        <f>N65*F65</f>
        <v>1</v>
      </c>
      <c r="P65" s="100" t="s">
        <v>56</v>
      </c>
      <c r="Y65" s="91" t="s">
        <v>208</v>
      </c>
      <c r="Z65" s="92">
        <v>78.087999999999994</v>
      </c>
      <c r="AA65" s="92">
        <f t="shared" si="7"/>
        <v>31.235199999999999</v>
      </c>
    </row>
    <row r="66" spans="1:27" x14ac:dyDescent="0.25">
      <c r="A66" s="95">
        <v>45388</v>
      </c>
      <c r="B66" s="72" t="s">
        <v>414</v>
      </c>
      <c r="C66" s="72" t="s">
        <v>8</v>
      </c>
      <c r="D66" s="72" t="s">
        <v>17</v>
      </c>
      <c r="E66" s="72" t="s">
        <v>82</v>
      </c>
      <c r="F66" s="72">
        <v>1</v>
      </c>
      <c r="G66" s="73">
        <f t="shared" si="11"/>
        <v>50</v>
      </c>
      <c r="H66" s="73">
        <f t="shared" si="10"/>
        <v>50</v>
      </c>
      <c r="I66" s="73">
        <f t="shared" si="1"/>
        <v>47.505000000000003</v>
      </c>
      <c r="J66" s="72" t="s">
        <v>86</v>
      </c>
      <c r="K66" s="74"/>
      <c r="M66" s="99"/>
      <c r="N66" s="80" t="e">
        <f t="shared" si="9"/>
        <v>#N/A</v>
      </c>
      <c r="O66" s="80"/>
      <c r="P66" s="100"/>
      <c r="Y66" s="91" t="s">
        <v>209</v>
      </c>
      <c r="Z66" s="92">
        <v>76.007999999999996</v>
      </c>
      <c r="AA66" s="92">
        <f t="shared" si="7"/>
        <v>30.403199999999998</v>
      </c>
    </row>
    <row r="67" spans="1:27" x14ac:dyDescent="0.25">
      <c r="A67" s="95">
        <v>45388</v>
      </c>
      <c r="B67" s="72" t="s">
        <v>471</v>
      </c>
      <c r="C67" s="72" t="s">
        <v>8</v>
      </c>
      <c r="D67" s="72" t="s">
        <v>37</v>
      </c>
      <c r="E67" s="72" t="s">
        <v>82</v>
      </c>
      <c r="F67" s="72">
        <v>1</v>
      </c>
      <c r="G67" s="73">
        <f t="shared" si="11"/>
        <v>7</v>
      </c>
      <c r="H67" s="73">
        <f t="shared" si="10"/>
        <v>7</v>
      </c>
      <c r="I67" s="73">
        <f t="shared" ref="I67:I130" si="12">IF(J67="Cartão de Debito",H67-(H67*$AC$5),IF(J67="Cartão de Credito",H67-(H67*$AC$6), IF(J67="Pix",H67-(H67*$AC$7), IF(J67="Dinheiro (R$)", H67-(H67*$AC$8)))))</f>
        <v>6.6506999999999996</v>
      </c>
      <c r="J67" s="72" t="s">
        <v>86</v>
      </c>
      <c r="K67" s="74"/>
      <c r="M67" s="99"/>
      <c r="N67" s="80" t="e">
        <f t="shared" si="9"/>
        <v>#N/A</v>
      </c>
      <c r="O67" s="80"/>
      <c r="P67" s="100"/>
      <c r="Y67" s="91" t="s">
        <v>211</v>
      </c>
      <c r="Z67" s="92">
        <v>130</v>
      </c>
      <c r="AA67" s="92">
        <f t="shared" ref="AA67:AA74" si="13">Z67*0.4</f>
        <v>52</v>
      </c>
    </row>
    <row r="68" spans="1:27" x14ac:dyDescent="0.25">
      <c r="A68" s="95">
        <v>45388</v>
      </c>
      <c r="B68" s="72" t="s">
        <v>472</v>
      </c>
      <c r="C68" s="72" t="s">
        <v>10</v>
      </c>
      <c r="D68" s="72" t="s">
        <v>18</v>
      </c>
      <c r="E68" s="72" t="s">
        <v>56</v>
      </c>
      <c r="F68" s="72">
        <v>1</v>
      </c>
      <c r="G68" s="73">
        <f t="shared" si="11"/>
        <v>40</v>
      </c>
      <c r="H68" s="73">
        <f t="shared" si="10"/>
        <v>40</v>
      </c>
      <c r="I68" s="73">
        <f t="shared" si="12"/>
        <v>40</v>
      </c>
      <c r="J68" s="72" t="s">
        <v>83</v>
      </c>
      <c r="K68" s="74"/>
      <c r="M68" s="99" t="s">
        <v>18</v>
      </c>
      <c r="N68" s="80">
        <f t="shared" si="9"/>
        <v>16</v>
      </c>
      <c r="O68" s="80">
        <f>N68*F68</f>
        <v>16</v>
      </c>
      <c r="P68" s="100" t="s">
        <v>56</v>
      </c>
      <c r="Y68" s="91" t="s">
        <v>213</v>
      </c>
      <c r="Z68" s="92">
        <v>130</v>
      </c>
      <c r="AA68" s="92">
        <f t="shared" si="13"/>
        <v>52</v>
      </c>
    </row>
    <row r="69" spans="1:27" x14ac:dyDescent="0.25">
      <c r="A69" s="95">
        <v>45388</v>
      </c>
      <c r="B69" s="72" t="s">
        <v>182</v>
      </c>
      <c r="C69" s="72" t="s">
        <v>8</v>
      </c>
      <c r="D69" s="72" t="s">
        <v>18</v>
      </c>
      <c r="E69" s="72" t="s">
        <v>82</v>
      </c>
      <c r="F69" s="72">
        <v>1</v>
      </c>
      <c r="G69" s="73">
        <f t="shared" si="11"/>
        <v>40</v>
      </c>
      <c r="H69" s="73">
        <v>40</v>
      </c>
      <c r="I69" s="73">
        <f t="shared" si="12"/>
        <v>40</v>
      </c>
      <c r="J69" s="72" t="s">
        <v>79</v>
      </c>
      <c r="K69" s="74" t="s">
        <v>473</v>
      </c>
      <c r="M69" s="99"/>
      <c r="N69" s="80" t="e">
        <f t="shared" si="9"/>
        <v>#N/A</v>
      </c>
      <c r="O69" s="80"/>
      <c r="P69" s="100"/>
      <c r="Y69" s="91" t="s">
        <v>214</v>
      </c>
      <c r="Z69" s="92">
        <v>126.893</v>
      </c>
      <c r="AA69" s="92">
        <f t="shared" si="13"/>
        <v>50.757200000000005</v>
      </c>
    </row>
    <row r="70" spans="1:27" x14ac:dyDescent="0.25">
      <c r="A70" s="95">
        <v>45388</v>
      </c>
      <c r="B70" s="72" t="s">
        <v>456</v>
      </c>
      <c r="C70" s="72" t="s">
        <v>10</v>
      </c>
      <c r="D70" s="72" t="s">
        <v>18</v>
      </c>
      <c r="E70" s="72" t="s">
        <v>56</v>
      </c>
      <c r="F70" s="72">
        <v>1</v>
      </c>
      <c r="G70" s="73">
        <f t="shared" si="11"/>
        <v>40</v>
      </c>
      <c r="H70" s="73">
        <f t="shared" ref="H70:H133" si="14">F70*G70</f>
        <v>40</v>
      </c>
      <c r="I70" s="73">
        <f t="shared" si="12"/>
        <v>38.003999999999998</v>
      </c>
      <c r="J70" s="72" t="s">
        <v>86</v>
      </c>
      <c r="K70" s="74"/>
      <c r="M70" s="99" t="s">
        <v>18</v>
      </c>
      <c r="N70" s="80">
        <f t="shared" si="9"/>
        <v>16</v>
      </c>
      <c r="O70" s="80">
        <f>N70*F70</f>
        <v>16</v>
      </c>
      <c r="P70" s="100" t="s">
        <v>56</v>
      </c>
      <c r="Y70" s="91" t="s">
        <v>216</v>
      </c>
      <c r="Z70" s="92">
        <v>123.51300000000001</v>
      </c>
      <c r="AA70" s="92">
        <f t="shared" si="13"/>
        <v>49.405200000000008</v>
      </c>
    </row>
    <row r="71" spans="1:27" x14ac:dyDescent="0.25">
      <c r="A71" s="95">
        <v>45388</v>
      </c>
      <c r="B71" s="72" t="s">
        <v>450</v>
      </c>
      <c r="C71" s="72" t="s">
        <v>8</v>
      </c>
      <c r="D71" s="72" t="s">
        <v>18</v>
      </c>
      <c r="E71" s="72" t="s">
        <v>82</v>
      </c>
      <c r="F71" s="72">
        <v>1</v>
      </c>
      <c r="G71" s="73">
        <f t="shared" si="11"/>
        <v>40</v>
      </c>
      <c r="H71" s="73">
        <f t="shared" si="14"/>
        <v>40</v>
      </c>
      <c r="I71" s="73">
        <f t="shared" si="12"/>
        <v>40</v>
      </c>
      <c r="J71" s="72" t="s">
        <v>83</v>
      </c>
      <c r="K71" s="74"/>
      <c r="M71" s="99"/>
      <c r="N71" s="80" t="e">
        <f t="shared" si="9"/>
        <v>#N/A</v>
      </c>
      <c r="O71" s="80"/>
      <c r="P71" s="100"/>
      <c r="Y71" s="91" t="s">
        <v>219</v>
      </c>
      <c r="Z71" s="92">
        <v>90</v>
      </c>
      <c r="AA71" s="92">
        <f t="shared" si="13"/>
        <v>36</v>
      </c>
    </row>
    <row r="72" spans="1:27" x14ac:dyDescent="0.25">
      <c r="A72" s="95">
        <v>45391</v>
      </c>
      <c r="B72" s="72" t="s">
        <v>474</v>
      </c>
      <c r="C72" s="72" t="s">
        <v>8</v>
      </c>
      <c r="D72" s="72" t="s">
        <v>13</v>
      </c>
      <c r="E72" s="72" t="s">
        <v>56</v>
      </c>
      <c r="F72" s="72">
        <v>1</v>
      </c>
      <c r="G72" s="73">
        <f t="shared" si="11"/>
        <v>30</v>
      </c>
      <c r="H72" s="73">
        <f t="shared" si="14"/>
        <v>30</v>
      </c>
      <c r="I72" s="73">
        <f t="shared" si="12"/>
        <v>28.503</v>
      </c>
      <c r="J72" s="72" t="s">
        <v>86</v>
      </c>
      <c r="K72" s="74"/>
      <c r="M72" s="99" t="s">
        <v>13</v>
      </c>
      <c r="N72" s="80">
        <f t="shared" si="9"/>
        <v>12</v>
      </c>
      <c r="O72" s="80">
        <f>N72*F72</f>
        <v>12</v>
      </c>
      <c r="P72" s="100" t="s">
        <v>56</v>
      </c>
      <c r="Y72" s="91" t="s">
        <v>221</v>
      </c>
      <c r="Z72" s="92">
        <v>90</v>
      </c>
      <c r="AA72" s="92">
        <f t="shared" si="13"/>
        <v>36</v>
      </c>
    </row>
    <row r="73" spans="1:27" x14ac:dyDescent="0.25">
      <c r="A73" s="95">
        <v>45391</v>
      </c>
      <c r="B73" s="72" t="s">
        <v>475</v>
      </c>
      <c r="C73" s="72" t="s">
        <v>10</v>
      </c>
      <c r="D73" s="72" t="s">
        <v>17</v>
      </c>
      <c r="E73" s="72" t="s">
        <v>56</v>
      </c>
      <c r="F73" s="72">
        <v>1</v>
      </c>
      <c r="G73" s="73">
        <f t="shared" si="11"/>
        <v>50</v>
      </c>
      <c r="H73" s="73">
        <f t="shared" si="14"/>
        <v>50</v>
      </c>
      <c r="I73" s="73">
        <f t="shared" si="12"/>
        <v>50</v>
      </c>
      <c r="J73" s="72" t="s">
        <v>79</v>
      </c>
      <c r="K73" s="74"/>
      <c r="M73" s="99" t="s">
        <v>17</v>
      </c>
      <c r="N73" s="80">
        <f t="shared" si="9"/>
        <v>20</v>
      </c>
      <c r="O73" s="80">
        <f>N73*F73</f>
        <v>20</v>
      </c>
      <c r="P73" s="100" t="s">
        <v>56</v>
      </c>
      <c r="Y73" s="91" t="s">
        <v>222</v>
      </c>
      <c r="Z73" s="92">
        <v>87.849000000000004</v>
      </c>
      <c r="AA73" s="92">
        <f t="shared" si="13"/>
        <v>35.139600000000002</v>
      </c>
    </row>
    <row r="74" spans="1:27" x14ac:dyDescent="0.25">
      <c r="A74" s="95">
        <v>45391</v>
      </c>
      <c r="B74" s="72" t="s">
        <v>109</v>
      </c>
      <c r="C74" s="72" t="s">
        <v>10</v>
      </c>
      <c r="D74" s="72" t="s">
        <v>17</v>
      </c>
      <c r="E74" s="72" t="s">
        <v>56</v>
      </c>
      <c r="F74" s="72">
        <v>1</v>
      </c>
      <c r="G74" s="73">
        <f t="shared" si="11"/>
        <v>50</v>
      </c>
      <c r="H74" s="73">
        <f t="shared" si="14"/>
        <v>50</v>
      </c>
      <c r="I74" s="73">
        <f t="shared" si="12"/>
        <v>50</v>
      </c>
      <c r="J74" s="72" t="s">
        <v>79</v>
      </c>
      <c r="K74" s="74"/>
      <c r="M74" s="99" t="s">
        <v>17</v>
      </c>
      <c r="N74" s="80">
        <f t="shared" ref="N74:N105" si="15">VLOOKUP(M74,$S$3:$U$60,3,0)</f>
        <v>20</v>
      </c>
      <c r="O74" s="80">
        <f>N74*F74</f>
        <v>20</v>
      </c>
      <c r="P74" s="100" t="s">
        <v>56</v>
      </c>
      <c r="Y74" s="91" t="s">
        <v>224</v>
      </c>
      <c r="Z74" s="92">
        <v>85.509</v>
      </c>
      <c r="AA74" s="92">
        <f t="shared" si="13"/>
        <v>34.203600000000002</v>
      </c>
    </row>
    <row r="75" spans="1:27" x14ac:dyDescent="0.25">
      <c r="A75" s="95">
        <v>45391</v>
      </c>
      <c r="B75" s="72" t="s">
        <v>476</v>
      </c>
      <c r="C75" s="72" t="s">
        <v>8</v>
      </c>
      <c r="D75" s="72" t="s">
        <v>17</v>
      </c>
      <c r="E75" s="72" t="s">
        <v>82</v>
      </c>
      <c r="F75" s="72">
        <v>1</v>
      </c>
      <c r="G75" s="73">
        <f t="shared" si="11"/>
        <v>50</v>
      </c>
      <c r="H75" s="73">
        <f t="shared" si="14"/>
        <v>50</v>
      </c>
      <c r="I75" s="73">
        <f t="shared" si="12"/>
        <v>50</v>
      </c>
      <c r="J75" s="72" t="s">
        <v>83</v>
      </c>
      <c r="K75" s="74"/>
      <c r="M75" s="99"/>
      <c r="N75" s="80" t="e">
        <f t="shared" si="15"/>
        <v>#N/A</v>
      </c>
      <c r="O75" s="80"/>
      <c r="P75" s="100"/>
      <c r="Y75" s="91" t="s">
        <v>226</v>
      </c>
      <c r="Z75" s="92">
        <v>30</v>
      </c>
      <c r="AA75" s="92">
        <f t="shared" ref="AA75:AA106" si="16">Z75*0.1</f>
        <v>3</v>
      </c>
    </row>
    <row r="76" spans="1:27" x14ac:dyDescent="0.25">
      <c r="A76" s="95">
        <v>45391</v>
      </c>
      <c r="B76" s="72" t="s">
        <v>474</v>
      </c>
      <c r="C76" s="72" t="s">
        <v>8</v>
      </c>
      <c r="D76" s="72" t="s">
        <v>18</v>
      </c>
      <c r="E76" s="72" t="s">
        <v>82</v>
      </c>
      <c r="F76" s="72">
        <v>1</v>
      </c>
      <c r="G76" s="73">
        <f t="shared" si="11"/>
        <v>40</v>
      </c>
      <c r="H76" s="73">
        <f t="shared" si="14"/>
        <v>40</v>
      </c>
      <c r="I76" s="73">
        <f t="shared" si="12"/>
        <v>38.003999999999998</v>
      </c>
      <c r="J76" s="72" t="s">
        <v>86</v>
      </c>
      <c r="K76" s="74"/>
      <c r="M76" s="99"/>
      <c r="N76" s="80" t="e">
        <f t="shared" si="15"/>
        <v>#N/A</v>
      </c>
      <c r="O76" s="80"/>
      <c r="P76" s="100"/>
      <c r="Y76" s="91" t="s">
        <v>228</v>
      </c>
      <c r="Z76" s="92">
        <v>30</v>
      </c>
      <c r="AA76" s="92">
        <f t="shared" si="16"/>
        <v>3</v>
      </c>
    </row>
    <row r="77" spans="1:27" x14ac:dyDescent="0.25">
      <c r="A77" s="95">
        <v>45391</v>
      </c>
      <c r="B77" s="72" t="s">
        <v>294</v>
      </c>
      <c r="C77" s="72" t="s">
        <v>8</v>
      </c>
      <c r="D77" s="72" t="s">
        <v>18</v>
      </c>
      <c r="E77" s="72" t="s">
        <v>82</v>
      </c>
      <c r="F77" s="72">
        <v>1</v>
      </c>
      <c r="G77" s="73">
        <f t="shared" si="11"/>
        <v>40</v>
      </c>
      <c r="H77" s="73">
        <f t="shared" si="14"/>
        <v>40</v>
      </c>
      <c r="I77" s="73">
        <f t="shared" si="12"/>
        <v>40</v>
      </c>
      <c r="J77" s="72" t="s">
        <v>83</v>
      </c>
      <c r="K77" s="74"/>
      <c r="M77" s="99"/>
      <c r="N77" s="80" t="e">
        <f t="shared" si="15"/>
        <v>#N/A</v>
      </c>
      <c r="O77" s="80"/>
      <c r="P77" s="100"/>
      <c r="Y77" s="91" t="s">
        <v>230</v>
      </c>
      <c r="Z77" s="92">
        <v>29.283000000000001</v>
      </c>
      <c r="AA77" s="92">
        <f t="shared" si="16"/>
        <v>2.9283000000000001</v>
      </c>
    </row>
    <row r="78" spans="1:27" x14ac:dyDescent="0.25">
      <c r="A78" s="95">
        <v>45391</v>
      </c>
      <c r="B78" s="72" t="s">
        <v>294</v>
      </c>
      <c r="C78" s="72" t="s">
        <v>8</v>
      </c>
      <c r="D78" s="72" t="s">
        <v>23</v>
      </c>
      <c r="E78" s="72" t="s">
        <v>82</v>
      </c>
      <c r="F78" s="72">
        <v>1</v>
      </c>
      <c r="G78" s="73">
        <f t="shared" si="11"/>
        <v>5</v>
      </c>
      <c r="H78" s="73">
        <f t="shared" si="14"/>
        <v>5</v>
      </c>
      <c r="I78" s="73">
        <f t="shared" si="12"/>
        <v>5</v>
      </c>
      <c r="J78" s="72" t="s">
        <v>83</v>
      </c>
      <c r="K78" s="74"/>
      <c r="M78" s="99"/>
      <c r="N78" s="80" t="e">
        <f t="shared" si="15"/>
        <v>#N/A</v>
      </c>
      <c r="O78" s="80"/>
      <c r="P78" s="100"/>
      <c r="Y78" s="91" t="s">
        <v>231</v>
      </c>
      <c r="Z78" s="92">
        <v>28.503</v>
      </c>
      <c r="AA78" s="92">
        <f t="shared" si="16"/>
        <v>2.8503000000000003</v>
      </c>
    </row>
    <row r="79" spans="1:27" x14ac:dyDescent="0.25">
      <c r="A79" s="95">
        <v>45391</v>
      </c>
      <c r="B79" s="72" t="s">
        <v>477</v>
      </c>
      <c r="C79" s="72" t="s">
        <v>8</v>
      </c>
      <c r="D79" s="72" t="s">
        <v>18</v>
      </c>
      <c r="E79" s="72" t="s">
        <v>82</v>
      </c>
      <c r="F79" s="72">
        <v>1</v>
      </c>
      <c r="G79" s="73">
        <f t="shared" si="11"/>
        <v>40</v>
      </c>
      <c r="H79" s="73">
        <f t="shared" si="14"/>
        <v>40</v>
      </c>
      <c r="I79" s="73">
        <f t="shared" si="12"/>
        <v>39.043999999999997</v>
      </c>
      <c r="J79" s="72" t="s">
        <v>78</v>
      </c>
      <c r="K79" s="74"/>
      <c r="M79" s="99"/>
      <c r="N79" s="80" t="e">
        <f t="shared" si="15"/>
        <v>#N/A</v>
      </c>
      <c r="O79" s="80"/>
      <c r="P79" s="100"/>
      <c r="Y79" s="91" t="s">
        <v>232</v>
      </c>
      <c r="Z79" s="92">
        <v>30</v>
      </c>
      <c r="AA79" s="92">
        <f t="shared" si="16"/>
        <v>3</v>
      </c>
    </row>
    <row r="80" spans="1:27" x14ac:dyDescent="0.25">
      <c r="A80" s="95">
        <v>45391</v>
      </c>
      <c r="B80" s="72" t="s">
        <v>477</v>
      </c>
      <c r="C80" s="72" t="s">
        <v>8</v>
      </c>
      <c r="D80" s="72" t="s">
        <v>23</v>
      </c>
      <c r="E80" s="72" t="s">
        <v>82</v>
      </c>
      <c r="F80" s="72">
        <v>1</v>
      </c>
      <c r="G80" s="73">
        <f t="shared" si="11"/>
        <v>5</v>
      </c>
      <c r="H80" s="73">
        <f t="shared" si="14"/>
        <v>5</v>
      </c>
      <c r="I80" s="73">
        <f t="shared" si="12"/>
        <v>4.8804999999999996</v>
      </c>
      <c r="J80" s="72" t="s">
        <v>78</v>
      </c>
      <c r="K80" s="74"/>
      <c r="M80" s="99"/>
      <c r="N80" s="80" t="e">
        <f t="shared" si="15"/>
        <v>#N/A</v>
      </c>
      <c r="O80" s="80"/>
      <c r="P80" s="100"/>
      <c r="Y80" s="91" t="s">
        <v>234</v>
      </c>
      <c r="Z80" s="92">
        <v>30</v>
      </c>
      <c r="AA80" s="92">
        <f t="shared" si="16"/>
        <v>3</v>
      </c>
    </row>
    <row r="81" spans="1:27" x14ac:dyDescent="0.25">
      <c r="A81" s="95">
        <v>45391</v>
      </c>
      <c r="B81" s="72" t="s">
        <v>478</v>
      </c>
      <c r="C81" s="72" t="s">
        <v>8</v>
      </c>
      <c r="D81" s="72" t="s">
        <v>18</v>
      </c>
      <c r="E81" s="72" t="s">
        <v>82</v>
      </c>
      <c r="F81" s="72">
        <v>1</v>
      </c>
      <c r="G81" s="73">
        <f t="shared" si="11"/>
        <v>40</v>
      </c>
      <c r="H81" s="73">
        <f t="shared" si="14"/>
        <v>40</v>
      </c>
      <c r="I81" s="73">
        <f t="shared" si="12"/>
        <v>39.043999999999997</v>
      </c>
      <c r="J81" s="72" t="s">
        <v>78</v>
      </c>
      <c r="K81" s="74"/>
      <c r="M81" s="99"/>
      <c r="N81" s="80" t="e">
        <f t="shared" si="15"/>
        <v>#N/A</v>
      </c>
      <c r="O81" s="80"/>
      <c r="P81" s="100"/>
      <c r="Y81" s="91" t="s">
        <v>235</v>
      </c>
      <c r="Z81" s="92">
        <v>29.283000000000001</v>
      </c>
      <c r="AA81" s="92">
        <f t="shared" si="16"/>
        <v>2.9283000000000001</v>
      </c>
    </row>
    <row r="82" spans="1:27" x14ac:dyDescent="0.25">
      <c r="A82" s="95">
        <v>45391</v>
      </c>
      <c r="B82" s="72" t="s">
        <v>479</v>
      </c>
      <c r="C82" s="72" t="s">
        <v>8</v>
      </c>
      <c r="D82" s="72" t="s">
        <v>18</v>
      </c>
      <c r="E82" s="72" t="s">
        <v>82</v>
      </c>
      <c r="F82" s="72">
        <v>1</v>
      </c>
      <c r="G82" s="73">
        <f t="shared" si="11"/>
        <v>40</v>
      </c>
      <c r="H82" s="73">
        <f t="shared" si="14"/>
        <v>40</v>
      </c>
      <c r="I82" s="73">
        <f t="shared" si="12"/>
        <v>39.043999999999997</v>
      </c>
      <c r="J82" s="72" t="s">
        <v>78</v>
      </c>
      <c r="K82" s="74"/>
      <c r="M82" s="99"/>
      <c r="N82" s="80" t="e">
        <f t="shared" si="15"/>
        <v>#N/A</v>
      </c>
      <c r="O82" s="80"/>
      <c r="P82" s="100"/>
      <c r="Y82" s="91" t="s">
        <v>237</v>
      </c>
      <c r="Z82" s="92">
        <v>28.503</v>
      </c>
      <c r="AA82" s="92">
        <f t="shared" si="16"/>
        <v>2.8503000000000003</v>
      </c>
    </row>
    <row r="83" spans="1:27" x14ac:dyDescent="0.25">
      <c r="A83" s="95">
        <v>45391</v>
      </c>
      <c r="B83" s="72" t="s">
        <v>479</v>
      </c>
      <c r="C83" s="72" t="s">
        <v>8</v>
      </c>
      <c r="D83" s="72" t="s">
        <v>23</v>
      </c>
      <c r="E83" s="72" t="s">
        <v>82</v>
      </c>
      <c r="F83" s="72">
        <v>1</v>
      </c>
      <c r="G83" s="73">
        <f t="shared" si="11"/>
        <v>5</v>
      </c>
      <c r="H83" s="73">
        <f t="shared" si="14"/>
        <v>5</v>
      </c>
      <c r="I83" s="73">
        <f t="shared" si="12"/>
        <v>4.8804999999999996</v>
      </c>
      <c r="J83" s="72" t="s">
        <v>78</v>
      </c>
      <c r="K83" s="74"/>
      <c r="M83" s="99"/>
      <c r="N83" s="80" t="e">
        <f t="shared" si="15"/>
        <v>#N/A</v>
      </c>
      <c r="O83" s="80"/>
      <c r="P83" s="100"/>
      <c r="Y83" s="91" t="s">
        <v>239</v>
      </c>
      <c r="Z83" s="92">
        <v>30</v>
      </c>
      <c r="AA83" s="92">
        <f t="shared" si="16"/>
        <v>3</v>
      </c>
    </row>
    <row r="84" spans="1:27" x14ac:dyDescent="0.25">
      <c r="A84" s="95">
        <v>45392</v>
      </c>
      <c r="B84" s="72" t="s">
        <v>127</v>
      </c>
      <c r="C84" s="72" t="s">
        <v>10</v>
      </c>
      <c r="D84" s="72" t="s">
        <v>18</v>
      </c>
      <c r="E84" s="72" t="s">
        <v>56</v>
      </c>
      <c r="F84" s="72">
        <v>1</v>
      </c>
      <c r="G84" s="73">
        <f t="shared" si="11"/>
        <v>40</v>
      </c>
      <c r="H84" s="73">
        <f t="shared" si="14"/>
        <v>40</v>
      </c>
      <c r="I84" s="73">
        <f t="shared" si="12"/>
        <v>40</v>
      </c>
      <c r="J84" s="72" t="s">
        <v>79</v>
      </c>
      <c r="K84" s="74"/>
      <c r="M84" s="99" t="s">
        <v>18</v>
      </c>
      <c r="N84" s="80">
        <f t="shared" si="15"/>
        <v>16</v>
      </c>
      <c r="O84" s="80">
        <f>N84*F84</f>
        <v>16</v>
      </c>
      <c r="P84" s="100" t="s">
        <v>56</v>
      </c>
      <c r="Y84" s="91" t="s">
        <v>241</v>
      </c>
      <c r="Z84" s="92">
        <v>30</v>
      </c>
      <c r="AA84" s="92">
        <f t="shared" si="16"/>
        <v>3</v>
      </c>
    </row>
    <row r="85" spans="1:27" x14ac:dyDescent="0.25">
      <c r="A85" s="95">
        <v>45392</v>
      </c>
      <c r="B85" s="72" t="s">
        <v>127</v>
      </c>
      <c r="C85" s="72" t="s">
        <v>10</v>
      </c>
      <c r="D85" s="72" t="s">
        <v>20</v>
      </c>
      <c r="E85" s="72" t="s">
        <v>56</v>
      </c>
      <c r="F85" s="72">
        <v>1</v>
      </c>
      <c r="G85" s="73">
        <v>10</v>
      </c>
      <c r="H85" s="73">
        <f t="shared" si="14"/>
        <v>10</v>
      </c>
      <c r="I85" s="73">
        <f t="shared" si="12"/>
        <v>10</v>
      </c>
      <c r="J85" s="72" t="s">
        <v>79</v>
      </c>
      <c r="K85" s="74" t="s">
        <v>480</v>
      </c>
      <c r="M85" s="99" t="s">
        <v>20</v>
      </c>
      <c r="N85" s="80">
        <f t="shared" si="15"/>
        <v>6</v>
      </c>
      <c r="O85" s="80">
        <f>N85*F85</f>
        <v>6</v>
      </c>
      <c r="P85" s="100" t="s">
        <v>56</v>
      </c>
      <c r="Y85" s="91" t="s">
        <v>242</v>
      </c>
      <c r="Z85" s="92">
        <v>29.283000000000001</v>
      </c>
      <c r="AA85" s="92">
        <f t="shared" si="16"/>
        <v>2.9283000000000001</v>
      </c>
    </row>
    <row r="86" spans="1:27" x14ac:dyDescent="0.25">
      <c r="A86" s="95">
        <v>45392</v>
      </c>
      <c r="B86" s="72" t="s">
        <v>481</v>
      </c>
      <c r="C86" s="72" t="s">
        <v>8</v>
      </c>
      <c r="D86" s="72" t="s">
        <v>40</v>
      </c>
      <c r="E86" s="72" t="s">
        <v>82</v>
      </c>
      <c r="F86" s="72">
        <v>1</v>
      </c>
      <c r="G86" s="73">
        <f t="shared" ref="G86:G100" si="17">VLOOKUP(D86,$S$3:$T$120,2,0)</f>
        <v>45</v>
      </c>
      <c r="H86" s="73">
        <f t="shared" si="14"/>
        <v>45</v>
      </c>
      <c r="I86" s="73">
        <f t="shared" si="12"/>
        <v>45</v>
      </c>
      <c r="J86" s="72" t="s">
        <v>83</v>
      </c>
      <c r="K86" s="74"/>
      <c r="M86" s="99"/>
      <c r="N86" s="80" t="e">
        <f t="shared" si="15"/>
        <v>#N/A</v>
      </c>
      <c r="O86" s="80"/>
      <c r="P86" s="100"/>
      <c r="Y86" s="91" t="s">
        <v>243</v>
      </c>
      <c r="Z86" s="92">
        <v>28.503</v>
      </c>
      <c r="AA86" s="92">
        <f t="shared" si="16"/>
        <v>2.8503000000000003</v>
      </c>
    </row>
    <row r="87" spans="1:27" x14ac:dyDescent="0.25">
      <c r="A87" s="95">
        <v>45392</v>
      </c>
      <c r="B87" s="72" t="s">
        <v>481</v>
      </c>
      <c r="C87" s="72" t="s">
        <v>8</v>
      </c>
      <c r="D87" s="72" t="s">
        <v>32</v>
      </c>
      <c r="E87" s="72" t="s">
        <v>82</v>
      </c>
      <c r="F87" s="72">
        <v>1</v>
      </c>
      <c r="G87" s="73">
        <f t="shared" si="17"/>
        <v>50</v>
      </c>
      <c r="H87" s="73">
        <f t="shared" si="14"/>
        <v>50</v>
      </c>
      <c r="I87" s="73">
        <f t="shared" si="12"/>
        <v>50</v>
      </c>
      <c r="J87" s="72" t="s">
        <v>83</v>
      </c>
      <c r="K87" s="74"/>
      <c r="M87" s="99"/>
      <c r="N87" s="80" t="e">
        <f t="shared" si="15"/>
        <v>#N/A</v>
      </c>
      <c r="O87" s="80"/>
      <c r="P87" s="100"/>
      <c r="Y87" s="91" t="s">
        <v>245</v>
      </c>
      <c r="Z87" s="92">
        <v>10</v>
      </c>
      <c r="AA87" s="92">
        <f t="shared" si="16"/>
        <v>1</v>
      </c>
    </row>
    <row r="88" spans="1:27" x14ac:dyDescent="0.25">
      <c r="A88" s="95">
        <v>45392</v>
      </c>
      <c r="B88" s="72" t="s">
        <v>482</v>
      </c>
      <c r="C88" s="72" t="s">
        <v>8</v>
      </c>
      <c r="D88" s="72" t="s">
        <v>18</v>
      </c>
      <c r="E88" s="72" t="s">
        <v>82</v>
      </c>
      <c r="F88" s="72">
        <v>1</v>
      </c>
      <c r="G88" s="73">
        <f t="shared" si="17"/>
        <v>40</v>
      </c>
      <c r="H88" s="73">
        <f t="shared" si="14"/>
        <v>40</v>
      </c>
      <c r="I88" s="73">
        <f t="shared" si="12"/>
        <v>39.043999999999997</v>
      </c>
      <c r="J88" s="72" t="s">
        <v>78</v>
      </c>
      <c r="K88" s="74"/>
      <c r="M88" s="99"/>
      <c r="N88" s="80" t="e">
        <f t="shared" si="15"/>
        <v>#N/A</v>
      </c>
      <c r="O88" s="80"/>
      <c r="P88" s="100"/>
      <c r="Y88" s="91" t="s">
        <v>246</v>
      </c>
      <c r="Z88" s="92">
        <v>10</v>
      </c>
      <c r="AA88" s="92">
        <f t="shared" si="16"/>
        <v>1</v>
      </c>
    </row>
    <row r="89" spans="1:27" x14ac:dyDescent="0.25">
      <c r="A89" s="95">
        <v>45392</v>
      </c>
      <c r="B89" s="72" t="s">
        <v>483</v>
      </c>
      <c r="C89" s="72" t="s">
        <v>8</v>
      </c>
      <c r="D89" s="72" t="s">
        <v>18</v>
      </c>
      <c r="E89" s="72" t="s">
        <v>82</v>
      </c>
      <c r="F89" s="72">
        <v>1</v>
      </c>
      <c r="G89" s="73">
        <f t="shared" si="17"/>
        <v>40</v>
      </c>
      <c r="H89" s="73">
        <f t="shared" si="14"/>
        <v>40</v>
      </c>
      <c r="I89" s="73">
        <f t="shared" si="12"/>
        <v>40</v>
      </c>
      <c r="J89" s="72" t="s">
        <v>83</v>
      </c>
      <c r="K89" s="74"/>
      <c r="M89" s="99"/>
      <c r="N89" s="80" t="e">
        <f t="shared" si="15"/>
        <v>#N/A</v>
      </c>
      <c r="O89" s="80"/>
      <c r="P89" s="100"/>
      <c r="Y89" s="91" t="s">
        <v>248</v>
      </c>
      <c r="Z89" s="92">
        <v>9.7609999999999992</v>
      </c>
      <c r="AA89" s="92">
        <f t="shared" si="16"/>
        <v>0.97609999999999997</v>
      </c>
    </row>
    <row r="90" spans="1:27" x14ac:dyDescent="0.25">
      <c r="A90" s="95">
        <v>45392</v>
      </c>
      <c r="B90" s="72" t="s">
        <v>274</v>
      </c>
      <c r="C90" s="72" t="s">
        <v>8</v>
      </c>
      <c r="D90" s="72" t="s">
        <v>18</v>
      </c>
      <c r="E90" s="72" t="s">
        <v>82</v>
      </c>
      <c r="F90" s="72">
        <v>1</v>
      </c>
      <c r="G90" s="73">
        <f t="shared" si="17"/>
        <v>40</v>
      </c>
      <c r="H90" s="73">
        <f t="shared" si="14"/>
        <v>40</v>
      </c>
      <c r="I90" s="73">
        <f t="shared" si="12"/>
        <v>40</v>
      </c>
      <c r="J90" s="72" t="s">
        <v>83</v>
      </c>
      <c r="K90" s="74"/>
      <c r="M90" s="99"/>
      <c r="N90" s="80" t="e">
        <f t="shared" si="15"/>
        <v>#N/A</v>
      </c>
      <c r="O90" s="80"/>
      <c r="P90" s="100"/>
      <c r="Y90" s="91" t="s">
        <v>249</v>
      </c>
      <c r="Z90" s="92">
        <v>9.5009999999999994</v>
      </c>
      <c r="AA90" s="92">
        <f t="shared" si="16"/>
        <v>0.95009999999999994</v>
      </c>
    </row>
    <row r="91" spans="1:27" x14ac:dyDescent="0.25">
      <c r="A91" s="95">
        <v>45392</v>
      </c>
      <c r="B91" s="72" t="s">
        <v>274</v>
      </c>
      <c r="C91" s="72" t="s">
        <v>8</v>
      </c>
      <c r="D91" s="72" t="s">
        <v>26</v>
      </c>
      <c r="E91" s="72" t="s">
        <v>82</v>
      </c>
      <c r="F91" s="72">
        <v>1</v>
      </c>
      <c r="G91" s="73">
        <f t="shared" si="17"/>
        <v>35</v>
      </c>
      <c r="H91" s="73">
        <f t="shared" si="14"/>
        <v>35</v>
      </c>
      <c r="I91" s="73">
        <f t="shared" si="12"/>
        <v>35</v>
      </c>
      <c r="J91" s="72" t="s">
        <v>83</v>
      </c>
      <c r="K91" s="74"/>
      <c r="M91" s="99"/>
      <c r="N91" s="80" t="e">
        <f t="shared" si="15"/>
        <v>#N/A</v>
      </c>
      <c r="O91" s="80"/>
      <c r="P91" s="100"/>
      <c r="Y91" s="91" t="s">
        <v>250</v>
      </c>
      <c r="Z91" s="92">
        <v>20</v>
      </c>
      <c r="AA91" s="92">
        <f t="shared" si="16"/>
        <v>2</v>
      </c>
    </row>
    <row r="92" spans="1:27" x14ac:dyDescent="0.25">
      <c r="A92" s="95">
        <v>45392</v>
      </c>
      <c r="B92" s="72" t="s">
        <v>484</v>
      </c>
      <c r="C92" s="72" t="s">
        <v>8</v>
      </c>
      <c r="D92" s="72" t="s">
        <v>41</v>
      </c>
      <c r="E92" s="72" t="s">
        <v>82</v>
      </c>
      <c r="F92" s="72">
        <v>1</v>
      </c>
      <c r="G92" s="73">
        <f t="shared" si="17"/>
        <v>7</v>
      </c>
      <c r="H92" s="73">
        <f t="shared" si="14"/>
        <v>7</v>
      </c>
      <c r="I92" s="73">
        <f t="shared" si="12"/>
        <v>7</v>
      </c>
      <c r="J92" s="72" t="s">
        <v>83</v>
      </c>
      <c r="K92" s="74"/>
      <c r="M92" s="99"/>
      <c r="N92" s="80" t="e">
        <f t="shared" si="15"/>
        <v>#N/A</v>
      </c>
      <c r="O92" s="80"/>
      <c r="P92" s="100"/>
      <c r="Y92" s="91" t="s">
        <v>252</v>
      </c>
      <c r="Z92" s="92">
        <v>20</v>
      </c>
      <c r="AA92" s="92">
        <f t="shared" si="16"/>
        <v>2</v>
      </c>
    </row>
    <row r="93" spans="1:27" x14ac:dyDescent="0.25">
      <c r="A93" s="95">
        <v>45393</v>
      </c>
      <c r="B93" s="72" t="s">
        <v>485</v>
      </c>
      <c r="C93" s="72" t="s">
        <v>8</v>
      </c>
      <c r="D93" s="72" t="s">
        <v>18</v>
      </c>
      <c r="E93" s="72" t="s">
        <v>82</v>
      </c>
      <c r="F93" s="72">
        <v>1</v>
      </c>
      <c r="G93" s="73">
        <f t="shared" si="17"/>
        <v>40</v>
      </c>
      <c r="H93" s="73">
        <f t="shared" si="14"/>
        <v>40</v>
      </c>
      <c r="I93" s="73">
        <f t="shared" si="12"/>
        <v>39.043999999999997</v>
      </c>
      <c r="J93" s="72" t="s">
        <v>78</v>
      </c>
      <c r="K93" s="74"/>
      <c r="M93" s="99"/>
      <c r="N93" s="80" t="e">
        <f t="shared" si="15"/>
        <v>#N/A</v>
      </c>
      <c r="O93" s="80"/>
      <c r="P93" s="100"/>
      <c r="Y93" s="91" t="s">
        <v>253</v>
      </c>
      <c r="Z93" s="92">
        <v>19.521999999999998</v>
      </c>
      <c r="AA93" s="92">
        <f t="shared" si="16"/>
        <v>1.9521999999999999</v>
      </c>
    </row>
    <row r="94" spans="1:27" x14ac:dyDescent="0.25">
      <c r="A94" s="95">
        <v>45393</v>
      </c>
      <c r="B94" s="72" t="s">
        <v>486</v>
      </c>
      <c r="C94" s="72" t="s">
        <v>10</v>
      </c>
      <c r="D94" s="72" t="s">
        <v>22</v>
      </c>
      <c r="E94" s="72" t="s">
        <v>56</v>
      </c>
      <c r="F94" s="72">
        <v>1</v>
      </c>
      <c r="G94" s="73">
        <f t="shared" si="17"/>
        <v>30</v>
      </c>
      <c r="H94" s="73">
        <f t="shared" si="14"/>
        <v>30</v>
      </c>
      <c r="I94" s="73">
        <f t="shared" si="12"/>
        <v>30</v>
      </c>
      <c r="J94" s="72" t="s">
        <v>79</v>
      </c>
      <c r="K94" s="74"/>
      <c r="M94" s="99" t="s">
        <v>22</v>
      </c>
      <c r="N94" s="80">
        <f t="shared" si="15"/>
        <v>12</v>
      </c>
      <c r="O94" s="80">
        <f>N94*F94</f>
        <v>12</v>
      </c>
      <c r="P94" s="100" t="s">
        <v>56</v>
      </c>
      <c r="Y94" s="91" t="s">
        <v>254</v>
      </c>
      <c r="Z94" s="92">
        <v>19.001999999999999</v>
      </c>
      <c r="AA94" s="92">
        <f t="shared" si="16"/>
        <v>1.9001999999999999</v>
      </c>
    </row>
    <row r="95" spans="1:27" x14ac:dyDescent="0.25">
      <c r="A95" s="95">
        <v>45393</v>
      </c>
      <c r="B95" s="72" t="s">
        <v>486</v>
      </c>
      <c r="C95" s="72" t="s">
        <v>10</v>
      </c>
      <c r="D95" s="72" t="s">
        <v>42</v>
      </c>
      <c r="E95" s="72" t="s">
        <v>56</v>
      </c>
      <c r="F95" s="72">
        <v>1</v>
      </c>
      <c r="G95" s="73">
        <f t="shared" si="17"/>
        <v>20</v>
      </c>
      <c r="H95" s="73">
        <f t="shared" si="14"/>
        <v>20</v>
      </c>
      <c r="I95" s="73">
        <f t="shared" si="12"/>
        <v>20</v>
      </c>
      <c r="J95" s="72" t="s">
        <v>79</v>
      </c>
      <c r="K95" s="74"/>
      <c r="M95" s="99" t="s">
        <v>42</v>
      </c>
      <c r="N95" s="80">
        <f t="shared" si="15"/>
        <v>8</v>
      </c>
      <c r="O95" s="80">
        <f>N95*F95</f>
        <v>8</v>
      </c>
      <c r="P95" s="100" t="s">
        <v>56</v>
      </c>
      <c r="Y95" s="91" t="s">
        <v>255</v>
      </c>
      <c r="Z95" s="92">
        <v>10</v>
      </c>
      <c r="AA95" s="92">
        <f t="shared" si="16"/>
        <v>1</v>
      </c>
    </row>
    <row r="96" spans="1:27" x14ac:dyDescent="0.25">
      <c r="A96" s="95">
        <v>45393</v>
      </c>
      <c r="B96" s="72" t="s">
        <v>109</v>
      </c>
      <c r="C96" s="72" t="s">
        <v>8</v>
      </c>
      <c r="D96" s="72" t="s">
        <v>17</v>
      </c>
      <c r="E96" s="72" t="s">
        <v>82</v>
      </c>
      <c r="F96" s="72">
        <v>1</v>
      </c>
      <c r="G96" s="73">
        <f t="shared" si="17"/>
        <v>50</v>
      </c>
      <c r="H96" s="73">
        <f t="shared" si="14"/>
        <v>50</v>
      </c>
      <c r="I96" s="73">
        <f t="shared" si="12"/>
        <v>50</v>
      </c>
      <c r="J96" s="72" t="s">
        <v>83</v>
      </c>
      <c r="K96" s="74"/>
      <c r="M96" s="99"/>
      <c r="N96" s="80" t="e">
        <f t="shared" si="15"/>
        <v>#N/A</v>
      </c>
      <c r="O96" s="80"/>
      <c r="P96" s="100"/>
      <c r="Y96" s="91" t="s">
        <v>257</v>
      </c>
      <c r="Z96" s="92">
        <v>10</v>
      </c>
      <c r="AA96" s="92">
        <f t="shared" si="16"/>
        <v>1</v>
      </c>
    </row>
    <row r="97" spans="1:27" x14ac:dyDescent="0.25">
      <c r="A97" s="95">
        <v>45393</v>
      </c>
      <c r="B97" s="72" t="s">
        <v>384</v>
      </c>
      <c r="C97" s="72" t="s">
        <v>8</v>
      </c>
      <c r="D97" s="72" t="s">
        <v>18</v>
      </c>
      <c r="E97" s="72" t="s">
        <v>82</v>
      </c>
      <c r="F97" s="72">
        <v>1</v>
      </c>
      <c r="G97" s="73">
        <f t="shared" si="17"/>
        <v>40</v>
      </c>
      <c r="H97" s="73">
        <f t="shared" si="14"/>
        <v>40</v>
      </c>
      <c r="I97" s="73">
        <f t="shared" si="12"/>
        <v>40</v>
      </c>
      <c r="J97" s="72" t="s">
        <v>83</v>
      </c>
      <c r="K97" s="74"/>
      <c r="M97" s="99"/>
      <c r="N97" s="80" t="e">
        <f t="shared" si="15"/>
        <v>#N/A</v>
      </c>
      <c r="O97" s="80"/>
      <c r="P97" s="100"/>
      <c r="Y97" s="91" t="s">
        <v>259</v>
      </c>
      <c r="Z97" s="92">
        <v>9.7609999999999992</v>
      </c>
      <c r="AA97" s="92">
        <f t="shared" si="16"/>
        <v>0.97609999999999997</v>
      </c>
    </row>
    <row r="98" spans="1:27" x14ac:dyDescent="0.25">
      <c r="A98" s="95">
        <v>45393</v>
      </c>
      <c r="B98" s="72" t="s">
        <v>369</v>
      </c>
      <c r="C98" s="72" t="s">
        <v>8</v>
      </c>
      <c r="D98" s="72" t="s">
        <v>18</v>
      </c>
      <c r="E98" s="72" t="s">
        <v>82</v>
      </c>
      <c r="F98" s="72">
        <v>1</v>
      </c>
      <c r="G98" s="73">
        <f t="shared" si="17"/>
        <v>40</v>
      </c>
      <c r="H98" s="73">
        <f t="shared" si="14"/>
        <v>40</v>
      </c>
      <c r="I98" s="73">
        <f t="shared" si="12"/>
        <v>40</v>
      </c>
      <c r="J98" s="72" t="s">
        <v>83</v>
      </c>
      <c r="K98" s="74"/>
      <c r="M98" s="99"/>
      <c r="N98" s="80" t="e">
        <f t="shared" si="15"/>
        <v>#N/A</v>
      </c>
      <c r="O98" s="80"/>
      <c r="P98" s="100"/>
      <c r="Y98" s="91" t="s">
        <v>261</v>
      </c>
      <c r="Z98" s="92">
        <v>9.5009999999999994</v>
      </c>
      <c r="AA98" s="92">
        <f t="shared" si="16"/>
        <v>0.95009999999999994</v>
      </c>
    </row>
    <row r="99" spans="1:27" x14ac:dyDescent="0.25">
      <c r="A99" s="95">
        <v>45393</v>
      </c>
      <c r="B99" s="72" t="s">
        <v>487</v>
      </c>
      <c r="C99" s="72" t="s">
        <v>8</v>
      </c>
      <c r="D99" s="72" t="s">
        <v>18</v>
      </c>
      <c r="E99" s="72" t="s">
        <v>82</v>
      </c>
      <c r="F99" s="72">
        <v>1</v>
      </c>
      <c r="G99" s="73">
        <f t="shared" si="17"/>
        <v>40</v>
      </c>
      <c r="H99" s="73">
        <f t="shared" si="14"/>
        <v>40</v>
      </c>
      <c r="I99" s="73">
        <f t="shared" si="12"/>
        <v>39.043999999999997</v>
      </c>
      <c r="J99" s="72" t="s">
        <v>78</v>
      </c>
      <c r="K99" s="74"/>
      <c r="M99" s="99"/>
      <c r="N99" s="80" t="e">
        <f t="shared" si="15"/>
        <v>#N/A</v>
      </c>
      <c r="O99" s="80"/>
      <c r="P99" s="100"/>
      <c r="Y99" s="91" t="s">
        <v>263</v>
      </c>
      <c r="Z99" s="92">
        <v>35</v>
      </c>
      <c r="AA99" s="92">
        <f t="shared" si="16"/>
        <v>3.5</v>
      </c>
    </row>
    <row r="100" spans="1:27" x14ac:dyDescent="0.25">
      <c r="A100" s="95">
        <v>45394</v>
      </c>
      <c r="B100" s="72" t="s">
        <v>488</v>
      </c>
      <c r="C100" s="72" t="s">
        <v>8</v>
      </c>
      <c r="D100" s="72" t="s">
        <v>18</v>
      </c>
      <c r="E100" s="72" t="s">
        <v>56</v>
      </c>
      <c r="F100" s="72">
        <v>1</v>
      </c>
      <c r="G100" s="73">
        <f t="shared" si="17"/>
        <v>40</v>
      </c>
      <c r="H100" s="73">
        <f t="shared" si="14"/>
        <v>40</v>
      </c>
      <c r="I100" s="73">
        <f t="shared" si="12"/>
        <v>39.043999999999997</v>
      </c>
      <c r="J100" s="72" t="s">
        <v>78</v>
      </c>
      <c r="K100" s="74"/>
      <c r="M100" s="99" t="s">
        <v>18</v>
      </c>
      <c r="N100" s="80">
        <f t="shared" si="15"/>
        <v>16</v>
      </c>
      <c r="O100" s="80">
        <f>N100*F100</f>
        <v>16</v>
      </c>
      <c r="P100" s="100" t="s">
        <v>56</v>
      </c>
      <c r="Y100" s="91" t="s">
        <v>265</v>
      </c>
      <c r="Z100" s="92">
        <v>35</v>
      </c>
      <c r="AA100" s="92">
        <f t="shared" si="16"/>
        <v>3.5</v>
      </c>
    </row>
    <row r="101" spans="1:27" x14ac:dyDescent="0.25">
      <c r="A101" s="95">
        <v>45394</v>
      </c>
      <c r="B101" s="72" t="s">
        <v>488</v>
      </c>
      <c r="C101" s="72" t="s">
        <v>8</v>
      </c>
      <c r="D101" s="72" t="s">
        <v>13</v>
      </c>
      <c r="E101" s="72" t="s">
        <v>56</v>
      </c>
      <c r="F101" s="72">
        <v>1</v>
      </c>
      <c r="G101" s="73">
        <v>40</v>
      </c>
      <c r="H101" s="73">
        <f t="shared" si="14"/>
        <v>40</v>
      </c>
      <c r="I101" s="73">
        <f t="shared" si="12"/>
        <v>39.043999999999997</v>
      </c>
      <c r="J101" s="72" t="s">
        <v>78</v>
      </c>
      <c r="K101" s="74" t="s">
        <v>489</v>
      </c>
      <c r="M101" s="99" t="s">
        <v>13</v>
      </c>
      <c r="N101" s="80">
        <f t="shared" si="15"/>
        <v>12</v>
      </c>
      <c r="O101" s="80">
        <f>N101*F101</f>
        <v>12</v>
      </c>
      <c r="P101" s="100" t="s">
        <v>56</v>
      </c>
      <c r="Y101" s="91" t="s">
        <v>267</v>
      </c>
      <c r="Z101" s="92">
        <v>34.163499999999999</v>
      </c>
      <c r="AA101" s="92">
        <f t="shared" si="16"/>
        <v>3.41635</v>
      </c>
    </row>
    <row r="102" spans="1:27" x14ac:dyDescent="0.25">
      <c r="A102" s="95">
        <v>45394</v>
      </c>
      <c r="B102" s="72" t="s">
        <v>460</v>
      </c>
      <c r="C102" s="72" t="s">
        <v>8</v>
      </c>
      <c r="D102" s="72" t="s">
        <v>22</v>
      </c>
      <c r="E102" s="72" t="s">
        <v>82</v>
      </c>
      <c r="F102" s="72">
        <v>1</v>
      </c>
      <c r="G102" s="73">
        <f t="shared" ref="G102:G137" si="18">VLOOKUP(D102,$S$3:$T$120,2,0)</f>
        <v>30</v>
      </c>
      <c r="H102" s="73">
        <f t="shared" si="14"/>
        <v>30</v>
      </c>
      <c r="I102" s="73">
        <f t="shared" si="12"/>
        <v>30</v>
      </c>
      <c r="J102" s="72" t="s">
        <v>83</v>
      </c>
      <c r="K102" s="74"/>
      <c r="M102" s="99"/>
      <c r="N102" s="80" t="e">
        <f t="shared" si="15"/>
        <v>#N/A</v>
      </c>
      <c r="O102" s="80"/>
      <c r="P102" s="100"/>
      <c r="Y102" s="91" t="s">
        <v>269</v>
      </c>
      <c r="Z102" s="92">
        <v>33.253500000000003</v>
      </c>
      <c r="AA102" s="92">
        <f t="shared" si="16"/>
        <v>3.3253500000000003</v>
      </c>
    </row>
    <row r="103" spans="1:27" x14ac:dyDescent="0.25">
      <c r="A103" s="95">
        <v>45394</v>
      </c>
      <c r="B103" s="72" t="s">
        <v>490</v>
      </c>
      <c r="C103" s="72" t="s">
        <v>96</v>
      </c>
      <c r="D103" s="72" t="s">
        <v>40</v>
      </c>
      <c r="E103" s="72" t="s">
        <v>82</v>
      </c>
      <c r="F103" s="72">
        <v>1</v>
      </c>
      <c r="G103" s="73">
        <f t="shared" si="18"/>
        <v>45</v>
      </c>
      <c r="H103" s="73">
        <f t="shared" si="14"/>
        <v>45</v>
      </c>
      <c r="I103" s="73">
        <f t="shared" si="12"/>
        <v>43.924500000000002</v>
      </c>
      <c r="J103" s="72" t="s">
        <v>78</v>
      </c>
      <c r="K103" s="74"/>
      <c r="M103" s="99"/>
      <c r="N103" s="80" t="e">
        <f t="shared" si="15"/>
        <v>#N/A</v>
      </c>
      <c r="O103" s="80"/>
      <c r="P103" s="100"/>
      <c r="Y103" s="91" t="s">
        <v>271</v>
      </c>
      <c r="Z103" s="92">
        <v>35</v>
      </c>
      <c r="AA103" s="92">
        <f t="shared" si="16"/>
        <v>3.5</v>
      </c>
    </row>
    <row r="104" spans="1:27" x14ac:dyDescent="0.25">
      <c r="A104" s="95">
        <v>45394</v>
      </c>
      <c r="B104" s="72" t="s">
        <v>491</v>
      </c>
      <c r="C104" s="72" t="s">
        <v>8</v>
      </c>
      <c r="D104" s="72" t="s">
        <v>18</v>
      </c>
      <c r="E104" s="72" t="s">
        <v>82</v>
      </c>
      <c r="F104" s="72">
        <v>1</v>
      </c>
      <c r="G104" s="73">
        <f t="shared" si="18"/>
        <v>40</v>
      </c>
      <c r="H104" s="73">
        <f t="shared" si="14"/>
        <v>40</v>
      </c>
      <c r="I104" s="73">
        <f t="shared" si="12"/>
        <v>39.043999999999997</v>
      </c>
      <c r="J104" s="72" t="s">
        <v>78</v>
      </c>
      <c r="K104" s="74"/>
      <c r="M104" s="99"/>
      <c r="N104" s="80" t="e">
        <f t="shared" si="15"/>
        <v>#N/A</v>
      </c>
      <c r="O104" s="80"/>
      <c r="P104" s="100"/>
      <c r="Y104" s="91" t="s">
        <v>273</v>
      </c>
      <c r="Z104" s="92">
        <v>35</v>
      </c>
      <c r="AA104" s="92">
        <f t="shared" si="16"/>
        <v>3.5</v>
      </c>
    </row>
    <row r="105" spans="1:27" x14ac:dyDescent="0.25">
      <c r="A105" s="95">
        <v>45394</v>
      </c>
      <c r="B105" s="72" t="s">
        <v>492</v>
      </c>
      <c r="C105" s="72" t="s">
        <v>8</v>
      </c>
      <c r="D105" s="72" t="s">
        <v>17</v>
      </c>
      <c r="E105" s="72" t="s">
        <v>82</v>
      </c>
      <c r="F105" s="72">
        <v>1</v>
      </c>
      <c r="G105" s="73">
        <f t="shared" si="18"/>
        <v>50</v>
      </c>
      <c r="H105" s="73">
        <f t="shared" si="14"/>
        <v>50</v>
      </c>
      <c r="I105" s="73">
        <f t="shared" si="12"/>
        <v>50</v>
      </c>
      <c r="J105" s="72" t="s">
        <v>83</v>
      </c>
      <c r="K105" s="74"/>
      <c r="M105" s="99"/>
      <c r="N105" s="80" t="e">
        <f t="shared" si="15"/>
        <v>#N/A</v>
      </c>
      <c r="O105" s="80"/>
      <c r="P105" s="100"/>
      <c r="Y105" s="91" t="s">
        <v>275</v>
      </c>
      <c r="Z105" s="92">
        <v>34.163499999999999</v>
      </c>
      <c r="AA105" s="92">
        <f t="shared" si="16"/>
        <v>3.41635</v>
      </c>
    </row>
    <row r="106" spans="1:27" x14ac:dyDescent="0.25">
      <c r="A106" s="95">
        <v>45394</v>
      </c>
      <c r="B106" s="72" t="s">
        <v>210</v>
      </c>
      <c r="C106" s="72" t="s">
        <v>8</v>
      </c>
      <c r="D106" s="72" t="s">
        <v>18</v>
      </c>
      <c r="E106" s="72" t="s">
        <v>56</v>
      </c>
      <c r="F106" s="72">
        <v>1</v>
      </c>
      <c r="G106" s="73">
        <f t="shared" si="18"/>
        <v>40</v>
      </c>
      <c r="H106" s="73">
        <f t="shared" si="14"/>
        <v>40</v>
      </c>
      <c r="I106" s="73">
        <f t="shared" si="12"/>
        <v>39.043999999999997</v>
      </c>
      <c r="J106" s="72" t="s">
        <v>78</v>
      </c>
      <c r="K106" s="74"/>
      <c r="M106" s="99" t="s">
        <v>18</v>
      </c>
      <c r="N106" s="80">
        <f t="shared" ref="N106:N137" si="19">VLOOKUP(M106,$S$3:$U$60,3,0)</f>
        <v>16</v>
      </c>
      <c r="O106" s="80">
        <f>N106*F106</f>
        <v>16</v>
      </c>
      <c r="P106" s="100" t="s">
        <v>56</v>
      </c>
      <c r="Y106" s="91" t="s">
        <v>277</v>
      </c>
      <c r="Z106" s="92">
        <v>33.253500000000003</v>
      </c>
      <c r="AA106" s="92">
        <f t="shared" si="16"/>
        <v>3.3253500000000003</v>
      </c>
    </row>
    <row r="107" spans="1:27" x14ac:dyDescent="0.25">
      <c r="A107" s="95">
        <v>45394</v>
      </c>
      <c r="B107" s="72" t="s">
        <v>438</v>
      </c>
      <c r="C107" s="72" t="s">
        <v>8</v>
      </c>
      <c r="D107" s="72" t="s">
        <v>43</v>
      </c>
      <c r="E107" s="72"/>
      <c r="F107" s="72">
        <v>1</v>
      </c>
      <c r="G107" s="73">
        <f t="shared" si="18"/>
        <v>130</v>
      </c>
      <c r="H107" s="73">
        <f t="shared" si="14"/>
        <v>130</v>
      </c>
      <c r="I107" s="73">
        <f t="shared" si="12"/>
        <v>123.51300000000001</v>
      </c>
      <c r="J107" s="72" t="s">
        <v>86</v>
      </c>
      <c r="K107" s="74"/>
      <c r="M107" s="99"/>
      <c r="N107" s="80" t="e">
        <f t="shared" si="19"/>
        <v>#N/A</v>
      </c>
      <c r="O107" s="80"/>
      <c r="P107" s="100"/>
      <c r="Y107" s="91" t="s">
        <v>278</v>
      </c>
      <c r="Z107" s="92">
        <v>35</v>
      </c>
      <c r="AA107" s="92">
        <f t="shared" ref="AA107:AA138" si="20">Z107*0.1</f>
        <v>3.5</v>
      </c>
    </row>
    <row r="108" spans="1:27" x14ac:dyDescent="0.25">
      <c r="A108" s="95">
        <v>45394</v>
      </c>
      <c r="B108" s="72" t="s">
        <v>276</v>
      </c>
      <c r="C108" s="72" t="s">
        <v>8</v>
      </c>
      <c r="D108" s="72" t="s">
        <v>18</v>
      </c>
      <c r="E108" s="72" t="s">
        <v>82</v>
      </c>
      <c r="F108" s="72">
        <v>1</v>
      </c>
      <c r="G108" s="73">
        <f t="shared" si="18"/>
        <v>40</v>
      </c>
      <c r="H108" s="73">
        <f t="shared" si="14"/>
        <v>40</v>
      </c>
      <c r="I108" s="73">
        <f t="shared" si="12"/>
        <v>39.043999999999997</v>
      </c>
      <c r="J108" s="72" t="s">
        <v>78</v>
      </c>
      <c r="K108" s="74"/>
      <c r="M108" s="99"/>
      <c r="N108" s="80" t="e">
        <f t="shared" si="19"/>
        <v>#N/A</v>
      </c>
      <c r="O108" s="80"/>
      <c r="P108" s="100"/>
      <c r="Y108" s="91" t="s">
        <v>280</v>
      </c>
      <c r="Z108" s="92">
        <v>35</v>
      </c>
      <c r="AA108" s="92">
        <f t="shared" si="20"/>
        <v>3.5</v>
      </c>
    </row>
    <row r="109" spans="1:27" x14ac:dyDescent="0.25">
      <c r="A109" s="95">
        <v>45394</v>
      </c>
      <c r="B109" s="72" t="s">
        <v>493</v>
      </c>
      <c r="C109" s="72" t="s">
        <v>10</v>
      </c>
      <c r="D109" s="72" t="s">
        <v>15</v>
      </c>
      <c r="E109" s="72" t="s">
        <v>82</v>
      </c>
      <c r="F109" s="72">
        <v>1</v>
      </c>
      <c r="G109" s="73">
        <f t="shared" si="18"/>
        <v>70</v>
      </c>
      <c r="H109" s="73">
        <f t="shared" si="14"/>
        <v>70</v>
      </c>
      <c r="I109" s="73">
        <f t="shared" si="12"/>
        <v>66.507000000000005</v>
      </c>
      <c r="J109" s="72" t="s">
        <v>86</v>
      </c>
      <c r="K109" s="74"/>
      <c r="M109" s="99"/>
      <c r="N109" s="80" t="e">
        <f t="shared" si="19"/>
        <v>#N/A</v>
      </c>
      <c r="O109" s="80"/>
      <c r="P109" s="100"/>
      <c r="Y109" s="91" t="s">
        <v>282</v>
      </c>
      <c r="Z109" s="92">
        <v>34.163499999999999</v>
      </c>
      <c r="AA109" s="92">
        <f t="shared" si="20"/>
        <v>3.41635</v>
      </c>
    </row>
    <row r="110" spans="1:27" x14ac:dyDescent="0.25">
      <c r="A110" s="95">
        <v>45394</v>
      </c>
      <c r="B110" s="72" t="s">
        <v>494</v>
      </c>
      <c r="C110" s="72" t="s">
        <v>8</v>
      </c>
      <c r="D110" s="72" t="s">
        <v>18</v>
      </c>
      <c r="E110" s="72" t="s">
        <v>56</v>
      </c>
      <c r="F110" s="72">
        <v>2</v>
      </c>
      <c r="G110" s="73">
        <f t="shared" si="18"/>
        <v>40</v>
      </c>
      <c r="H110" s="73">
        <f t="shared" si="14"/>
        <v>80</v>
      </c>
      <c r="I110" s="73">
        <f t="shared" si="12"/>
        <v>78.087999999999994</v>
      </c>
      <c r="J110" s="72" t="s">
        <v>78</v>
      </c>
      <c r="K110" s="74"/>
      <c r="M110" s="99" t="s">
        <v>18</v>
      </c>
      <c r="N110" s="80">
        <f t="shared" si="19"/>
        <v>16</v>
      </c>
      <c r="O110" s="80">
        <f>N110*F110</f>
        <v>32</v>
      </c>
      <c r="P110" s="100" t="s">
        <v>56</v>
      </c>
      <c r="Y110" s="91" t="s">
        <v>285</v>
      </c>
      <c r="Z110" s="92">
        <v>33.253500000000003</v>
      </c>
      <c r="AA110" s="92">
        <f t="shared" si="20"/>
        <v>3.3253500000000003</v>
      </c>
    </row>
    <row r="111" spans="1:27" x14ac:dyDescent="0.25">
      <c r="A111" s="95">
        <v>45394</v>
      </c>
      <c r="B111" s="72" t="s">
        <v>427</v>
      </c>
      <c r="C111" s="72" t="s">
        <v>10</v>
      </c>
      <c r="D111" s="72" t="s">
        <v>18</v>
      </c>
      <c r="E111" s="72" t="s">
        <v>56</v>
      </c>
      <c r="F111" s="72">
        <v>2</v>
      </c>
      <c r="G111" s="73">
        <f t="shared" si="18"/>
        <v>40</v>
      </c>
      <c r="H111" s="73">
        <f t="shared" si="14"/>
        <v>80</v>
      </c>
      <c r="I111" s="73">
        <f t="shared" si="12"/>
        <v>78.087999999999994</v>
      </c>
      <c r="J111" s="72" t="s">
        <v>78</v>
      </c>
      <c r="K111" s="74"/>
      <c r="M111" s="99" t="s">
        <v>18</v>
      </c>
      <c r="N111" s="80">
        <f t="shared" si="19"/>
        <v>16</v>
      </c>
      <c r="O111" s="80">
        <f>N111*F111</f>
        <v>32</v>
      </c>
      <c r="P111" s="100" t="s">
        <v>56</v>
      </c>
      <c r="Y111" s="91" t="s">
        <v>286</v>
      </c>
      <c r="Z111" s="92">
        <v>35</v>
      </c>
      <c r="AA111" s="92">
        <f t="shared" si="20"/>
        <v>3.5</v>
      </c>
    </row>
    <row r="112" spans="1:27" x14ac:dyDescent="0.25">
      <c r="A112" s="95">
        <v>45394</v>
      </c>
      <c r="B112" s="72" t="s">
        <v>427</v>
      </c>
      <c r="C112" s="72" t="s">
        <v>10</v>
      </c>
      <c r="D112" s="72" t="s">
        <v>24</v>
      </c>
      <c r="E112" s="72" t="s">
        <v>56</v>
      </c>
      <c r="F112" s="72">
        <v>1</v>
      </c>
      <c r="G112" s="73">
        <f t="shared" si="18"/>
        <v>10</v>
      </c>
      <c r="H112" s="73">
        <f t="shared" si="14"/>
        <v>10</v>
      </c>
      <c r="I112" s="73">
        <f t="shared" si="12"/>
        <v>9.7609999999999992</v>
      </c>
      <c r="J112" s="72" t="s">
        <v>78</v>
      </c>
      <c r="K112" s="74"/>
      <c r="M112" s="99" t="s">
        <v>24</v>
      </c>
      <c r="N112" s="80">
        <f t="shared" si="19"/>
        <v>4</v>
      </c>
      <c r="O112" s="80">
        <f>N112*F112</f>
        <v>4</v>
      </c>
      <c r="P112" s="100" t="s">
        <v>56</v>
      </c>
      <c r="Y112" s="91" t="s">
        <v>287</v>
      </c>
      <c r="Z112" s="92">
        <v>35</v>
      </c>
      <c r="AA112" s="92">
        <f t="shared" si="20"/>
        <v>3.5</v>
      </c>
    </row>
    <row r="113" spans="1:27" x14ac:dyDescent="0.25">
      <c r="A113" s="95">
        <v>45394</v>
      </c>
      <c r="B113" s="72" t="s">
        <v>276</v>
      </c>
      <c r="C113" s="72" t="s">
        <v>8</v>
      </c>
      <c r="D113" s="72" t="s">
        <v>40</v>
      </c>
      <c r="E113" s="72" t="s">
        <v>82</v>
      </c>
      <c r="F113" s="72">
        <v>1</v>
      </c>
      <c r="G113" s="73">
        <f t="shared" si="18"/>
        <v>45</v>
      </c>
      <c r="H113" s="73">
        <f t="shared" si="14"/>
        <v>45</v>
      </c>
      <c r="I113" s="73">
        <f t="shared" si="12"/>
        <v>43.924500000000002</v>
      </c>
      <c r="J113" s="72" t="s">
        <v>78</v>
      </c>
      <c r="K113" s="74"/>
      <c r="M113" s="99"/>
      <c r="N113" s="80" t="e">
        <f t="shared" si="19"/>
        <v>#N/A</v>
      </c>
      <c r="O113" s="80"/>
      <c r="P113" s="100"/>
      <c r="Y113" s="91" t="s">
        <v>288</v>
      </c>
      <c r="Z113" s="92">
        <v>34.163499999999999</v>
      </c>
      <c r="AA113" s="92">
        <f t="shared" si="20"/>
        <v>3.41635</v>
      </c>
    </row>
    <row r="114" spans="1:27" x14ac:dyDescent="0.25">
      <c r="A114" s="95">
        <v>45394</v>
      </c>
      <c r="B114" s="72" t="s">
        <v>495</v>
      </c>
      <c r="C114" s="72" t="s">
        <v>8</v>
      </c>
      <c r="D114" s="72" t="s">
        <v>15</v>
      </c>
      <c r="E114" s="72" t="s">
        <v>82</v>
      </c>
      <c r="F114" s="72">
        <v>1</v>
      </c>
      <c r="G114" s="73">
        <f t="shared" si="18"/>
        <v>70</v>
      </c>
      <c r="H114" s="73">
        <f t="shared" si="14"/>
        <v>70</v>
      </c>
      <c r="I114" s="73">
        <f t="shared" si="12"/>
        <v>70</v>
      </c>
      <c r="J114" s="72" t="s">
        <v>83</v>
      </c>
      <c r="K114" s="74"/>
      <c r="M114" s="99"/>
      <c r="N114" s="80" t="e">
        <f t="shared" si="19"/>
        <v>#N/A</v>
      </c>
      <c r="O114" s="80"/>
      <c r="P114" s="100"/>
      <c r="Y114" s="91" t="s">
        <v>290</v>
      </c>
      <c r="Z114" s="92">
        <v>33.253500000000003</v>
      </c>
      <c r="AA114" s="92">
        <f t="shared" si="20"/>
        <v>3.3253500000000003</v>
      </c>
    </row>
    <row r="115" spans="1:27" x14ac:dyDescent="0.25">
      <c r="A115" s="95">
        <v>45394</v>
      </c>
      <c r="B115" s="72" t="s">
        <v>496</v>
      </c>
      <c r="C115" s="72" t="s">
        <v>8</v>
      </c>
      <c r="D115" s="72" t="s">
        <v>16</v>
      </c>
      <c r="E115" s="72" t="s">
        <v>82</v>
      </c>
      <c r="F115" s="72">
        <v>1</v>
      </c>
      <c r="G115" s="73">
        <f t="shared" si="18"/>
        <v>80</v>
      </c>
      <c r="H115" s="73">
        <f t="shared" si="14"/>
        <v>80</v>
      </c>
      <c r="I115" s="73">
        <f t="shared" si="12"/>
        <v>80</v>
      </c>
      <c r="J115" s="72" t="s">
        <v>83</v>
      </c>
      <c r="K115" s="74"/>
      <c r="M115" s="99"/>
      <c r="N115" s="80" t="e">
        <f t="shared" si="19"/>
        <v>#N/A</v>
      </c>
      <c r="O115" s="80"/>
      <c r="P115" s="100"/>
      <c r="Y115" s="91" t="s">
        <v>292</v>
      </c>
      <c r="Z115" s="92">
        <v>60</v>
      </c>
      <c r="AA115" s="92">
        <f t="shared" si="20"/>
        <v>6</v>
      </c>
    </row>
    <row r="116" spans="1:27" x14ac:dyDescent="0.25">
      <c r="A116" s="95">
        <v>45394</v>
      </c>
      <c r="B116" s="72" t="s">
        <v>496</v>
      </c>
      <c r="C116" s="72" t="s">
        <v>8</v>
      </c>
      <c r="D116" s="72" t="s">
        <v>44</v>
      </c>
      <c r="E116" s="72" t="s">
        <v>82</v>
      </c>
      <c r="F116" s="72">
        <v>5</v>
      </c>
      <c r="G116" s="73">
        <f t="shared" si="18"/>
        <v>5</v>
      </c>
      <c r="H116" s="73">
        <f t="shared" si="14"/>
        <v>25</v>
      </c>
      <c r="I116" s="73">
        <f t="shared" si="12"/>
        <v>25</v>
      </c>
      <c r="J116" s="72" t="s">
        <v>83</v>
      </c>
      <c r="K116" s="74"/>
      <c r="M116" s="99"/>
      <c r="N116" s="80" t="e">
        <f t="shared" si="19"/>
        <v>#N/A</v>
      </c>
      <c r="O116" s="80"/>
      <c r="P116" s="100"/>
      <c r="Y116" s="91" t="s">
        <v>293</v>
      </c>
      <c r="Z116" s="92">
        <v>60</v>
      </c>
      <c r="AA116" s="92">
        <f t="shared" si="20"/>
        <v>6</v>
      </c>
    </row>
    <row r="117" spans="1:27" x14ac:dyDescent="0.25">
      <c r="A117" s="95">
        <v>45394</v>
      </c>
      <c r="B117" s="72" t="s">
        <v>109</v>
      </c>
      <c r="C117" s="72" t="s">
        <v>8</v>
      </c>
      <c r="D117" s="72" t="s">
        <v>17</v>
      </c>
      <c r="E117" s="72" t="s">
        <v>82</v>
      </c>
      <c r="F117" s="72">
        <v>1</v>
      </c>
      <c r="G117" s="73">
        <f t="shared" si="18"/>
        <v>50</v>
      </c>
      <c r="H117" s="73">
        <f t="shared" si="14"/>
        <v>50</v>
      </c>
      <c r="I117" s="73">
        <f t="shared" si="12"/>
        <v>50</v>
      </c>
      <c r="J117" s="72" t="s">
        <v>83</v>
      </c>
      <c r="K117" s="74"/>
      <c r="M117" s="99"/>
      <c r="N117" s="80" t="e">
        <f t="shared" si="19"/>
        <v>#N/A</v>
      </c>
      <c r="O117" s="80"/>
      <c r="P117" s="100"/>
      <c r="Y117" s="91" t="s">
        <v>295</v>
      </c>
      <c r="Z117" s="92">
        <v>58.566000000000003</v>
      </c>
      <c r="AA117" s="92">
        <f t="shared" si="20"/>
        <v>5.8566000000000003</v>
      </c>
    </row>
    <row r="118" spans="1:27" x14ac:dyDescent="0.25">
      <c r="A118" s="95">
        <v>45394</v>
      </c>
      <c r="B118" s="72" t="s">
        <v>497</v>
      </c>
      <c r="C118" s="72" t="s">
        <v>10</v>
      </c>
      <c r="D118" s="72" t="s">
        <v>18</v>
      </c>
      <c r="E118" s="72" t="s">
        <v>56</v>
      </c>
      <c r="F118" s="72">
        <v>1</v>
      </c>
      <c r="G118" s="73">
        <f t="shared" si="18"/>
        <v>40</v>
      </c>
      <c r="H118" s="73">
        <f t="shared" si="14"/>
        <v>40</v>
      </c>
      <c r="I118" s="73">
        <f t="shared" si="12"/>
        <v>39.043999999999997</v>
      </c>
      <c r="J118" s="72" t="s">
        <v>78</v>
      </c>
      <c r="K118" s="74"/>
      <c r="M118" s="99" t="s">
        <v>18</v>
      </c>
      <c r="N118" s="80">
        <f t="shared" si="19"/>
        <v>16</v>
      </c>
      <c r="O118" s="80">
        <f>N118*F118</f>
        <v>16</v>
      </c>
      <c r="P118" s="100" t="s">
        <v>56</v>
      </c>
      <c r="Y118" s="91" t="s">
        <v>296</v>
      </c>
      <c r="Z118" s="92">
        <v>57.006</v>
      </c>
      <c r="AA118" s="92">
        <f t="shared" si="20"/>
        <v>5.7006000000000006</v>
      </c>
    </row>
    <row r="119" spans="1:27" x14ac:dyDescent="0.25">
      <c r="A119" s="95">
        <v>45394</v>
      </c>
      <c r="B119" s="72" t="s">
        <v>497</v>
      </c>
      <c r="C119" s="72" t="s">
        <v>10</v>
      </c>
      <c r="D119" s="72" t="s">
        <v>29</v>
      </c>
      <c r="E119" s="72" t="s">
        <v>56</v>
      </c>
      <c r="F119" s="72">
        <v>1</v>
      </c>
      <c r="G119" s="73">
        <f t="shared" si="18"/>
        <v>7</v>
      </c>
      <c r="H119" s="73">
        <f t="shared" si="14"/>
        <v>7</v>
      </c>
      <c r="I119" s="73">
        <f t="shared" si="12"/>
        <v>6.8327</v>
      </c>
      <c r="J119" s="72" t="s">
        <v>78</v>
      </c>
      <c r="K119" s="74"/>
      <c r="M119" s="99" t="s">
        <v>29</v>
      </c>
      <c r="N119" s="80">
        <f t="shared" si="19"/>
        <v>0.70000000000000007</v>
      </c>
      <c r="O119" s="80">
        <f>N119*F119</f>
        <v>0.70000000000000007</v>
      </c>
      <c r="P119" s="100" t="s">
        <v>56</v>
      </c>
      <c r="Y119" s="91" t="s">
        <v>298</v>
      </c>
      <c r="Z119" s="92">
        <v>6</v>
      </c>
      <c r="AA119" s="92">
        <f t="shared" si="20"/>
        <v>0.60000000000000009</v>
      </c>
    </row>
    <row r="120" spans="1:27" x14ac:dyDescent="0.25">
      <c r="A120" s="95">
        <v>45394</v>
      </c>
      <c r="B120" s="72" t="s">
        <v>498</v>
      </c>
      <c r="C120" s="72" t="s">
        <v>8</v>
      </c>
      <c r="D120" s="72" t="s">
        <v>41</v>
      </c>
      <c r="E120" s="72" t="s">
        <v>82</v>
      </c>
      <c r="F120" s="72">
        <v>1</v>
      </c>
      <c r="G120" s="73">
        <f t="shared" si="18"/>
        <v>7</v>
      </c>
      <c r="H120" s="73">
        <f t="shared" si="14"/>
        <v>7</v>
      </c>
      <c r="I120" s="73">
        <f t="shared" si="12"/>
        <v>6.8327</v>
      </c>
      <c r="J120" s="72" t="s">
        <v>78</v>
      </c>
      <c r="K120" s="74"/>
      <c r="M120" s="99"/>
      <c r="N120" s="80" t="e">
        <f t="shared" si="19"/>
        <v>#N/A</v>
      </c>
      <c r="O120" s="80"/>
      <c r="P120" s="100"/>
      <c r="Y120" s="91" t="s">
        <v>300</v>
      </c>
      <c r="Z120" s="92">
        <v>6</v>
      </c>
      <c r="AA120" s="92">
        <f t="shared" si="20"/>
        <v>0.60000000000000009</v>
      </c>
    </row>
    <row r="121" spans="1:27" x14ac:dyDescent="0.25">
      <c r="A121" s="95">
        <v>45395</v>
      </c>
      <c r="B121" s="72" t="s">
        <v>497</v>
      </c>
      <c r="C121" s="72" t="s">
        <v>10</v>
      </c>
      <c r="D121" s="72" t="s">
        <v>18</v>
      </c>
      <c r="E121" s="72" t="s">
        <v>56</v>
      </c>
      <c r="F121" s="72">
        <v>1</v>
      </c>
      <c r="G121" s="73">
        <f t="shared" si="18"/>
        <v>40</v>
      </c>
      <c r="H121" s="73">
        <f t="shared" si="14"/>
        <v>40</v>
      </c>
      <c r="I121" s="73">
        <f t="shared" si="12"/>
        <v>40</v>
      </c>
      <c r="J121" s="72" t="s">
        <v>79</v>
      </c>
      <c r="K121" s="74"/>
      <c r="M121" s="99" t="s">
        <v>18</v>
      </c>
      <c r="N121" s="80">
        <f t="shared" si="19"/>
        <v>16</v>
      </c>
      <c r="O121" s="80">
        <f>N121*F121</f>
        <v>16</v>
      </c>
      <c r="P121" s="100" t="s">
        <v>56</v>
      </c>
      <c r="Y121" s="91" t="s">
        <v>302</v>
      </c>
      <c r="Z121" s="92">
        <v>5.8566000000000003</v>
      </c>
      <c r="AA121" s="92">
        <f t="shared" si="20"/>
        <v>0.58566000000000007</v>
      </c>
    </row>
    <row r="122" spans="1:27" x14ac:dyDescent="0.25">
      <c r="A122" s="95">
        <v>45395</v>
      </c>
      <c r="B122" s="72" t="s">
        <v>499</v>
      </c>
      <c r="C122" s="72" t="s">
        <v>8</v>
      </c>
      <c r="D122" s="72" t="s">
        <v>18</v>
      </c>
      <c r="E122" s="72" t="s">
        <v>56</v>
      </c>
      <c r="F122" s="72">
        <v>1</v>
      </c>
      <c r="G122" s="73">
        <f t="shared" si="18"/>
        <v>40</v>
      </c>
      <c r="H122" s="73">
        <f t="shared" si="14"/>
        <v>40</v>
      </c>
      <c r="I122" s="73">
        <f t="shared" si="12"/>
        <v>38.003999999999998</v>
      </c>
      <c r="J122" s="72" t="s">
        <v>86</v>
      </c>
      <c r="K122" s="74"/>
      <c r="M122" s="99" t="s">
        <v>18</v>
      </c>
      <c r="N122" s="80">
        <f t="shared" si="19"/>
        <v>16</v>
      </c>
      <c r="O122" s="80">
        <f>N122*F122</f>
        <v>16</v>
      </c>
      <c r="P122" s="100" t="s">
        <v>56</v>
      </c>
      <c r="Y122" s="91" t="s">
        <v>304</v>
      </c>
      <c r="Z122" s="92">
        <v>5.7005999999999997</v>
      </c>
      <c r="AA122" s="92">
        <f t="shared" si="20"/>
        <v>0.57006000000000001</v>
      </c>
    </row>
    <row r="123" spans="1:27" x14ac:dyDescent="0.25">
      <c r="A123" s="95">
        <v>45395</v>
      </c>
      <c r="B123" s="72" t="s">
        <v>499</v>
      </c>
      <c r="C123" s="72" t="s">
        <v>8</v>
      </c>
      <c r="D123" s="72" t="s">
        <v>37</v>
      </c>
      <c r="E123" s="72" t="s">
        <v>56</v>
      </c>
      <c r="F123" s="72">
        <v>1</v>
      </c>
      <c r="G123" s="73">
        <f t="shared" si="18"/>
        <v>7</v>
      </c>
      <c r="H123" s="73">
        <f t="shared" si="14"/>
        <v>7</v>
      </c>
      <c r="I123" s="73">
        <f t="shared" si="12"/>
        <v>6.6506999999999996</v>
      </c>
      <c r="J123" s="72" t="s">
        <v>86</v>
      </c>
      <c r="K123" s="74"/>
      <c r="M123" s="99" t="s">
        <v>37</v>
      </c>
      <c r="N123" s="80">
        <f t="shared" si="19"/>
        <v>0.70000000000000007</v>
      </c>
      <c r="O123" s="80">
        <f>N123*F123</f>
        <v>0.70000000000000007</v>
      </c>
      <c r="P123" s="100" t="s">
        <v>56</v>
      </c>
      <c r="Y123" s="91" t="s">
        <v>305</v>
      </c>
      <c r="Z123" s="92">
        <v>7</v>
      </c>
      <c r="AA123" s="92">
        <f t="shared" si="20"/>
        <v>0.70000000000000007</v>
      </c>
    </row>
    <row r="124" spans="1:27" x14ac:dyDescent="0.25">
      <c r="A124" s="95">
        <v>45395</v>
      </c>
      <c r="B124" s="72" t="s">
        <v>500</v>
      </c>
      <c r="C124" s="72" t="s">
        <v>8</v>
      </c>
      <c r="D124" s="72" t="s">
        <v>16</v>
      </c>
      <c r="E124" s="72" t="s">
        <v>82</v>
      </c>
      <c r="F124" s="72">
        <v>1</v>
      </c>
      <c r="G124" s="73">
        <f t="shared" si="18"/>
        <v>80</v>
      </c>
      <c r="H124" s="73">
        <f t="shared" si="14"/>
        <v>80</v>
      </c>
      <c r="I124" s="73">
        <f t="shared" si="12"/>
        <v>76.007999999999996</v>
      </c>
      <c r="J124" s="72" t="s">
        <v>86</v>
      </c>
      <c r="K124" s="74"/>
      <c r="M124" s="99"/>
      <c r="N124" s="80" t="e">
        <f t="shared" si="19"/>
        <v>#N/A</v>
      </c>
      <c r="O124" s="80"/>
      <c r="P124" s="100"/>
      <c r="Y124" s="91" t="s">
        <v>307</v>
      </c>
      <c r="Z124" s="92">
        <v>7</v>
      </c>
      <c r="AA124" s="92">
        <f t="shared" si="20"/>
        <v>0.70000000000000007</v>
      </c>
    </row>
    <row r="125" spans="1:27" x14ac:dyDescent="0.25">
      <c r="A125" s="95">
        <v>45395</v>
      </c>
      <c r="B125" s="72" t="s">
        <v>491</v>
      </c>
      <c r="C125" s="72" t="s">
        <v>8</v>
      </c>
      <c r="D125" s="72" t="s">
        <v>13</v>
      </c>
      <c r="E125" s="72" t="s">
        <v>82</v>
      </c>
      <c r="F125" s="72">
        <v>1</v>
      </c>
      <c r="G125" s="73">
        <f t="shared" si="18"/>
        <v>30</v>
      </c>
      <c r="H125" s="73">
        <f t="shared" si="14"/>
        <v>30</v>
      </c>
      <c r="I125" s="73">
        <f t="shared" si="12"/>
        <v>29.283000000000001</v>
      </c>
      <c r="J125" s="72" t="s">
        <v>78</v>
      </c>
      <c r="K125" s="74"/>
      <c r="M125" s="99"/>
      <c r="N125" s="80" t="e">
        <f t="shared" si="19"/>
        <v>#N/A</v>
      </c>
      <c r="O125" s="80"/>
      <c r="P125" s="100"/>
      <c r="Y125" s="91" t="s">
        <v>309</v>
      </c>
      <c r="Z125" s="92">
        <v>6.8327</v>
      </c>
      <c r="AA125" s="92">
        <f t="shared" si="20"/>
        <v>0.68327000000000004</v>
      </c>
    </row>
    <row r="126" spans="1:27" x14ac:dyDescent="0.25">
      <c r="A126" s="95">
        <v>45395</v>
      </c>
      <c r="B126" s="72" t="s">
        <v>491</v>
      </c>
      <c r="C126" s="72" t="s">
        <v>8</v>
      </c>
      <c r="D126" s="72" t="s">
        <v>26</v>
      </c>
      <c r="E126" s="72" t="s">
        <v>82</v>
      </c>
      <c r="F126" s="72">
        <v>1</v>
      </c>
      <c r="G126" s="73">
        <f t="shared" si="18"/>
        <v>35</v>
      </c>
      <c r="H126" s="73">
        <f t="shared" si="14"/>
        <v>35</v>
      </c>
      <c r="I126" s="73">
        <f t="shared" si="12"/>
        <v>34.163499999999999</v>
      </c>
      <c r="J126" s="72" t="s">
        <v>78</v>
      </c>
      <c r="K126" s="74"/>
      <c r="M126" s="99"/>
      <c r="N126" s="80" t="e">
        <f t="shared" si="19"/>
        <v>#N/A</v>
      </c>
      <c r="O126" s="80"/>
      <c r="P126" s="100"/>
      <c r="Y126" s="91" t="s">
        <v>311</v>
      </c>
      <c r="Z126" s="92">
        <v>6.6506999999999996</v>
      </c>
      <c r="AA126" s="92">
        <f t="shared" si="20"/>
        <v>0.66507000000000005</v>
      </c>
    </row>
    <row r="127" spans="1:27" x14ac:dyDescent="0.25">
      <c r="A127" s="95">
        <v>45395</v>
      </c>
      <c r="B127" s="72" t="s">
        <v>501</v>
      </c>
      <c r="C127" s="72" t="s">
        <v>96</v>
      </c>
      <c r="D127" s="72" t="s">
        <v>16</v>
      </c>
      <c r="E127" s="72" t="s">
        <v>82</v>
      </c>
      <c r="F127" s="72">
        <v>1</v>
      </c>
      <c r="G127" s="73">
        <f t="shared" si="18"/>
        <v>80</v>
      </c>
      <c r="H127" s="73">
        <f t="shared" si="14"/>
        <v>80</v>
      </c>
      <c r="I127" s="73">
        <f t="shared" si="12"/>
        <v>80</v>
      </c>
      <c r="J127" s="72" t="s">
        <v>83</v>
      </c>
      <c r="K127" s="74"/>
      <c r="M127" s="99"/>
      <c r="N127" s="80" t="e">
        <f t="shared" si="19"/>
        <v>#N/A</v>
      </c>
      <c r="O127" s="80"/>
      <c r="P127" s="100"/>
      <c r="Y127" s="91" t="s">
        <v>313</v>
      </c>
      <c r="Z127" s="92">
        <v>5</v>
      </c>
      <c r="AA127" s="92">
        <f t="shared" si="20"/>
        <v>0.5</v>
      </c>
    </row>
    <row r="128" spans="1:27" x14ac:dyDescent="0.25">
      <c r="A128" s="95">
        <v>45395</v>
      </c>
      <c r="B128" s="72" t="s">
        <v>502</v>
      </c>
      <c r="C128" s="72" t="s">
        <v>10</v>
      </c>
      <c r="D128" s="72" t="s">
        <v>39</v>
      </c>
      <c r="E128" s="72" t="s">
        <v>82</v>
      </c>
      <c r="F128" s="72">
        <v>1</v>
      </c>
      <c r="G128" s="73">
        <f t="shared" si="18"/>
        <v>10</v>
      </c>
      <c r="H128" s="73">
        <f t="shared" si="14"/>
        <v>10</v>
      </c>
      <c r="I128" s="73">
        <f t="shared" si="12"/>
        <v>10</v>
      </c>
      <c r="J128" s="72" t="s">
        <v>79</v>
      </c>
      <c r="K128" s="74"/>
      <c r="M128" s="99"/>
      <c r="N128" s="80" t="e">
        <f t="shared" si="19"/>
        <v>#N/A</v>
      </c>
      <c r="O128" s="80"/>
      <c r="P128" s="100"/>
      <c r="Y128" s="91" t="s">
        <v>316</v>
      </c>
      <c r="Z128" s="92">
        <v>5</v>
      </c>
      <c r="AA128" s="92">
        <f t="shared" si="20"/>
        <v>0.5</v>
      </c>
    </row>
    <row r="129" spans="1:27" x14ac:dyDescent="0.25">
      <c r="A129" s="95">
        <v>45395</v>
      </c>
      <c r="B129" s="72" t="s">
        <v>442</v>
      </c>
      <c r="C129" s="72" t="s">
        <v>8</v>
      </c>
      <c r="D129" s="72" t="s">
        <v>15</v>
      </c>
      <c r="E129" s="72" t="s">
        <v>82</v>
      </c>
      <c r="F129" s="72">
        <v>1</v>
      </c>
      <c r="G129" s="73">
        <f t="shared" si="18"/>
        <v>70</v>
      </c>
      <c r="H129" s="73">
        <f t="shared" si="14"/>
        <v>70</v>
      </c>
      <c r="I129" s="73">
        <f t="shared" si="12"/>
        <v>70</v>
      </c>
      <c r="J129" s="72" t="s">
        <v>83</v>
      </c>
      <c r="K129" s="74"/>
      <c r="M129" s="99"/>
      <c r="N129" s="80" t="e">
        <f t="shared" si="19"/>
        <v>#N/A</v>
      </c>
      <c r="O129" s="80"/>
      <c r="P129" s="100"/>
      <c r="Y129" s="91" t="s">
        <v>318</v>
      </c>
      <c r="Z129" s="92">
        <v>4.8804999999999996</v>
      </c>
      <c r="AA129" s="92">
        <f t="shared" si="20"/>
        <v>0.48804999999999998</v>
      </c>
    </row>
    <row r="130" spans="1:27" x14ac:dyDescent="0.25">
      <c r="A130" s="95">
        <v>45395</v>
      </c>
      <c r="B130" s="72" t="s">
        <v>442</v>
      </c>
      <c r="C130" s="72" t="s">
        <v>8</v>
      </c>
      <c r="D130" s="72" t="s">
        <v>38</v>
      </c>
      <c r="E130" s="72" t="s">
        <v>82</v>
      </c>
      <c r="F130" s="72">
        <v>1</v>
      </c>
      <c r="G130" s="73">
        <f t="shared" si="18"/>
        <v>6</v>
      </c>
      <c r="H130" s="73">
        <f t="shared" si="14"/>
        <v>6</v>
      </c>
      <c r="I130" s="73">
        <f t="shared" si="12"/>
        <v>6</v>
      </c>
      <c r="J130" s="72" t="s">
        <v>83</v>
      </c>
      <c r="K130" s="74"/>
      <c r="M130" s="99"/>
      <c r="N130" s="80" t="e">
        <f t="shared" si="19"/>
        <v>#N/A</v>
      </c>
      <c r="O130" s="80"/>
      <c r="P130" s="100"/>
      <c r="Y130" s="91" t="s">
        <v>320</v>
      </c>
      <c r="Z130" s="92">
        <v>4.7504999999999997</v>
      </c>
      <c r="AA130" s="92">
        <f t="shared" si="20"/>
        <v>0.47504999999999997</v>
      </c>
    </row>
    <row r="131" spans="1:27" x14ac:dyDescent="0.25">
      <c r="A131" s="95">
        <v>45395</v>
      </c>
      <c r="B131" s="72" t="s">
        <v>498</v>
      </c>
      <c r="C131" s="72" t="s">
        <v>8</v>
      </c>
      <c r="D131" s="72" t="s">
        <v>16</v>
      </c>
      <c r="E131" s="72" t="s">
        <v>82</v>
      </c>
      <c r="F131" s="72">
        <v>1</v>
      </c>
      <c r="G131" s="73">
        <f t="shared" si="18"/>
        <v>80</v>
      </c>
      <c r="H131" s="73">
        <f t="shared" si="14"/>
        <v>80</v>
      </c>
      <c r="I131" s="73">
        <f t="shared" ref="I131:I194" si="21">IF(J131="Cartão de Debito",H131-(H131*$AC$5),IF(J131="Cartão de Credito",H131-(H131*$AC$6), IF(J131="Pix",H131-(H131*$AC$7), IF(J131="Dinheiro (R$)", H131-(H131*$AC$8)))))</f>
        <v>80</v>
      </c>
      <c r="J131" s="72" t="s">
        <v>83</v>
      </c>
      <c r="K131" s="74"/>
      <c r="M131" s="99"/>
      <c r="N131" s="80" t="e">
        <f t="shared" si="19"/>
        <v>#N/A</v>
      </c>
      <c r="O131" s="80"/>
      <c r="P131" s="100"/>
      <c r="Y131" s="91" t="s">
        <v>321</v>
      </c>
      <c r="Z131" s="92">
        <v>10</v>
      </c>
      <c r="AA131" s="92">
        <f t="shared" si="20"/>
        <v>1</v>
      </c>
    </row>
    <row r="132" spans="1:27" x14ac:dyDescent="0.25">
      <c r="A132" s="95">
        <v>45395</v>
      </c>
      <c r="B132" s="72" t="s">
        <v>503</v>
      </c>
      <c r="C132" s="72" t="s">
        <v>8</v>
      </c>
      <c r="D132" s="72" t="s">
        <v>18</v>
      </c>
      <c r="E132" s="72" t="s">
        <v>56</v>
      </c>
      <c r="F132" s="72">
        <v>3</v>
      </c>
      <c r="G132" s="73">
        <f t="shared" si="18"/>
        <v>40</v>
      </c>
      <c r="H132" s="73">
        <f t="shared" si="14"/>
        <v>120</v>
      </c>
      <c r="I132" s="73">
        <f t="shared" si="21"/>
        <v>120</v>
      </c>
      <c r="J132" s="72" t="s">
        <v>83</v>
      </c>
      <c r="K132" s="74"/>
      <c r="M132" s="99" t="s">
        <v>18</v>
      </c>
      <c r="N132" s="80">
        <f t="shared" si="19"/>
        <v>16</v>
      </c>
      <c r="O132" s="80">
        <f>N132*F132</f>
        <v>48</v>
      </c>
      <c r="P132" s="100" t="s">
        <v>56</v>
      </c>
      <c r="Y132" s="91" t="s">
        <v>323</v>
      </c>
      <c r="Z132" s="92">
        <v>10</v>
      </c>
      <c r="AA132" s="92">
        <f t="shared" si="20"/>
        <v>1</v>
      </c>
    </row>
    <row r="133" spans="1:27" x14ac:dyDescent="0.25">
      <c r="A133" s="95">
        <v>45395</v>
      </c>
      <c r="B133" s="72" t="s">
        <v>504</v>
      </c>
      <c r="C133" s="72" t="s">
        <v>8</v>
      </c>
      <c r="D133" s="72" t="s">
        <v>18</v>
      </c>
      <c r="E133" s="72" t="s">
        <v>82</v>
      </c>
      <c r="F133" s="72">
        <v>1</v>
      </c>
      <c r="G133" s="73">
        <f t="shared" si="18"/>
        <v>40</v>
      </c>
      <c r="H133" s="73">
        <f t="shared" si="14"/>
        <v>40</v>
      </c>
      <c r="I133" s="73">
        <f t="shared" si="21"/>
        <v>40</v>
      </c>
      <c r="J133" s="72" t="s">
        <v>79</v>
      </c>
      <c r="K133" s="74"/>
      <c r="M133" s="99"/>
      <c r="N133" s="80" t="e">
        <f t="shared" si="19"/>
        <v>#N/A</v>
      </c>
      <c r="O133" s="80"/>
      <c r="P133" s="100"/>
      <c r="Y133" s="91" t="s">
        <v>325</v>
      </c>
      <c r="Z133" s="92">
        <v>9.7609999999999992</v>
      </c>
      <c r="AA133" s="92">
        <f t="shared" si="20"/>
        <v>0.97609999999999997</v>
      </c>
    </row>
    <row r="134" spans="1:27" x14ac:dyDescent="0.25">
      <c r="A134" s="95">
        <v>45395</v>
      </c>
      <c r="B134" s="72" t="s">
        <v>505</v>
      </c>
      <c r="C134" s="72" t="s">
        <v>8</v>
      </c>
      <c r="D134" s="72" t="s">
        <v>22</v>
      </c>
      <c r="E134" s="72" t="s">
        <v>82</v>
      </c>
      <c r="F134" s="72">
        <v>1</v>
      </c>
      <c r="G134" s="73">
        <f t="shared" si="18"/>
        <v>30</v>
      </c>
      <c r="H134" s="73">
        <f t="shared" ref="H134:H197" si="22">F134*G134</f>
        <v>30</v>
      </c>
      <c r="I134" s="73">
        <f t="shared" si="21"/>
        <v>30</v>
      </c>
      <c r="J134" s="72" t="s">
        <v>79</v>
      </c>
      <c r="K134" s="74"/>
      <c r="M134" s="99"/>
      <c r="N134" s="80" t="e">
        <f t="shared" si="19"/>
        <v>#N/A</v>
      </c>
      <c r="O134" s="80"/>
      <c r="P134" s="100"/>
      <c r="Y134" s="91" t="s">
        <v>326</v>
      </c>
      <c r="Z134" s="92">
        <v>9.5009999999999994</v>
      </c>
      <c r="AA134" s="92">
        <f t="shared" si="20"/>
        <v>0.95009999999999994</v>
      </c>
    </row>
    <row r="135" spans="1:27" x14ac:dyDescent="0.25">
      <c r="A135" s="95">
        <v>45395</v>
      </c>
      <c r="B135" s="72" t="s">
        <v>505</v>
      </c>
      <c r="C135" s="72" t="s">
        <v>8</v>
      </c>
      <c r="D135" s="72" t="s">
        <v>13</v>
      </c>
      <c r="E135" s="72" t="s">
        <v>82</v>
      </c>
      <c r="F135" s="72">
        <v>1</v>
      </c>
      <c r="G135" s="73">
        <f t="shared" si="18"/>
        <v>30</v>
      </c>
      <c r="H135" s="73">
        <f t="shared" si="22"/>
        <v>30</v>
      </c>
      <c r="I135" s="73">
        <f t="shared" si="21"/>
        <v>30</v>
      </c>
      <c r="J135" s="72" t="s">
        <v>79</v>
      </c>
      <c r="K135" s="74"/>
      <c r="M135" s="99"/>
      <c r="N135" s="80" t="e">
        <f t="shared" si="19"/>
        <v>#N/A</v>
      </c>
      <c r="O135" s="80"/>
      <c r="P135" s="100"/>
      <c r="Y135" s="91" t="s">
        <v>327</v>
      </c>
      <c r="Z135" s="92">
        <v>5</v>
      </c>
      <c r="AA135" s="92">
        <f t="shared" si="20"/>
        <v>0.5</v>
      </c>
    </row>
    <row r="136" spans="1:27" x14ac:dyDescent="0.25">
      <c r="A136" s="95">
        <v>45395</v>
      </c>
      <c r="B136" s="72" t="s">
        <v>505</v>
      </c>
      <c r="C136" s="72" t="s">
        <v>8</v>
      </c>
      <c r="D136" s="72" t="s">
        <v>24</v>
      </c>
      <c r="E136" s="72" t="s">
        <v>82</v>
      </c>
      <c r="F136" s="72">
        <v>1</v>
      </c>
      <c r="G136" s="73">
        <f t="shared" si="18"/>
        <v>10</v>
      </c>
      <c r="H136" s="73">
        <f t="shared" si="22"/>
        <v>10</v>
      </c>
      <c r="I136" s="73">
        <f t="shared" si="21"/>
        <v>10</v>
      </c>
      <c r="J136" s="72" t="s">
        <v>79</v>
      </c>
      <c r="K136" s="74"/>
      <c r="M136" s="99"/>
      <c r="N136" s="80" t="e">
        <f t="shared" si="19"/>
        <v>#N/A</v>
      </c>
      <c r="O136" s="80"/>
      <c r="P136" s="100"/>
      <c r="Y136" s="91" t="s">
        <v>329</v>
      </c>
      <c r="Z136" s="92">
        <v>5</v>
      </c>
      <c r="AA136" s="92">
        <f t="shared" si="20"/>
        <v>0.5</v>
      </c>
    </row>
    <row r="137" spans="1:27" x14ac:dyDescent="0.25">
      <c r="A137" s="95">
        <v>45395</v>
      </c>
      <c r="B137" s="72" t="s">
        <v>322</v>
      </c>
      <c r="C137" s="72" t="s">
        <v>8</v>
      </c>
      <c r="D137" s="72" t="s">
        <v>18</v>
      </c>
      <c r="E137" s="72" t="s">
        <v>82</v>
      </c>
      <c r="F137" s="72">
        <v>1</v>
      </c>
      <c r="G137" s="73">
        <f t="shared" si="18"/>
        <v>40</v>
      </c>
      <c r="H137" s="73">
        <f t="shared" si="22"/>
        <v>40</v>
      </c>
      <c r="I137" s="73">
        <f t="shared" si="21"/>
        <v>39.043999999999997</v>
      </c>
      <c r="J137" s="72" t="s">
        <v>78</v>
      </c>
      <c r="K137" s="74"/>
      <c r="M137" s="99"/>
      <c r="N137" s="80" t="e">
        <f t="shared" si="19"/>
        <v>#N/A</v>
      </c>
      <c r="O137" s="80"/>
      <c r="P137" s="100"/>
      <c r="Y137" s="91" t="s">
        <v>330</v>
      </c>
      <c r="Z137" s="92">
        <v>4.8804999999999996</v>
      </c>
      <c r="AA137" s="92">
        <f t="shared" si="20"/>
        <v>0.48804999999999998</v>
      </c>
    </row>
    <row r="138" spans="1:27" x14ac:dyDescent="0.25">
      <c r="A138" s="95">
        <v>45395</v>
      </c>
      <c r="B138" s="72" t="s">
        <v>506</v>
      </c>
      <c r="C138" s="72" t="s">
        <v>10</v>
      </c>
      <c r="D138" s="72" t="s">
        <v>19</v>
      </c>
      <c r="E138" s="72" t="s">
        <v>56</v>
      </c>
      <c r="F138" s="72">
        <v>1</v>
      </c>
      <c r="G138" s="73">
        <v>30</v>
      </c>
      <c r="H138" s="73">
        <f t="shared" si="22"/>
        <v>30</v>
      </c>
      <c r="I138" s="73">
        <f t="shared" si="21"/>
        <v>30</v>
      </c>
      <c r="J138" s="72" t="s">
        <v>79</v>
      </c>
      <c r="K138" s="74" t="s">
        <v>507</v>
      </c>
      <c r="M138" s="99" t="s">
        <v>19</v>
      </c>
      <c r="N138" s="80">
        <f>H138*0.4</f>
        <v>12</v>
      </c>
      <c r="O138" s="80">
        <f>N138*F138</f>
        <v>12</v>
      </c>
      <c r="P138" s="100" t="s">
        <v>56</v>
      </c>
      <c r="Y138" s="91" t="s">
        <v>331</v>
      </c>
      <c r="Z138" s="92">
        <v>4.7504999999999997</v>
      </c>
      <c r="AA138" s="92">
        <f t="shared" si="20"/>
        <v>0.47504999999999997</v>
      </c>
    </row>
    <row r="139" spans="1:27" x14ac:dyDescent="0.25">
      <c r="A139" s="95">
        <v>45398</v>
      </c>
      <c r="B139" s="72" t="s">
        <v>266</v>
      </c>
      <c r="C139" s="72" t="s">
        <v>8</v>
      </c>
      <c r="D139" s="72" t="s">
        <v>18</v>
      </c>
      <c r="E139" s="72" t="s">
        <v>82</v>
      </c>
      <c r="F139" s="72">
        <v>1</v>
      </c>
      <c r="G139" s="73">
        <f>VLOOKUP(D139,$S$3:$T$120,2,0)</f>
        <v>40</v>
      </c>
      <c r="H139" s="73">
        <f t="shared" si="22"/>
        <v>40</v>
      </c>
      <c r="I139" s="73">
        <f t="shared" si="21"/>
        <v>40</v>
      </c>
      <c r="J139" s="72" t="s">
        <v>79</v>
      </c>
      <c r="K139" s="74"/>
      <c r="M139" s="99"/>
      <c r="N139" s="80" t="e">
        <f t="shared" ref="N139:N170" si="23">VLOOKUP(M139,$S$3:$U$60,3,0)</f>
        <v>#N/A</v>
      </c>
      <c r="O139" s="80"/>
      <c r="P139" s="100"/>
      <c r="Y139" s="91" t="s">
        <v>334</v>
      </c>
      <c r="Z139" s="92">
        <v>7</v>
      </c>
      <c r="AA139" s="92">
        <f t="shared" ref="AA139:AA166" si="24">Z139*0.1</f>
        <v>0.70000000000000007</v>
      </c>
    </row>
    <row r="140" spans="1:27" x14ac:dyDescent="0.25">
      <c r="A140" s="95">
        <v>45398</v>
      </c>
      <c r="B140" s="72" t="s">
        <v>508</v>
      </c>
      <c r="C140" s="72" t="s">
        <v>10</v>
      </c>
      <c r="D140" s="72" t="s">
        <v>18</v>
      </c>
      <c r="E140" s="72" t="s">
        <v>56</v>
      </c>
      <c r="F140" s="72">
        <v>1</v>
      </c>
      <c r="G140" s="73">
        <f>VLOOKUP(D140,$S$3:$T$120,2,0)</f>
        <v>40</v>
      </c>
      <c r="H140" s="73">
        <f t="shared" si="22"/>
        <v>40</v>
      </c>
      <c r="I140" s="73">
        <f t="shared" si="21"/>
        <v>38.003999999999998</v>
      </c>
      <c r="J140" s="72" t="s">
        <v>86</v>
      </c>
      <c r="K140" s="74"/>
      <c r="M140" s="99" t="s">
        <v>18</v>
      </c>
      <c r="N140" s="80">
        <f t="shared" si="23"/>
        <v>16</v>
      </c>
      <c r="O140" s="80">
        <f>N140*F140</f>
        <v>16</v>
      </c>
      <c r="P140" s="100" t="s">
        <v>56</v>
      </c>
      <c r="Y140" s="91" t="s">
        <v>335</v>
      </c>
      <c r="Z140" s="92">
        <v>7</v>
      </c>
      <c r="AA140" s="92">
        <f t="shared" si="24"/>
        <v>0.70000000000000007</v>
      </c>
    </row>
    <row r="141" spans="1:27" x14ac:dyDescent="0.25">
      <c r="A141" s="95">
        <v>45398</v>
      </c>
      <c r="B141" s="72" t="s">
        <v>509</v>
      </c>
      <c r="C141" s="72" t="s">
        <v>9</v>
      </c>
      <c r="D141" s="72" t="s">
        <v>18</v>
      </c>
      <c r="E141" s="72" t="s">
        <v>56</v>
      </c>
      <c r="F141" s="72">
        <v>1</v>
      </c>
      <c r="G141" s="73">
        <f>VLOOKUP(D141,$S$3:$T$120,2,0)</f>
        <v>40</v>
      </c>
      <c r="H141" s="73">
        <f t="shared" si="22"/>
        <v>40</v>
      </c>
      <c r="I141" s="73">
        <f t="shared" si="21"/>
        <v>40</v>
      </c>
      <c r="J141" s="72" t="s">
        <v>83</v>
      </c>
      <c r="K141" s="74"/>
      <c r="M141" s="99" t="s">
        <v>18</v>
      </c>
      <c r="N141" s="80">
        <f t="shared" si="23"/>
        <v>16</v>
      </c>
      <c r="O141" s="80">
        <f>N141*F141</f>
        <v>16</v>
      </c>
      <c r="P141" s="100" t="s">
        <v>56</v>
      </c>
      <c r="Y141" s="91" t="s">
        <v>337</v>
      </c>
      <c r="Z141" s="92">
        <v>6.8327</v>
      </c>
      <c r="AA141" s="92">
        <f t="shared" si="24"/>
        <v>0.68327000000000004</v>
      </c>
    </row>
    <row r="142" spans="1:27" x14ac:dyDescent="0.25">
      <c r="A142" s="95">
        <v>45398</v>
      </c>
      <c r="B142" s="72" t="s">
        <v>510</v>
      </c>
      <c r="C142" s="72" t="s">
        <v>8</v>
      </c>
      <c r="D142" s="72" t="s">
        <v>18</v>
      </c>
      <c r="E142" s="72" t="s">
        <v>82</v>
      </c>
      <c r="F142" s="72">
        <v>1</v>
      </c>
      <c r="G142" s="73">
        <v>20</v>
      </c>
      <c r="H142" s="73">
        <f t="shared" si="22"/>
        <v>20</v>
      </c>
      <c r="I142" s="73">
        <f t="shared" si="21"/>
        <v>20</v>
      </c>
      <c r="J142" s="72" t="s">
        <v>79</v>
      </c>
      <c r="K142" s="74"/>
      <c r="M142" s="99"/>
      <c r="N142" s="80" t="e">
        <f t="shared" si="23"/>
        <v>#N/A</v>
      </c>
      <c r="O142" s="80"/>
      <c r="P142" s="100"/>
      <c r="Y142" s="91" t="s">
        <v>339</v>
      </c>
      <c r="Z142" s="92">
        <v>6.6506999999999996</v>
      </c>
      <c r="AA142" s="92">
        <f t="shared" si="24"/>
        <v>0.66507000000000005</v>
      </c>
    </row>
    <row r="143" spans="1:27" x14ac:dyDescent="0.25">
      <c r="A143" s="95">
        <v>45398</v>
      </c>
      <c r="B143" s="72" t="s">
        <v>510</v>
      </c>
      <c r="C143" s="72" t="s">
        <v>8</v>
      </c>
      <c r="D143" s="72" t="s">
        <v>18</v>
      </c>
      <c r="E143" s="72" t="s">
        <v>82</v>
      </c>
      <c r="F143" s="72">
        <v>1</v>
      </c>
      <c r="G143" s="73">
        <v>20</v>
      </c>
      <c r="H143" s="73">
        <f t="shared" si="22"/>
        <v>20</v>
      </c>
      <c r="I143" s="73">
        <f t="shared" si="21"/>
        <v>20</v>
      </c>
      <c r="J143" s="72" t="s">
        <v>83</v>
      </c>
      <c r="K143" s="74"/>
      <c r="M143" s="99"/>
      <c r="N143" s="80" t="e">
        <f t="shared" si="23"/>
        <v>#N/A</v>
      </c>
      <c r="O143" s="80"/>
      <c r="P143" s="100"/>
      <c r="Y143" s="91" t="s">
        <v>341</v>
      </c>
      <c r="Z143" s="92">
        <v>3.5</v>
      </c>
      <c r="AA143" s="92">
        <f t="shared" si="24"/>
        <v>0.35000000000000003</v>
      </c>
    </row>
    <row r="144" spans="1:27" x14ac:dyDescent="0.25">
      <c r="A144" s="95">
        <v>45398</v>
      </c>
      <c r="B144" s="72" t="s">
        <v>511</v>
      </c>
      <c r="C144" s="72" t="s">
        <v>10</v>
      </c>
      <c r="D144" s="72" t="s">
        <v>40</v>
      </c>
      <c r="E144" s="72" t="s">
        <v>82</v>
      </c>
      <c r="F144" s="72">
        <v>1</v>
      </c>
      <c r="G144" s="73">
        <f>VLOOKUP(D144,$S$3:$T$120,2,0)</f>
        <v>45</v>
      </c>
      <c r="H144" s="73">
        <f t="shared" si="22"/>
        <v>45</v>
      </c>
      <c r="I144" s="73">
        <f t="shared" si="21"/>
        <v>42.7545</v>
      </c>
      <c r="J144" s="72" t="s">
        <v>86</v>
      </c>
      <c r="K144" s="74"/>
      <c r="M144" s="99"/>
      <c r="N144" s="80" t="e">
        <f t="shared" si="23"/>
        <v>#N/A</v>
      </c>
      <c r="O144" s="80"/>
      <c r="P144" s="100"/>
      <c r="Y144" s="91" t="s">
        <v>343</v>
      </c>
      <c r="Z144" s="92">
        <v>3.5</v>
      </c>
      <c r="AA144" s="92">
        <f t="shared" si="24"/>
        <v>0.35000000000000003</v>
      </c>
    </row>
    <row r="145" spans="1:28" x14ac:dyDescent="0.25">
      <c r="A145" s="95">
        <v>45398</v>
      </c>
      <c r="B145" s="72" t="s">
        <v>511</v>
      </c>
      <c r="C145" s="72" t="s">
        <v>10</v>
      </c>
      <c r="D145" s="72" t="s">
        <v>24</v>
      </c>
      <c r="E145" s="72" t="s">
        <v>82</v>
      </c>
      <c r="F145" s="72">
        <v>1</v>
      </c>
      <c r="G145" s="73">
        <f>VLOOKUP(D145,$S$3:$T$120,2,0)</f>
        <v>10</v>
      </c>
      <c r="H145" s="73">
        <f t="shared" si="22"/>
        <v>10</v>
      </c>
      <c r="I145" s="73">
        <f t="shared" si="21"/>
        <v>9.5009999999999994</v>
      </c>
      <c r="J145" s="72" t="s">
        <v>86</v>
      </c>
      <c r="K145" s="74"/>
      <c r="M145" s="99"/>
      <c r="N145" s="80" t="e">
        <f t="shared" si="23"/>
        <v>#N/A</v>
      </c>
      <c r="O145" s="80"/>
      <c r="P145" s="100"/>
      <c r="Y145" s="91" t="s">
        <v>345</v>
      </c>
      <c r="Z145" s="92">
        <v>3.41635</v>
      </c>
      <c r="AA145" s="92">
        <f t="shared" si="24"/>
        <v>0.34163500000000002</v>
      </c>
    </row>
    <row r="146" spans="1:28" x14ac:dyDescent="0.25">
      <c r="A146" s="95">
        <v>45398</v>
      </c>
      <c r="B146" s="72" t="s">
        <v>185</v>
      </c>
      <c r="C146" s="72" t="s">
        <v>8</v>
      </c>
      <c r="D146" s="72" t="s">
        <v>18</v>
      </c>
      <c r="E146" s="72" t="s">
        <v>82</v>
      </c>
      <c r="F146" s="72">
        <v>1</v>
      </c>
      <c r="G146" s="73">
        <f>VLOOKUP(D146,$S$3:$T$120,2,0)</f>
        <v>40</v>
      </c>
      <c r="H146" s="73">
        <f t="shared" si="22"/>
        <v>40</v>
      </c>
      <c r="I146" s="73">
        <f t="shared" si="21"/>
        <v>40</v>
      </c>
      <c r="J146" s="72" t="s">
        <v>83</v>
      </c>
      <c r="K146" s="74"/>
      <c r="M146" s="99"/>
      <c r="N146" s="80" t="e">
        <f t="shared" si="23"/>
        <v>#N/A</v>
      </c>
      <c r="O146" s="80"/>
      <c r="P146" s="100"/>
      <c r="Y146" s="91" t="s">
        <v>347</v>
      </c>
      <c r="Z146" s="92">
        <v>3.3253499999999998</v>
      </c>
      <c r="AA146" s="92">
        <f t="shared" si="24"/>
        <v>0.33253500000000003</v>
      </c>
    </row>
    <row r="147" spans="1:28" x14ac:dyDescent="0.25">
      <c r="A147" s="95">
        <v>45398</v>
      </c>
      <c r="B147" s="72" t="s">
        <v>344</v>
      </c>
      <c r="C147" s="72" t="s">
        <v>8</v>
      </c>
      <c r="D147" s="72" t="s">
        <v>18</v>
      </c>
      <c r="E147" s="72" t="s">
        <v>56</v>
      </c>
      <c r="F147" s="72">
        <v>1</v>
      </c>
      <c r="G147" s="73">
        <f>VLOOKUP(D147,$S$3:$T$120,2,0)</f>
        <v>40</v>
      </c>
      <c r="H147" s="73">
        <f t="shared" si="22"/>
        <v>40</v>
      </c>
      <c r="I147" s="73">
        <f t="shared" si="21"/>
        <v>38.003999999999998</v>
      </c>
      <c r="J147" s="72" t="s">
        <v>86</v>
      </c>
      <c r="K147" s="74"/>
      <c r="M147" s="99" t="s">
        <v>18</v>
      </c>
      <c r="N147" s="80">
        <f t="shared" si="23"/>
        <v>16</v>
      </c>
      <c r="O147" s="80">
        <f>N147*F147</f>
        <v>16</v>
      </c>
      <c r="P147" s="100" t="s">
        <v>56</v>
      </c>
      <c r="Y147" s="91" t="s">
        <v>348</v>
      </c>
      <c r="Z147" s="92">
        <v>5</v>
      </c>
      <c r="AA147" s="92">
        <f t="shared" si="24"/>
        <v>0.5</v>
      </c>
    </row>
    <row r="148" spans="1:28" x14ac:dyDescent="0.25">
      <c r="A148" s="95">
        <v>45398</v>
      </c>
      <c r="B148" s="72" t="s">
        <v>512</v>
      </c>
      <c r="C148" s="72" t="s">
        <v>8</v>
      </c>
      <c r="D148" s="72" t="s">
        <v>19</v>
      </c>
      <c r="E148" s="72" t="s">
        <v>82</v>
      </c>
      <c r="F148" s="72">
        <v>1</v>
      </c>
      <c r="G148" s="73">
        <v>30</v>
      </c>
      <c r="H148" s="73">
        <f t="shared" si="22"/>
        <v>30</v>
      </c>
      <c r="I148" s="73">
        <f t="shared" si="21"/>
        <v>29.283000000000001</v>
      </c>
      <c r="J148" s="72" t="s">
        <v>78</v>
      </c>
      <c r="K148" s="74"/>
      <c r="M148" s="99"/>
      <c r="N148" s="80" t="e">
        <f t="shared" si="23"/>
        <v>#N/A</v>
      </c>
      <c r="O148" s="80"/>
      <c r="P148" s="100"/>
      <c r="Y148" s="91" t="s">
        <v>349</v>
      </c>
      <c r="Z148" s="92">
        <v>5</v>
      </c>
      <c r="AA148" s="92">
        <f t="shared" si="24"/>
        <v>0.5</v>
      </c>
    </row>
    <row r="149" spans="1:28" x14ac:dyDescent="0.25">
      <c r="A149" s="95">
        <v>45398</v>
      </c>
      <c r="B149" s="72" t="s">
        <v>204</v>
      </c>
      <c r="C149" s="72" t="s">
        <v>8</v>
      </c>
      <c r="D149" s="72" t="s">
        <v>18</v>
      </c>
      <c r="E149" s="72" t="s">
        <v>82</v>
      </c>
      <c r="F149" s="72">
        <v>1</v>
      </c>
      <c r="G149" s="73">
        <f t="shared" ref="G149:G167" si="25">VLOOKUP(D149,$S$3:$T$120,2,0)</f>
        <v>40</v>
      </c>
      <c r="H149" s="73">
        <f t="shared" si="22"/>
        <v>40</v>
      </c>
      <c r="I149" s="73">
        <f t="shared" si="21"/>
        <v>40</v>
      </c>
      <c r="J149" s="72" t="s">
        <v>83</v>
      </c>
      <c r="K149" s="74"/>
      <c r="M149" s="99"/>
      <c r="N149" s="80" t="e">
        <f t="shared" si="23"/>
        <v>#N/A</v>
      </c>
      <c r="O149" s="80"/>
      <c r="P149" s="100"/>
      <c r="Y149" s="91" t="s">
        <v>351</v>
      </c>
      <c r="Z149" s="92">
        <v>4.8804999999999996</v>
      </c>
      <c r="AA149" s="92">
        <f t="shared" si="24"/>
        <v>0.48804999999999998</v>
      </c>
    </row>
    <row r="150" spans="1:28" x14ac:dyDescent="0.25">
      <c r="A150" s="95">
        <v>45398</v>
      </c>
      <c r="B150" s="72" t="s">
        <v>513</v>
      </c>
      <c r="C150" s="72" t="s">
        <v>10</v>
      </c>
      <c r="D150" s="72" t="s">
        <v>18</v>
      </c>
      <c r="E150" s="72" t="s">
        <v>82</v>
      </c>
      <c r="F150" s="72">
        <v>1</v>
      </c>
      <c r="G150" s="73">
        <f t="shared" si="25"/>
        <v>40</v>
      </c>
      <c r="H150" s="73">
        <f t="shared" si="22"/>
        <v>40</v>
      </c>
      <c r="I150" s="73">
        <f t="shared" si="21"/>
        <v>38.003999999999998</v>
      </c>
      <c r="J150" s="72" t="s">
        <v>86</v>
      </c>
      <c r="K150" s="74"/>
      <c r="M150" s="99"/>
      <c r="N150" s="80" t="e">
        <f t="shared" si="23"/>
        <v>#N/A</v>
      </c>
      <c r="O150" s="80"/>
      <c r="P150" s="100"/>
      <c r="Y150" s="91" t="s">
        <v>352</v>
      </c>
      <c r="Z150" s="92">
        <v>4.7504999999999997</v>
      </c>
      <c r="AA150" s="92">
        <f t="shared" si="24"/>
        <v>0.47504999999999997</v>
      </c>
    </row>
    <row r="151" spans="1:28" x14ac:dyDescent="0.25">
      <c r="A151" s="95">
        <v>45399</v>
      </c>
      <c r="B151" s="72" t="s">
        <v>437</v>
      </c>
      <c r="C151" s="72" t="s">
        <v>8</v>
      </c>
      <c r="D151" s="72" t="s">
        <v>18</v>
      </c>
      <c r="E151" s="72" t="s">
        <v>82</v>
      </c>
      <c r="F151" s="72">
        <v>1</v>
      </c>
      <c r="G151" s="73">
        <f t="shared" si="25"/>
        <v>40</v>
      </c>
      <c r="H151" s="73">
        <f t="shared" si="22"/>
        <v>40</v>
      </c>
      <c r="I151" s="73">
        <f t="shared" si="21"/>
        <v>40</v>
      </c>
      <c r="J151" s="72" t="s">
        <v>83</v>
      </c>
      <c r="K151" s="74"/>
      <c r="M151" s="99"/>
      <c r="N151" s="80" t="e">
        <f t="shared" si="23"/>
        <v>#N/A</v>
      </c>
      <c r="O151" s="80"/>
      <c r="P151" s="100"/>
      <c r="Y151" s="91" t="s">
        <v>353</v>
      </c>
      <c r="Z151" s="92">
        <v>7</v>
      </c>
      <c r="AA151" s="92">
        <f t="shared" si="24"/>
        <v>0.70000000000000007</v>
      </c>
    </row>
    <row r="152" spans="1:28" x14ac:dyDescent="0.25">
      <c r="A152" s="95">
        <v>45399</v>
      </c>
      <c r="B152" s="72" t="s">
        <v>514</v>
      </c>
      <c r="C152" s="72" t="s">
        <v>10</v>
      </c>
      <c r="D152" s="72" t="s">
        <v>18</v>
      </c>
      <c r="E152" s="72" t="s">
        <v>56</v>
      </c>
      <c r="F152" s="72">
        <v>1</v>
      </c>
      <c r="G152" s="73">
        <f t="shared" si="25"/>
        <v>40</v>
      </c>
      <c r="H152" s="73">
        <f t="shared" si="22"/>
        <v>40</v>
      </c>
      <c r="I152" s="73">
        <f t="shared" si="21"/>
        <v>40</v>
      </c>
      <c r="J152" s="72" t="s">
        <v>83</v>
      </c>
      <c r="K152" s="74"/>
      <c r="M152" s="99" t="s">
        <v>18</v>
      </c>
      <c r="N152" s="80">
        <f t="shared" si="23"/>
        <v>16</v>
      </c>
      <c r="O152" s="80">
        <f>N152*F152</f>
        <v>16</v>
      </c>
      <c r="P152" s="100" t="s">
        <v>56</v>
      </c>
      <c r="Y152" s="91" t="s">
        <v>355</v>
      </c>
      <c r="Z152" s="92">
        <v>7</v>
      </c>
      <c r="AA152" s="92">
        <f t="shared" si="24"/>
        <v>0.70000000000000007</v>
      </c>
    </row>
    <row r="153" spans="1:28" x14ac:dyDescent="0.25">
      <c r="A153" s="95">
        <v>45399</v>
      </c>
      <c r="B153" s="72" t="s">
        <v>515</v>
      </c>
      <c r="C153" s="72" t="s">
        <v>10</v>
      </c>
      <c r="D153" s="72" t="s">
        <v>36</v>
      </c>
      <c r="E153" s="72" t="s">
        <v>56</v>
      </c>
      <c r="F153" s="72">
        <v>1</v>
      </c>
      <c r="G153" s="73">
        <f t="shared" si="25"/>
        <v>35</v>
      </c>
      <c r="H153" s="73">
        <f t="shared" si="22"/>
        <v>35</v>
      </c>
      <c r="I153" s="73">
        <f t="shared" si="21"/>
        <v>35</v>
      </c>
      <c r="J153" s="72" t="s">
        <v>79</v>
      </c>
      <c r="K153" s="74"/>
      <c r="M153" s="99" t="s">
        <v>36</v>
      </c>
      <c r="N153" s="80">
        <f t="shared" si="23"/>
        <v>3.5</v>
      </c>
      <c r="O153" s="80">
        <f>N153*F153</f>
        <v>3.5</v>
      </c>
      <c r="P153" s="100" t="s">
        <v>56</v>
      </c>
      <c r="Y153" s="91" t="s">
        <v>357</v>
      </c>
      <c r="Z153" s="92">
        <v>6.8327</v>
      </c>
      <c r="AA153" s="92">
        <f t="shared" si="24"/>
        <v>0.68327000000000004</v>
      </c>
    </row>
    <row r="154" spans="1:28" x14ac:dyDescent="0.25">
      <c r="A154" s="95">
        <v>45399</v>
      </c>
      <c r="B154" s="72" t="s">
        <v>236</v>
      </c>
      <c r="C154" s="72" t="s">
        <v>10</v>
      </c>
      <c r="D154" s="72" t="s">
        <v>18</v>
      </c>
      <c r="E154" s="72" t="s">
        <v>56</v>
      </c>
      <c r="F154" s="72">
        <v>1</v>
      </c>
      <c r="G154" s="73">
        <f t="shared" si="25"/>
        <v>40</v>
      </c>
      <c r="H154" s="73">
        <f t="shared" si="22"/>
        <v>40</v>
      </c>
      <c r="I154" s="73">
        <f t="shared" si="21"/>
        <v>40</v>
      </c>
      <c r="J154" s="72" t="s">
        <v>79</v>
      </c>
      <c r="K154" s="74"/>
      <c r="M154" s="99" t="s">
        <v>18</v>
      </c>
      <c r="N154" s="80">
        <f t="shared" si="23"/>
        <v>16</v>
      </c>
      <c r="O154" s="80">
        <f>N154*F154</f>
        <v>16</v>
      </c>
      <c r="P154" s="100" t="s">
        <v>56</v>
      </c>
      <c r="Y154" s="91" t="s">
        <v>359</v>
      </c>
      <c r="Z154" s="92">
        <v>6.6506999999999996</v>
      </c>
      <c r="AA154" s="92">
        <f t="shared" si="24"/>
        <v>0.66507000000000005</v>
      </c>
    </row>
    <row r="155" spans="1:28" x14ac:dyDescent="0.25">
      <c r="A155" s="95">
        <v>45399</v>
      </c>
      <c r="B155" s="72" t="s">
        <v>516</v>
      </c>
      <c r="C155" s="72" t="s">
        <v>8</v>
      </c>
      <c r="D155" s="72" t="s">
        <v>16</v>
      </c>
      <c r="E155" s="72" t="s">
        <v>82</v>
      </c>
      <c r="F155" s="72">
        <v>1</v>
      </c>
      <c r="G155" s="73">
        <f t="shared" si="25"/>
        <v>80</v>
      </c>
      <c r="H155" s="73">
        <f t="shared" si="22"/>
        <v>80</v>
      </c>
      <c r="I155" s="73">
        <f t="shared" si="21"/>
        <v>80</v>
      </c>
      <c r="J155" s="72" t="s">
        <v>83</v>
      </c>
      <c r="K155" s="74"/>
      <c r="M155" s="99"/>
      <c r="N155" s="80" t="e">
        <f t="shared" si="23"/>
        <v>#N/A</v>
      </c>
      <c r="O155" s="80"/>
      <c r="P155" s="100"/>
      <c r="Y155" s="91" t="s">
        <v>361</v>
      </c>
      <c r="Z155" s="92">
        <v>7</v>
      </c>
      <c r="AA155" s="92">
        <f t="shared" si="24"/>
        <v>0.70000000000000007</v>
      </c>
    </row>
    <row r="156" spans="1:28" x14ac:dyDescent="0.25">
      <c r="A156" s="95">
        <v>45399</v>
      </c>
      <c r="B156" s="72" t="s">
        <v>312</v>
      </c>
      <c r="C156" s="72" t="s">
        <v>8</v>
      </c>
      <c r="D156" s="72" t="s">
        <v>18</v>
      </c>
      <c r="E156" s="72" t="s">
        <v>56</v>
      </c>
      <c r="F156" s="72">
        <v>1</v>
      </c>
      <c r="G156" s="73">
        <f t="shared" si="25"/>
        <v>40</v>
      </c>
      <c r="H156" s="73">
        <f t="shared" si="22"/>
        <v>40</v>
      </c>
      <c r="I156" s="73">
        <f t="shared" si="21"/>
        <v>38.003999999999998</v>
      </c>
      <c r="J156" s="72" t="s">
        <v>86</v>
      </c>
      <c r="K156" s="74"/>
      <c r="M156" s="99" t="s">
        <v>18</v>
      </c>
      <c r="N156" s="80">
        <f t="shared" si="23"/>
        <v>16</v>
      </c>
      <c r="O156" s="80">
        <f>N156*F156</f>
        <v>16</v>
      </c>
      <c r="P156" s="100" t="s">
        <v>56</v>
      </c>
      <c r="Y156" s="91" t="s">
        <v>363</v>
      </c>
      <c r="Z156" s="92">
        <v>7</v>
      </c>
      <c r="AA156" s="92">
        <f t="shared" si="24"/>
        <v>0.70000000000000007</v>
      </c>
    </row>
    <row r="157" spans="1:28" x14ac:dyDescent="0.25">
      <c r="A157" s="95">
        <v>45399</v>
      </c>
      <c r="B157" s="72" t="s">
        <v>517</v>
      </c>
      <c r="C157" s="72" t="s">
        <v>8</v>
      </c>
      <c r="D157" s="72" t="s">
        <v>18</v>
      </c>
      <c r="E157" s="72" t="s">
        <v>82</v>
      </c>
      <c r="F157" s="72">
        <v>1</v>
      </c>
      <c r="G157" s="73">
        <f t="shared" si="25"/>
        <v>40</v>
      </c>
      <c r="H157" s="73">
        <f t="shared" si="22"/>
        <v>40</v>
      </c>
      <c r="I157" s="73">
        <f t="shared" si="21"/>
        <v>40</v>
      </c>
      <c r="J157" s="72" t="s">
        <v>79</v>
      </c>
      <c r="K157" s="74"/>
      <c r="M157" s="99"/>
      <c r="N157" s="80" t="e">
        <f t="shared" si="23"/>
        <v>#N/A</v>
      </c>
      <c r="O157" s="80"/>
      <c r="P157" s="100"/>
      <c r="Y157" s="91" t="s">
        <v>365</v>
      </c>
      <c r="Z157" s="92">
        <v>6.8327</v>
      </c>
      <c r="AA157" s="92">
        <f t="shared" si="24"/>
        <v>0.68327000000000004</v>
      </c>
    </row>
    <row r="158" spans="1:28" x14ac:dyDescent="0.25">
      <c r="A158" s="95">
        <v>45399</v>
      </c>
      <c r="B158" s="72" t="s">
        <v>518</v>
      </c>
      <c r="C158" s="72" t="s">
        <v>8</v>
      </c>
      <c r="D158" s="72" t="s">
        <v>17</v>
      </c>
      <c r="E158" s="72" t="s">
        <v>82</v>
      </c>
      <c r="F158" s="72">
        <v>1</v>
      </c>
      <c r="G158" s="73">
        <f t="shared" si="25"/>
        <v>50</v>
      </c>
      <c r="H158" s="73">
        <f t="shared" si="22"/>
        <v>50</v>
      </c>
      <c r="I158" s="73">
        <f t="shared" si="21"/>
        <v>48.805</v>
      </c>
      <c r="J158" s="72" t="s">
        <v>78</v>
      </c>
      <c r="K158" s="74"/>
      <c r="M158" s="99"/>
      <c r="N158" s="80" t="e">
        <f t="shared" si="23"/>
        <v>#N/A</v>
      </c>
      <c r="O158" s="80"/>
      <c r="P158" s="100"/>
      <c r="Y158" s="91" t="s">
        <v>367</v>
      </c>
      <c r="Z158" s="92">
        <v>6.6506999999999996</v>
      </c>
      <c r="AA158" s="92">
        <f t="shared" si="24"/>
        <v>0.66507000000000005</v>
      </c>
    </row>
    <row r="159" spans="1:28" x14ac:dyDescent="0.25">
      <c r="A159" s="95">
        <v>45399</v>
      </c>
      <c r="B159" s="72" t="s">
        <v>518</v>
      </c>
      <c r="C159" s="72" t="s">
        <v>8</v>
      </c>
      <c r="D159" s="72" t="s">
        <v>29</v>
      </c>
      <c r="E159" s="72" t="s">
        <v>82</v>
      </c>
      <c r="F159" s="72">
        <v>2</v>
      </c>
      <c r="G159" s="73">
        <f t="shared" si="25"/>
        <v>7</v>
      </c>
      <c r="H159" s="73">
        <f t="shared" si="22"/>
        <v>14</v>
      </c>
      <c r="I159" s="73">
        <f t="shared" si="21"/>
        <v>13.6654</v>
      </c>
      <c r="J159" s="72" t="s">
        <v>78</v>
      </c>
      <c r="K159" s="74"/>
      <c r="M159" s="99"/>
      <c r="N159" s="80" t="e">
        <f t="shared" si="23"/>
        <v>#N/A</v>
      </c>
      <c r="O159" s="80"/>
      <c r="P159" s="100"/>
      <c r="Y159" s="91" t="s">
        <v>368</v>
      </c>
      <c r="Z159" s="92">
        <v>3.5</v>
      </c>
      <c r="AA159" s="92">
        <f t="shared" si="24"/>
        <v>0.35000000000000003</v>
      </c>
      <c r="AB159" s="92"/>
    </row>
    <row r="160" spans="1:28" x14ac:dyDescent="0.25">
      <c r="A160" s="95">
        <v>45399</v>
      </c>
      <c r="B160" s="72" t="s">
        <v>519</v>
      </c>
      <c r="C160" s="72" t="s">
        <v>8</v>
      </c>
      <c r="D160" s="72" t="s">
        <v>18</v>
      </c>
      <c r="E160" s="72" t="s">
        <v>56</v>
      </c>
      <c r="F160" s="72">
        <v>1</v>
      </c>
      <c r="G160" s="73">
        <f t="shared" si="25"/>
        <v>40</v>
      </c>
      <c r="H160" s="73">
        <f t="shared" si="22"/>
        <v>40</v>
      </c>
      <c r="I160" s="73">
        <f t="shared" si="21"/>
        <v>40</v>
      </c>
      <c r="J160" s="72" t="s">
        <v>79</v>
      </c>
      <c r="K160" s="74"/>
      <c r="M160" s="99" t="s">
        <v>18</v>
      </c>
      <c r="N160" s="80">
        <f t="shared" si="23"/>
        <v>16</v>
      </c>
      <c r="O160" s="80">
        <f>N160*F160</f>
        <v>16</v>
      </c>
      <c r="P160" s="100" t="s">
        <v>56</v>
      </c>
      <c r="Y160" s="91" t="s">
        <v>370</v>
      </c>
      <c r="Z160" s="92">
        <v>3.5</v>
      </c>
      <c r="AA160" s="92">
        <f t="shared" si="24"/>
        <v>0.35000000000000003</v>
      </c>
    </row>
    <row r="161" spans="1:27" x14ac:dyDescent="0.25">
      <c r="A161" s="95">
        <v>45400</v>
      </c>
      <c r="B161" s="72" t="s">
        <v>414</v>
      </c>
      <c r="C161" s="72" t="s">
        <v>8</v>
      </c>
      <c r="D161" s="72" t="s">
        <v>40</v>
      </c>
      <c r="E161" s="72" t="s">
        <v>82</v>
      </c>
      <c r="F161" s="72">
        <v>1</v>
      </c>
      <c r="G161" s="73">
        <f t="shared" si="25"/>
        <v>45</v>
      </c>
      <c r="H161" s="73">
        <f t="shared" si="22"/>
        <v>45</v>
      </c>
      <c r="I161" s="73">
        <f t="shared" si="21"/>
        <v>43.924500000000002</v>
      </c>
      <c r="J161" s="72" t="s">
        <v>78</v>
      </c>
      <c r="K161" s="74"/>
      <c r="M161" s="99"/>
      <c r="N161" s="80" t="e">
        <f t="shared" si="23"/>
        <v>#N/A</v>
      </c>
      <c r="O161" s="80"/>
      <c r="P161" s="100"/>
      <c r="Y161" s="91" t="s">
        <v>372</v>
      </c>
      <c r="Z161" s="92">
        <v>3.41635</v>
      </c>
      <c r="AA161" s="92">
        <f t="shared" si="24"/>
        <v>0.34163500000000002</v>
      </c>
    </row>
    <row r="162" spans="1:27" x14ac:dyDescent="0.25">
      <c r="A162" s="95">
        <v>45400</v>
      </c>
      <c r="B162" s="72" t="s">
        <v>414</v>
      </c>
      <c r="C162" s="72" t="s">
        <v>8</v>
      </c>
      <c r="D162" s="72" t="s">
        <v>18</v>
      </c>
      <c r="E162" s="72" t="s">
        <v>56</v>
      </c>
      <c r="F162" s="72">
        <v>1</v>
      </c>
      <c r="G162" s="73">
        <f t="shared" si="25"/>
        <v>40</v>
      </c>
      <c r="H162" s="73">
        <f t="shared" si="22"/>
        <v>40</v>
      </c>
      <c r="I162" s="73">
        <f t="shared" si="21"/>
        <v>39.043999999999997</v>
      </c>
      <c r="J162" s="72" t="s">
        <v>78</v>
      </c>
      <c r="K162" s="74"/>
      <c r="M162" s="99" t="s">
        <v>18</v>
      </c>
      <c r="N162" s="80">
        <f t="shared" si="23"/>
        <v>16</v>
      </c>
      <c r="O162" s="80">
        <f>N162*F162</f>
        <v>16</v>
      </c>
      <c r="P162" s="100" t="s">
        <v>56</v>
      </c>
      <c r="Y162" s="91" t="s">
        <v>374</v>
      </c>
      <c r="Z162" s="92">
        <v>3.3253499999999998</v>
      </c>
      <c r="AA162" s="92">
        <f t="shared" si="24"/>
        <v>0.33253500000000003</v>
      </c>
    </row>
    <row r="163" spans="1:27" x14ac:dyDescent="0.25">
      <c r="A163" s="95">
        <v>45400</v>
      </c>
      <c r="B163" s="72" t="s">
        <v>502</v>
      </c>
      <c r="C163" s="72" t="s">
        <v>10</v>
      </c>
      <c r="D163" s="72" t="s">
        <v>38</v>
      </c>
      <c r="E163" s="72" t="s">
        <v>82</v>
      </c>
      <c r="F163" s="72">
        <v>1</v>
      </c>
      <c r="G163" s="73">
        <f t="shared" si="25"/>
        <v>6</v>
      </c>
      <c r="H163" s="73">
        <f t="shared" si="22"/>
        <v>6</v>
      </c>
      <c r="I163" s="73">
        <f t="shared" si="21"/>
        <v>6</v>
      </c>
      <c r="J163" s="72" t="s">
        <v>79</v>
      </c>
      <c r="K163" s="74"/>
      <c r="M163" s="99"/>
      <c r="N163" s="80" t="e">
        <f t="shared" si="23"/>
        <v>#N/A</v>
      </c>
      <c r="O163" s="80"/>
      <c r="P163" s="100"/>
      <c r="Y163" s="91" t="s">
        <v>375</v>
      </c>
      <c r="Z163" s="92">
        <v>3.5</v>
      </c>
      <c r="AA163" s="92">
        <f t="shared" si="24"/>
        <v>0.35000000000000003</v>
      </c>
    </row>
    <row r="164" spans="1:27" x14ac:dyDescent="0.25">
      <c r="A164" s="95">
        <v>45400</v>
      </c>
      <c r="B164" s="72" t="s">
        <v>497</v>
      </c>
      <c r="C164" s="72" t="s">
        <v>8</v>
      </c>
      <c r="D164" s="72" t="s">
        <v>18</v>
      </c>
      <c r="E164" s="72" t="s">
        <v>82</v>
      </c>
      <c r="F164" s="72">
        <v>1</v>
      </c>
      <c r="G164" s="73">
        <f t="shared" si="25"/>
        <v>40</v>
      </c>
      <c r="H164" s="73">
        <f t="shared" si="22"/>
        <v>40</v>
      </c>
      <c r="I164" s="73">
        <f t="shared" si="21"/>
        <v>39.043999999999997</v>
      </c>
      <c r="J164" s="72" t="s">
        <v>78</v>
      </c>
      <c r="K164" s="74"/>
      <c r="M164" s="99"/>
      <c r="N164" s="80" t="e">
        <f t="shared" si="23"/>
        <v>#N/A</v>
      </c>
      <c r="O164" s="80"/>
      <c r="P164" s="100"/>
      <c r="Y164" s="91" t="s">
        <v>376</v>
      </c>
      <c r="Z164" s="92">
        <v>3.5</v>
      </c>
      <c r="AA164" s="92">
        <f t="shared" si="24"/>
        <v>0.35000000000000003</v>
      </c>
    </row>
    <row r="165" spans="1:27" x14ac:dyDescent="0.25">
      <c r="A165" s="95">
        <v>45400</v>
      </c>
      <c r="B165" s="72" t="s">
        <v>194</v>
      </c>
      <c r="C165" s="72" t="s">
        <v>8</v>
      </c>
      <c r="D165" s="72" t="s">
        <v>18</v>
      </c>
      <c r="E165" s="72" t="s">
        <v>82</v>
      </c>
      <c r="F165" s="72">
        <v>1</v>
      </c>
      <c r="G165" s="73">
        <f t="shared" si="25"/>
        <v>40</v>
      </c>
      <c r="H165" s="73">
        <f t="shared" si="22"/>
        <v>40</v>
      </c>
      <c r="I165" s="73">
        <f t="shared" si="21"/>
        <v>40</v>
      </c>
      <c r="J165" s="72" t="s">
        <v>83</v>
      </c>
      <c r="K165" s="74"/>
      <c r="M165" s="99"/>
      <c r="N165" s="80" t="e">
        <f t="shared" si="23"/>
        <v>#N/A</v>
      </c>
      <c r="O165" s="80"/>
      <c r="P165" s="100"/>
      <c r="Y165" s="91" t="s">
        <v>378</v>
      </c>
      <c r="Z165" s="92">
        <v>3.41635</v>
      </c>
      <c r="AA165" s="92">
        <f t="shared" si="24"/>
        <v>0.34163500000000002</v>
      </c>
    </row>
    <row r="166" spans="1:27" x14ac:dyDescent="0.25">
      <c r="A166" s="95">
        <v>45400</v>
      </c>
      <c r="B166" s="72" t="s">
        <v>212</v>
      </c>
      <c r="C166" s="72" t="s">
        <v>8</v>
      </c>
      <c r="D166" s="72" t="s">
        <v>17</v>
      </c>
      <c r="E166" s="72" t="s">
        <v>82</v>
      </c>
      <c r="F166" s="72">
        <v>1</v>
      </c>
      <c r="G166" s="73">
        <f t="shared" si="25"/>
        <v>50</v>
      </c>
      <c r="H166" s="73">
        <f t="shared" si="22"/>
        <v>50</v>
      </c>
      <c r="I166" s="73">
        <f t="shared" si="21"/>
        <v>50</v>
      </c>
      <c r="J166" s="72" t="s">
        <v>83</v>
      </c>
      <c r="K166" s="74"/>
      <c r="M166" s="99"/>
      <c r="N166" s="80" t="e">
        <f t="shared" si="23"/>
        <v>#N/A</v>
      </c>
      <c r="O166" s="80"/>
      <c r="P166" s="100"/>
      <c r="Y166" s="91" t="s">
        <v>380</v>
      </c>
      <c r="Z166" s="92">
        <v>3.3253499999999998</v>
      </c>
      <c r="AA166" s="92">
        <f t="shared" si="24"/>
        <v>0.33253500000000003</v>
      </c>
    </row>
    <row r="167" spans="1:27" x14ac:dyDescent="0.25">
      <c r="A167" s="95">
        <v>45400</v>
      </c>
      <c r="B167" s="72" t="s">
        <v>308</v>
      </c>
      <c r="C167" s="72" t="s">
        <v>9</v>
      </c>
      <c r="D167" s="72" t="s">
        <v>18</v>
      </c>
      <c r="E167" s="72" t="s">
        <v>56</v>
      </c>
      <c r="F167" s="72">
        <v>2</v>
      </c>
      <c r="G167" s="73">
        <f t="shared" si="25"/>
        <v>40</v>
      </c>
      <c r="H167" s="73">
        <f t="shared" si="22"/>
        <v>80</v>
      </c>
      <c r="I167" s="73">
        <f t="shared" si="21"/>
        <v>78.087999999999994</v>
      </c>
      <c r="J167" s="72" t="s">
        <v>78</v>
      </c>
      <c r="K167" s="74"/>
      <c r="M167" s="99" t="s">
        <v>18</v>
      </c>
      <c r="N167" s="80">
        <f t="shared" si="23"/>
        <v>16</v>
      </c>
      <c r="O167" s="80">
        <f>N167*F167</f>
        <v>32</v>
      </c>
      <c r="P167" s="100" t="s">
        <v>56</v>
      </c>
    </row>
    <row r="168" spans="1:27" x14ac:dyDescent="0.25">
      <c r="A168" s="95">
        <v>45400</v>
      </c>
      <c r="B168" s="72" t="s">
        <v>308</v>
      </c>
      <c r="C168" s="72" t="s">
        <v>9</v>
      </c>
      <c r="D168" s="72" t="s">
        <v>18</v>
      </c>
      <c r="E168" s="72" t="s">
        <v>82</v>
      </c>
      <c r="F168" s="72">
        <v>1</v>
      </c>
      <c r="G168" s="73">
        <v>30</v>
      </c>
      <c r="H168" s="73">
        <f t="shared" si="22"/>
        <v>30</v>
      </c>
      <c r="I168" s="73">
        <f t="shared" si="21"/>
        <v>29.283000000000001</v>
      </c>
      <c r="J168" s="72" t="s">
        <v>78</v>
      </c>
      <c r="K168" s="74"/>
      <c r="M168" s="99"/>
      <c r="N168" s="80" t="e">
        <f t="shared" si="23"/>
        <v>#N/A</v>
      </c>
      <c r="O168" s="80"/>
      <c r="P168" s="100"/>
    </row>
    <row r="169" spans="1:27" x14ac:dyDescent="0.25">
      <c r="A169" s="95">
        <v>45401</v>
      </c>
      <c r="B169" s="72" t="s">
        <v>520</v>
      </c>
      <c r="C169" s="72" t="s">
        <v>10</v>
      </c>
      <c r="D169" s="72" t="s">
        <v>15</v>
      </c>
      <c r="E169" s="72" t="s">
        <v>56</v>
      </c>
      <c r="F169" s="72">
        <v>1</v>
      </c>
      <c r="G169" s="73">
        <f t="shared" ref="G169:G202" si="26">VLOOKUP(D169,$S$3:$T$120,2,0)</f>
        <v>70</v>
      </c>
      <c r="H169" s="73">
        <f t="shared" si="22"/>
        <v>70</v>
      </c>
      <c r="I169" s="73">
        <f t="shared" si="21"/>
        <v>68.326999999999998</v>
      </c>
      <c r="J169" s="72" t="s">
        <v>78</v>
      </c>
      <c r="K169" s="74"/>
      <c r="M169" s="99" t="s">
        <v>15</v>
      </c>
      <c r="N169" s="80">
        <f t="shared" si="23"/>
        <v>28</v>
      </c>
      <c r="O169" s="80">
        <f>N169*F169</f>
        <v>28</v>
      </c>
      <c r="P169" s="100" t="s">
        <v>56</v>
      </c>
    </row>
    <row r="170" spans="1:27" x14ac:dyDescent="0.25">
      <c r="A170" s="95">
        <v>45401</v>
      </c>
      <c r="B170" s="72" t="s">
        <v>468</v>
      </c>
      <c r="C170" s="72" t="s">
        <v>8</v>
      </c>
      <c r="D170" s="72" t="s">
        <v>15</v>
      </c>
      <c r="E170" s="72" t="s">
        <v>56</v>
      </c>
      <c r="F170" s="72">
        <v>1</v>
      </c>
      <c r="G170" s="73">
        <f t="shared" si="26"/>
        <v>70</v>
      </c>
      <c r="H170" s="73">
        <f t="shared" si="22"/>
        <v>70</v>
      </c>
      <c r="I170" s="73">
        <f t="shared" si="21"/>
        <v>70</v>
      </c>
      <c r="J170" s="72" t="s">
        <v>79</v>
      </c>
      <c r="K170" s="74"/>
      <c r="M170" s="99" t="s">
        <v>15</v>
      </c>
      <c r="N170" s="80">
        <f t="shared" si="23"/>
        <v>28</v>
      </c>
      <c r="O170" s="80">
        <f>N170*F170</f>
        <v>28</v>
      </c>
      <c r="P170" s="100" t="s">
        <v>56</v>
      </c>
    </row>
    <row r="171" spans="1:27" x14ac:dyDescent="0.25">
      <c r="A171" s="95">
        <v>45401</v>
      </c>
      <c r="B171" s="72" t="s">
        <v>521</v>
      </c>
      <c r="C171" s="72" t="s">
        <v>10</v>
      </c>
      <c r="D171" s="72" t="s">
        <v>36</v>
      </c>
      <c r="E171" s="72" t="s">
        <v>56</v>
      </c>
      <c r="F171" s="72">
        <v>1</v>
      </c>
      <c r="G171" s="73">
        <f t="shared" si="26"/>
        <v>35</v>
      </c>
      <c r="H171" s="73">
        <f t="shared" si="22"/>
        <v>35</v>
      </c>
      <c r="I171" s="73">
        <f t="shared" si="21"/>
        <v>34.163499999999999</v>
      </c>
      <c r="J171" s="72" t="s">
        <v>78</v>
      </c>
      <c r="K171" s="74"/>
      <c r="M171" s="99" t="s">
        <v>36</v>
      </c>
      <c r="N171" s="80">
        <f t="shared" ref="N171:N202" si="27">VLOOKUP(M171,$S$3:$U$60,3,0)</f>
        <v>3.5</v>
      </c>
      <c r="O171" s="80">
        <f>N171*F171</f>
        <v>3.5</v>
      </c>
      <c r="P171" s="100" t="s">
        <v>56</v>
      </c>
    </row>
    <row r="172" spans="1:27" x14ac:dyDescent="0.25">
      <c r="A172" s="95">
        <v>45401</v>
      </c>
      <c r="B172" s="72" t="s">
        <v>324</v>
      </c>
      <c r="C172" s="72" t="s">
        <v>8</v>
      </c>
      <c r="D172" s="72" t="s">
        <v>17</v>
      </c>
      <c r="E172" s="72" t="s">
        <v>82</v>
      </c>
      <c r="F172" s="72">
        <v>1</v>
      </c>
      <c r="G172" s="73">
        <f t="shared" si="26"/>
        <v>50</v>
      </c>
      <c r="H172" s="73">
        <f t="shared" si="22"/>
        <v>50</v>
      </c>
      <c r="I172" s="73">
        <f t="shared" si="21"/>
        <v>48.805</v>
      </c>
      <c r="J172" s="72" t="s">
        <v>78</v>
      </c>
      <c r="K172" s="74"/>
      <c r="M172" s="99"/>
      <c r="N172" s="80" t="e">
        <f t="shared" si="27"/>
        <v>#N/A</v>
      </c>
      <c r="O172" s="80"/>
      <c r="P172" s="100"/>
    </row>
    <row r="173" spans="1:27" x14ac:dyDescent="0.25">
      <c r="A173" s="95">
        <v>45401</v>
      </c>
      <c r="B173" s="72" t="s">
        <v>109</v>
      </c>
      <c r="C173" s="72" t="s">
        <v>8</v>
      </c>
      <c r="D173" s="72" t="s">
        <v>16</v>
      </c>
      <c r="E173" s="72" t="s">
        <v>82</v>
      </c>
      <c r="F173" s="72">
        <v>1</v>
      </c>
      <c r="G173" s="73">
        <f t="shared" si="26"/>
        <v>80</v>
      </c>
      <c r="H173" s="73">
        <f t="shared" si="22"/>
        <v>80</v>
      </c>
      <c r="I173" s="73">
        <f t="shared" si="21"/>
        <v>76.007999999999996</v>
      </c>
      <c r="J173" s="72" t="s">
        <v>86</v>
      </c>
      <c r="K173" s="74"/>
      <c r="M173" s="99"/>
      <c r="N173" s="80" t="e">
        <f t="shared" si="27"/>
        <v>#N/A</v>
      </c>
      <c r="O173" s="80"/>
      <c r="P173" s="100"/>
    </row>
    <row r="174" spans="1:27" x14ac:dyDescent="0.25">
      <c r="A174" s="95">
        <v>45401</v>
      </c>
      <c r="B174" s="72" t="s">
        <v>204</v>
      </c>
      <c r="C174" s="72" t="s">
        <v>8</v>
      </c>
      <c r="D174" s="72" t="s">
        <v>17</v>
      </c>
      <c r="E174" s="72" t="s">
        <v>82</v>
      </c>
      <c r="F174" s="72">
        <v>1</v>
      </c>
      <c r="G174" s="73">
        <f t="shared" si="26"/>
        <v>50</v>
      </c>
      <c r="H174" s="73">
        <f t="shared" si="22"/>
        <v>50</v>
      </c>
      <c r="I174" s="73">
        <f t="shared" si="21"/>
        <v>50</v>
      </c>
      <c r="J174" s="72" t="s">
        <v>83</v>
      </c>
      <c r="K174" s="74"/>
      <c r="M174" s="99"/>
      <c r="N174" s="80" t="e">
        <f t="shared" si="27"/>
        <v>#N/A</v>
      </c>
      <c r="O174" s="80"/>
      <c r="P174" s="100"/>
    </row>
    <row r="175" spans="1:27" x14ac:dyDescent="0.25">
      <c r="A175" s="95">
        <v>45401</v>
      </c>
      <c r="B175" s="72" t="s">
        <v>522</v>
      </c>
      <c r="C175" s="72" t="s">
        <v>8</v>
      </c>
      <c r="D175" s="72" t="s">
        <v>13</v>
      </c>
      <c r="E175" s="72" t="s">
        <v>82</v>
      </c>
      <c r="F175" s="72">
        <v>1</v>
      </c>
      <c r="G175" s="73">
        <f t="shared" si="26"/>
        <v>30</v>
      </c>
      <c r="H175" s="73">
        <f t="shared" si="22"/>
        <v>30</v>
      </c>
      <c r="I175" s="73">
        <f t="shared" si="21"/>
        <v>29.283000000000001</v>
      </c>
      <c r="J175" s="72" t="s">
        <v>78</v>
      </c>
      <c r="K175" s="74"/>
      <c r="M175" s="99"/>
      <c r="N175" s="80" t="e">
        <f t="shared" si="27"/>
        <v>#N/A</v>
      </c>
      <c r="O175" s="80"/>
      <c r="P175" s="100"/>
    </row>
    <row r="176" spans="1:27" x14ac:dyDescent="0.25">
      <c r="A176" s="95">
        <v>45401</v>
      </c>
      <c r="B176" s="72" t="s">
        <v>522</v>
      </c>
      <c r="C176" s="72" t="s">
        <v>8</v>
      </c>
      <c r="D176" s="72" t="s">
        <v>22</v>
      </c>
      <c r="E176" s="72" t="s">
        <v>82</v>
      </c>
      <c r="F176" s="72">
        <v>1</v>
      </c>
      <c r="G176" s="73">
        <f t="shared" si="26"/>
        <v>30</v>
      </c>
      <c r="H176" s="73">
        <f t="shared" si="22"/>
        <v>30</v>
      </c>
      <c r="I176" s="73">
        <f t="shared" si="21"/>
        <v>29.283000000000001</v>
      </c>
      <c r="J176" s="72" t="s">
        <v>78</v>
      </c>
      <c r="K176" s="74"/>
      <c r="M176" s="99"/>
      <c r="N176" s="80" t="e">
        <f t="shared" si="27"/>
        <v>#N/A</v>
      </c>
      <c r="O176" s="80"/>
      <c r="P176" s="100"/>
    </row>
    <row r="177" spans="1:16" x14ac:dyDescent="0.25">
      <c r="A177" s="95">
        <v>45401</v>
      </c>
      <c r="B177" s="72" t="s">
        <v>523</v>
      </c>
      <c r="C177" s="72" t="s">
        <v>8</v>
      </c>
      <c r="D177" s="72" t="s">
        <v>18</v>
      </c>
      <c r="E177" s="72" t="s">
        <v>56</v>
      </c>
      <c r="F177" s="72">
        <v>1</v>
      </c>
      <c r="G177" s="73">
        <f t="shared" si="26"/>
        <v>40</v>
      </c>
      <c r="H177" s="73">
        <f t="shared" si="22"/>
        <v>40</v>
      </c>
      <c r="I177" s="73">
        <f t="shared" si="21"/>
        <v>38.003999999999998</v>
      </c>
      <c r="J177" s="72" t="s">
        <v>86</v>
      </c>
      <c r="K177" s="74"/>
      <c r="M177" s="99" t="s">
        <v>18</v>
      </c>
      <c r="N177" s="80">
        <f t="shared" si="27"/>
        <v>16</v>
      </c>
      <c r="O177" s="80">
        <f>N177*F177</f>
        <v>16</v>
      </c>
      <c r="P177" s="100" t="s">
        <v>56</v>
      </c>
    </row>
    <row r="178" spans="1:16" x14ac:dyDescent="0.25">
      <c r="A178" s="95">
        <v>45401</v>
      </c>
      <c r="B178" s="72" t="s">
        <v>478</v>
      </c>
      <c r="C178" s="72"/>
      <c r="D178" s="72" t="s">
        <v>15</v>
      </c>
      <c r="E178" s="72" t="s">
        <v>82</v>
      </c>
      <c r="F178" s="72">
        <v>1</v>
      </c>
      <c r="G178" s="73">
        <f t="shared" si="26"/>
        <v>70</v>
      </c>
      <c r="H178" s="73">
        <f t="shared" si="22"/>
        <v>70</v>
      </c>
      <c r="I178" s="73">
        <f t="shared" si="21"/>
        <v>70</v>
      </c>
      <c r="J178" s="72" t="s">
        <v>83</v>
      </c>
      <c r="K178" s="74"/>
      <c r="M178" s="99"/>
      <c r="N178" s="80" t="e">
        <f t="shared" si="27"/>
        <v>#N/A</v>
      </c>
      <c r="O178" s="80"/>
      <c r="P178" s="100"/>
    </row>
    <row r="179" spans="1:16" x14ac:dyDescent="0.25">
      <c r="A179" s="95">
        <v>45402</v>
      </c>
      <c r="B179" s="72" t="s">
        <v>236</v>
      </c>
      <c r="C179" s="72" t="s">
        <v>8</v>
      </c>
      <c r="D179" s="72" t="s">
        <v>24</v>
      </c>
      <c r="E179" s="72" t="s">
        <v>56</v>
      </c>
      <c r="F179" s="72">
        <v>1</v>
      </c>
      <c r="G179" s="73">
        <f t="shared" si="26"/>
        <v>10</v>
      </c>
      <c r="H179" s="73">
        <f t="shared" si="22"/>
        <v>10</v>
      </c>
      <c r="I179" s="73">
        <f t="shared" si="21"/>
        <v>10</v>
      </c>
      <c r="J179" s="72" t="s">
        <v>83</v>
      </c>
      <c r="K179" s="74"/>
      <c r="M179" s="99" t="s">
        <v>24</v>
      </c>
      <c r="N179" s="80">
        <f t="shared" si="27"/>
        <v>4</v>
      </c>
      <c r="O179" s="80">
        <f t="shared" ref="O179:O190" si="28">N179*F179</f>
        <v>4</v>
      </c>
      <c r="P179" s="100" t="s">
        <v>56</v>
      </c>
    </row>
    <row r="180" spans="1:16" x14ac:dyDescent="0.25">
      <c r="A180" s="95">
        <v>45402</v>
      </c>
      <c r="B180" s="72" t="s">
        <v>236</v>
      </c>
      <c r="C180" s="72" t="s">
        <v>8</v>
      </c>
      <c r="D180" s="72" t="s">
        <v>21</v>
      </c>
      <c r="E180" s="72" t="s">
        <v>56</v>
      </c>
      <c r="F180" s="72">
        <v>1</v>
      </c>
      <c r="G180" s="73">
        <f t="shared" si="26"/>
        <v>10</v>
      </c>
      <c r="H180" s="73">
        <f t="shared" si="22"/>
        <v>10</v>
      </c>
      <c r="I180" s="73">
        <f t="shared" si="21"/>
        <v>10</v>
      </c>
      <c r="J180" s="72" t="s">
        <v>83</v>
      </c>
      <c r="K180" s="74"/>
      <c r="M180" s="99" t="s">
        <v>21</v>
      </c>
      <c r="N180" s="80">
        <f t="shared" si="27"/>
        <v>4</v>
      </c>
      <c r="O180" s="80">
        <f t="shared" si="28"/>
        <v>4</v>
      </c>
      <c r="P180" s="100" t="s">
        <v>56</v>
      </c>
    </row>
    <row r="181" spans="1:16" x14ac:dyDescent="0.25">
      <c r="A181" s="95">
        <v>45402</v>
      </c>
      <c r="B181" s="72" t="s">
        <v>236</v>
      </c>
      <c r="C181" s="72" t="s">
        <v>8</v>
      </c>
      <c r="D181" s="72" t="s">
        <v>13</v>
      </c>
      <c r="E181" s="72" t="s">
        <v>56</v>
      </c>
      <c r="F181" s="72">
        <v>1</v>
      </c>
      <c r="G181" s="73">
        <f t="shared" si="26"/>
        <v>30</v>
      </c>
      <c r="H181" s="73">
        <f t="shared" si="22"/>
        <v>30</v>
      </c>
      <c r="I181" s="73">
        <f t="shared" si="21"/>
        <v>30</v>
      </c>
      <c r="J181" s="72" t="s">
        <v>83</v>
      </c>
      <c r="K181" s="74"/>
      <c r="M181" s="99" t="s">
        <v>13</v>
      </c>
      <c r="N181" s="80">
        <f t="shared" si="27"/>
        <v>12</v>
      </c>
      <c r="O181" s="80">
        <f t="shared" si="28"/>
        <v>12</v>
      </c>
      <c r="P181" s="100" t="s">
        <v>56</v>
      </c>
    </row>
    <row r="182" spans="1:16" x14ac:dyDescent="0.25">
      <c r="A182" s="95">
        <v>45402</v>
      </c>
      <c r="B182" s="72" t="s">
        <v>459</v>
      </c>
      <c r="C182" s="72" t="s">
        <v>10</v>
      </c>
      <c r="D182" s="72" t="s">
        <v>40</v>
      </c>
      <c r="E182" s="72" t="s">
        <v>56</v>
      </c>
      <c r="F182" s="72">
        <v>1</v>
      </c>
      <c r="G182" s="73">
        <f t="shared" si="26"/>
        <v>45</v>
      </c>
      <c r="H182" s="73">
        <f t="shared" si="22"/>
        <v>45</v>
      </c>
      <c r="I182" s="73">
        <f t="shared" si="21"/>
        <v>45</v>
      </c>
      <c r="J182" s="72" t="s">
        <v>83</v>
      </c>
      <c r="K182" s="74"/>
      <c r="M182" s="99" t="s">
        <v>40</v>
      </c>
      <c r="N182" s="80">
        <f t="shared" si="27"/>
        <v>18</v>
      </c>
      <c r="O182" s="80">
        <f t="shared" si="28"/>
        <v>18</v>
      </c>
      <c r="P182" s="100" t="s">
        <v>56</v>
      </c>
    </row>
    <row r="183" spans="1:16" x14ac:dyDescent="0.25">
      <c r="A183" s="95">
        <v>45402</v>
      </c>
      <c r="B183" s="72" t="s">
        <v>524</v>
      </c>
      <c r="C183" s="72" t="s">
        <v>10</v>
      </c>
      <c r="D183" s="72" t="s">
        <v>13</v>
      </c>
      <c r="E183" s="72" t="s">
        <v>56</v>
      </c>
      <c r="F183" s="72">
        <v>1</v>
      </c>
      <c r="G183" s="73">
        <f t="shared" si="26"/>
        <v>30</v>
      </c>
      <c r="H183" s="73">
        <f t="shared" si="22"/>
        <v>30</v>
      </c>
      <c r="I183" s="73">
        <f t="shared" si="21"/>
        <v>30</v>
      </c>
      <c r="J183" s="72" t="s">
        <v>83</v>
      </c>
      <c r="K183" s="74"/>
      <c r="M183" s="99" t="s">
        <v>13</v>
      </c>
      <c r="N183" s="80">
        <f t="shared" si="27"/>
        <v>12</v>
      </c>
      <c r="O183" s="80">
        <f t="shared" si="28"/>
        <v>12</v>
      </c>
      <c r="P183" s="100" t="s">
        <v>56</v>
      </c>
    </row>
    <row r="184" spans="1:16" x14ac:dyDescent="0.25">
      <c r="A184" s="95">
        <v>45402</v>
      </c>
      <c r="B184" s="72" t="s">
        <v>524</v>
      </c>
      <c r="C184" s="72" t="s">
        <v>10</v>
      </c>
      <c r="D184" s="72" t="s">
        <v>26</v>
      </c>
      <c r="E184" s="72" t="s">
        <v>56</v>
      </c>
      <c r="F184" s="72">
        <v>1</v>
      </c>
      <c r="G184" s="73">
        <f t="shared" si="26"/>
        <v>35</v>
      </c>
      <c r="H184" s="73">
        <f t="shared" si="22"/>
        <v>35</v>
      </c>
      <c r="I184" s="73">
        <f t="shared" si="21"/>
        <v>35</v>
      </c>
      <c r="J184" s="72" t="s">
        <v>83</v>
      </c>
      <c r="K184" s="74"/>
      <c r="M184" s="99" t="s">
        <v>26</v>
      </c>
      <c r="N184" s="80">
        <f t="shared" si="27"/>
        <v>3.5</v>
      </c>
      <c r="O184" s="80">
        <f t="shared" si="28"/>
        <v>3.5</v>
      </c>
      <c r="P184" s="100" t="s">
        <v>56</v>
      </c>
    </row>
    <row r="185" spans="1:16" x14ac:dyDescent="0.25">
      <c r="A185" s="95">
        <v>45402</v>
      </c>
      <c r="B185" s="72" t="s">
        <v>524</v>
      </c>
      <c r="C185" s="72" t="s">
        <v>10</v>
      </c>
      <c r="D185" s="72" t="s">
        <v>45</v>
      </c>
      <c r="E185" s="72" t="s">
        <v>56</v>
      </c>
      <c r="F185" s="72">
        <v>1</v>
      </c>
      <c r="G185" s="73">
        <f t="shared" si="26"/>
        <v>3.5</v>
      </c>
      <c r="H185" s="73">
        <f t="shared" si="22"/>
        <v>3.5</v>
      </c>
      <c r="I185" s="73">
        <f t="shared" si="21"/>
        <v>3.5</v>
      </c>
      <c r="J185" s="72" t="s">
        <v>83</v>
      </c>
      <c r="K185" s="74"/>
      <c r="M185" s="99" t="s">
        <v>45</v>
      </c>
      <c r="N185" s="80">
        <f t="shared" si="27"/>
        <v>0.35000000000000003</v>
      </c>
      <c r="O185" s="80">
        <f t="shared" si="28"/>
        <v>0.35000000000000003</v>
      </c>
      <c r="P185" s="100" t="s">
        <v>56</v>
      </c>
    </row>
    <row r="186" spans="1:16" x14ac:dyDescent="0.25">
      <c r="A186" s="95">
        <v>45402</v>
      </c>
      <c r="B186" s="72" t="s">
        <v>505</v>
      </c>
      <c r="C186" s="72" t="s">
        <v>9</v>
      </c>
      <c r="D186" s="72" t="s">
        <v>13</v>
      </c>
      <c r="E186" s="72" t="s">
        <v>56</v>
      </c>
      <c r="F186" s="72">
        <v>1</v>
      </c>
      <c r="G186" s="73">
        <f t="shared" si="26"/>
        <v>30</v>
      </c>
      <c r="H186" s="73">
        <f t="shared" si="22"/>
        <v>30</v>
      </c>
      <c r="I186" s="73">
        <f t="shared" si="21"/>
        <v>30</v>
      </c>
      <c r="J186" s="72" t="s">
        <v>83</v>
      </c>
      <c r="K186" s="74"/>
      <c r="M186" s="99" t="s">
        <v>13</v>
      </c>
      <c r="N186" s="80">
        <f t="shared" si="27"/>
        <v>12</v>
      </c>
      <c r="O186" s="80">
        <f t="shared" si="28"/>
        <v>12</v>
      </c>
      <c r="P186" s="100" t="s">
        <v>56</v>
      </c>
    </row>
    <row r="187" spans="1:16" x14ac:dyDescent="0.25">
      <c r="A187" s="95">
        <v>45402</v>
      </c>
      <c r="B187" s="72" t="s">
        <v>505</v>
      </c>
      <c r="C187" s="72" t="s">
        <v>9</v>
      </c>
      <c r="D187" s="72" t="s">
        <v>22</v>
      </c>
      <c r="E187" s="72" t="s">
        <v>56</v>
      </c>
      <c r="F187" s="72">
        <v>1</v>
      </c>
      <c r="G187" s="73">
        <f t="shared" si="26"/>
        <v>30</v>
      </c>
      <c r="H187" s="73">
        <f t="shared" si="22"/>
        <v>30</v>
      </c>
      <c r="I187" s="73">
        <f t="shared" si="21"/>
        <v>30</v>
      </c>
      <c r="J187" s="72" t="s">
        <v>83</v>
      </c>
      <c r="K187" s="74"/>
      <c r="M187" s="99" t="s">
        <v>22</v>
      </c>
      <c r="N187" s="80">
        <f t="shared" si="27"/>
        <v>12</v>
      </c>
      <c r="O187" s="80">
        <f t="shared" si="28"/>
        <v>12</v>
      </c>
      <c r="P187" s="100" t="s">
        <v>56</v>
      </c>
    </row>
    <row r="188" spans="1:16" x14ac:dyDescent="0.25">
      <c r="A188" s="95">
        <v>45402</v>
      </c>
      <c r="B188" s="72" t="s">
        <v>525</v>
      </c>
      <c r="C188" s="72" t="s">
        <v>8</v>
      </c>
      <c r="D188" s="72" t="s">
        <v>18</v>
      </c>
      <c r="E188" s="72" t="s">
        <v>56</v>
      </c>
      <c r="F188" s="72">
        <v>1</v>
      </c>
      <c r="G188" s="73">
        <f t="shared" si="26"/>
        <v>40</v>
      </c>
      <c r="H188" s="73">
        <f t="shared" si="22"/>
        <v>40</v>
      </c>
      <c r="I188" s="73">
        <f t="shared" si="21"/>
        <v>38.003999999999998</v>
      </c>
      <c r="J188" s="72" t="s">
        <v>86</v>
      </c>
      <c r="K188" s="74"/>
      <c r="M188" s="99" t="s">
        <v>18</v>
      </c>
      <c r="N188" s="80">
        <f t="shared" si="27"/>
        <v>16</v>
      </c>
      <c r="O188" s="80">
        <f t="shared" si="28"/>
        <v>16</v>
      </c>
      <c r="P188" s="100" t="s">
        <v>56</v>
      </c>
    </row>
    <row r="189" spans="1:16" x14ac:dyDescent="0.25">
      <c r="A189" s="95">
        <v>45402</v>
      </c>
      <c r="B189" s="72" t="s">
        <v>525</v>
      </c>
      <c r="C189" s="72" t="s">
        <v>8</v>
      </c>
      <c r="D189" s="72" t="s">
        <v>42</v>
      </c>
      <c r="E189" s="72" t="s">
        <v>56</v>
      </c>
      <c r="F189" s="72">
        <v>1</v>
      </c>
      <c r="G189" s="73">
        <f t="shared" si="26"/>
        <v>20</v>
      </c>
      <c r="H189" s="73">
        <f t="shared" si="22"/>
        <v>20</v>
      </c>
      <c r="I189" s="73">
        <f t="shared" si="21"/>
        <v>19.001999999999999</v>
      </c>
      <c r="J189" s="72" t="s">
        <v>86</v>
      </c>
      <c r="K189" s="74"/>
      <c r="M189" s="99" t="s">
        <v>42</v>
      </c>
      <c r="N189" s="80">
        <f t="shared" si="27"/>
        <v>8</v>
      </c>
      <c r="O189" s="80">
        <f t="shared" si="28"/>
        <v>8</v>
      </c>
      <c r="P189" s="100" t="s">
        <v>56</v>
      </c>
    </row>
    <row r="190" spans="1:16" x14ac:dyDescent="0.25">
      <c r="A190" s="95">
        <v>45402</v>
      </c>
      <c r="B190" s="72" t="s">
        <v>526</v>
      </c>
      <c r="C190" s="72" t="s">
        <v>9</v>
      </c>
      <c r="D190" s="72" t="s">
        <v>18</v>
      </c>
      <c r="E190" s="72" t="s">
        <v>56</v>
      </c>
      <c r="F190" s="72">
        <v>1</v>
      </c>
      <c r="G190" s="73">
        <f t="shared" si="26"/>
        <v>40</v>
      </c>
      <c r="H190" s="73">
        <f t="shared" si="22"/>
        <v>40</v>
      </c>
      <c r="I190" s="73">
        <f t="shared" si="21"/>
        <v>40</v>
      </c>
      <c r="J190" s="72" t="s">
        <v>83</v>
      </c>
      <c r="K190" s="74"/>
      <c r="M190" s="99" t="s">
        <v>18</v>
      </c>
      <c r="N190" s="80">
        <f t="shared" si="27"/>
        <v>16</v>
      </c>
      <c r="O190" s="80">
        <f t="shared" si="28"/>
        <v>16</v>
      </c>
      <c r="P190" s="100" t="s">
        <v>56</v>
      </c>
    </row>
    <row r="191" spans="1:16" x14ac:dyDescent="0.25">
      <c r="A191" s="95">
        <v>45402</v>
      </c>
      <c r="B191" s="72" t="s">
        <v>198</v>
      </c>
      <c r="C191" s="72" t="s">
        <v>8</v>
      </c>
      <c r="D191" s="72" t="s">
        <v>15</v>
      </c>
      <c r="E191" s="72" t="s">
        <v>82</v>
      </c>
      <c r="F191" s="72">
        <v>1</v>
      </c>
      <c r="G191" s="73">
        <f t="shared" si="26"/>
        <v>70</v>
      </c>
      <c r="H191" s="73">
        <f t="shared" si="22"/>
        <v>70</v>
      </c>
      <c r="I191" s="73">
        <f t="shared" si="21"/>
        <v>70</v>
      </c>
      <c r="J191" s="72" t="s">
        <v>79</v>
      </c>
      <c r="K191" s="74"/>
      <c r="M191" s="99"/>
      <c r="N191" s="80" t="e">
        <f t="shared" si="27"/>
        <v>#N/A</v>
      </c>
      <c r="O191" s="80"/>
      <c r="P191" s="103"/>
    </row>
    <row r="192" spans="1:16" x14ac:dyDescent="0.25">
      <c r="A192" s="95">
        <v>45402</v>
      </c>
      <c r="B192" s="72" t="s">
        <v>324</v>
      </c>
      <c r="C192" s="72" t="s">
        <v>8</v>
      </c>
      <c r="D192" s="72" t="s">
        <v>17</v>
      </c>
      <c r="E192" s="72" t="s">
        <v>82</v>
      </c>
      <c r="F192" s="72">
        <v>1</v>
      </c>
      <c r="G192" s="73">
        <f t="shared" si="26"/>
        <v>50</v>
      </c>
      <c r="H192" s="73">
        <f t="shared" si="22"/>
        <v>50</v>
      </c>
      <c r="I192" s="73">
        <f t="shared" si="21"/>
        <v>47.505000000000003</v>
      </c>
      <c r="J192" s="72" t="s">
        <v>86</v>
      </c>
      <c r="K192" s="74"/>
      <c r="M192" s="99"/>
      <c r="N192" s="80" t="e">
        <f t="shared" si="27"/>
        <v>#N/A</v>
      </c>
      <c r="O192" s="80"/>
      <c r="P192" s="103"/>
    </row>
    <row r="193" spans="1:16" x14ac:dyDescent="0.25">
      <c r="A193" s="95">
        <v>45402</v>
      </c>
      <c r="B193" s="72" t="s">
        <v>283</v>
      </c>
      <c r="C193" s="72" t="s">
        <v>8</v>
      </c>
      <c r="D193" s="72" t="s">
        <v>43</v>
      </c>
      <c r="E193" s="72"/>
      <c r="F193" s="72">
        <v>1</v>
      </c>
      <c r="G193" s="73">
        <f t="shared" si="26"/>
        <v>130</v>
      </c>
      <c r="H193" s="73">
        <f t="shared" si="22"/>
        <v>130</v>
      </c>
      <c r="I193" s="73">
        <f t="shared" si="21"/>
        <v>123.51300000000001</v>
      </c>
      <c r="J193" s="72" t="s">
        <v>86</v>
      </c>
      <c r="K193" s="74"/>
      <c r="M193" s="99"/>
      <c r="N193" s="80" t="e">
        <f t="shared" si="27"/>
        <v>#N/A</v>
      </c>
      <c r="O193" s="80"/>
      <c r="P193" s="103"/>
    </row>
    <row r="194" spans="1:16" x14ac:dyDescent="0.25">
      <c r="A194" s="95">
        <v>45402</v>
      </c>
      <c r="B194" s="72" t="s">
        <v>283</v>
      </c>
      <c r="C194" s="72" t="s">
        <v>8</v>
      </c>
      <c r="D194" s="72" t="s">
        <v>46</v>
      </c>
      <c r="E194" s="72" t="s">
        <v>82</v>
      </c>
      <c r="F194" s="72">
        <v>1</v>
      </c>
      <c r="G194" s="73">
        <f t="shared" si="26"/>
        <v>5</v>
      </c>
      <c r="H194" s="73">
        <f t="shared" si="22"/>
        <v>5</v>
      </c>
      <c r="I194" s="73">
        <f t="shared" si="21"/>
        <v>4.7504999999999997</v>
      </c>
      <c r="J194" s="72" t="s">
        <v>86</v>
      </c>
      <c r="K194" s="74"/>
      <c r="M194" s="99"/>
      <c r="N194" s="80" t="e">
        <f t="shared" si="27"/>
        <v>#N/A</v>
      </c>
      <c r="O194" s="80"/>
      <c r="P194" s="103"/>
    </row>
    <row r="195" spans="1:16" x14ac:dyDescent="0.25">
      <c r="A195" s="95">
        <v>45402</v>
      </c>
      <c r="B195" s="72" t="s">
        <v>527</v>
      </c>
      <c r="C195" s="72" t="s">
        <v>8</v>
      </c>
      <c r="D195" s="72" t="s">
        <v>22</v>
      </c>
      <c r="E195" s="72" t="s">
        <v>82</v>
      </c>
      <c r="F195" s="72">
        <v>1</v>
      </c>
      <c r="G195" s="73">
        <f t="shared" si="26"/>
        <v>30</v>
      </c>
      <c r="H195" s="73">
        <f t="shared" si="22"/>
        <v>30</v>
      </c>
      <c r="I195" s="73">
        <f t="shared" ref="I195:I258" si="29">IF(J195="Cartão de Debito",H195-(H195*$AC$5),IF(J195="Cartão de Credito",H195-(H195*$AC$6), IF(J195="Pix",H195-(H195*$AC$7), IF(J195="Dinheiro (R$)", H195-(H195*$AC$8)))))</f>
        <v>30</v>
      </c>
      <c r="J195" s="72" t="s">
        <v>83</v>
      </c>
      <c r="K195" s="74"/>
      <c r="M195" s="99"/>
      <c r="N195" s="80" t="e">
        <f t="shared" si="27"/>
        <v>#N/A</v>
      </c>
      <c r="O195" s="80"/>
      <c r="P195" s="103"/>
    </row>
    <row r="196" spans="1:16" x14ac:dyDescent="0.25">
      <c r="A196" s="95">
        <v>45402</v>
      </c>
      <c r="B196" s="72" t="s">
        <v>498</v>
      </c>
      <c r="C196" s="72" t="s">
        <v>8</v>
      </c>
      <c r="D196" s="72" t="s">
        <v>18</v>
      </c>
      <c r="E196" s="72" t="s">
        <v>82</v>
      </c>
      <c r="F196" s="72">
        <v>1</v>
      </c>
      <c r="G196" s="73">
        <f t="shared" si="26"/>
        <v>40</v>
      </c>
      <c r="H196" s="73">
        <f t="shared" si="22"/>
        <v>40</v>
      </c>
      <c r="I196" s="73">
        <f t="shared" si="29"/>
        <v>39.043999999999997</v>
      </c>
      <c r="J196" s="72" t="s">
        <v>78</v>
      </c>
      <c r="K196" s="74"/>
      <c r="M196" s="99"/>
      <c r="N196" s="80" t="e">
        <f t="shared" si="27"/>
        <v>#N/A</v>
      </c>
      <c r="O196" s="80"/>
      <c r="P196" s="103"/>
    </row>
    <row r="197" spans="1:16" x14ac:dyDescent="0.25">
      <c r="A197" s="95">
        <v>45402</v>
      </c>
      <c r="B197" s="72" t="s">
        <v>217</v>
      </c>
      <c r="C197" s="72" t="s">
        <v>8</v>
      </c>
      <c r="D197" s="72" t="s">
        <v>40</v>
      </c>
      <c r="E197" s="72" t="s">
        <v>82</v>
      </c>
      <c r="F197" s="72">
        <v>1</v>
      </c>
      <c r="G197" s="73">
        <f t="shared" si="26"/>
        <v>45</v>
      </c>
      <c r="H197" s="73">
        <f t="shared" si="22"/>
        <v>45</v>
      </c>
      <c r="I197" s="73">
        <f t="shared" si="29"/>
        <v>45</v>
      </c>
      <c r="J197" s="72" t="s">
        <v>83</v>
      </c>
      <c r="K197" s="74"/>
      <c r="M197" s="99"/>
      <c r="N197" s="80" t="e">
        <f t="shared" si="27"/>
        <v>#N/A</v>
      </c>
      <c r="O197" s="80"/>
      <c r="P197" s="103"/>
    </row>
    <row r="198" spans="1:16" x14ac:dyDescent="0.25">
      <c r="A198" s="95">
        <v>45402</v>
      </c>
      <c r="B198" s="72" t="s">
        <v>238</v>
      </c>
      <c r="C198" s="72" t="s">
        <v>8</v>
      </c>
      <c r="D198" s="72" t="s">
        <v>18</v>
      </c>
      <c r="E198" s="72" t="s">
        <v>82</v>
      </c>
      <c r="F198" s="72">
        <v>1</v>
      </c>
      <c r="G198" s="73">
        <f t="shared" si="26"/>
        <v>40</v>
      </c>
      <c r="H198" s="73">
        <f t="shared" ref="H198:H261" si="30">F198*G198</f>
        <v>40</v>
      </c>
      <c r="I198" s="73">
        <f t="shared" si="29"/>
        <v>38.003999999999998</v>
      </c>
      <c r="J198" s="72" t="s">
        <v>86</v>
      </c>
      <c r="K198" s="74"/>
      <c r="M198" s="99"/>
      <c r="N198" s="80" t="e">
        <f t="shared" si="27"/>
        <v>#N/A</v>
      </c>
      <c r="O198" s="80"/>
      <c r="P198" s="103"/>
    </row>
    <row r="199" spans="1:16" x14ac:dyDescent="0.25">
      <c r="A199" s="95">
        <v>45402</v>
      </c>
      <c r="B199" s="72" t="s">
        <v>274</v>
      </c>
      <c r="C199" s="72" t="s">
        <v>8</v>
      </c>
      <c r="D199" s="72" t="s">
        <v>18</v>
      </c>
      <c r="E199" s="72" t="s">
        <v>82</v>
      </c>
      <c r="F199" s="72">
        <v>1</v>
      </c>
      <c r="G199" s="73">
        <f t="shared" si="26"/>
        <v>40</v>
      </c>
      <c r="H199" s="73">
        <f t="shared" si="30"/>
        <v>40</v>
      </c>
      <c r="I199" s="73">
        <f t="shared" si="29"/>
        <v>40</v>
      </c>
      <c r="J199" s="72" t="s">
        <v>83</v>
      </c>
      <c r="K199" s="74"/>
      <c r="M199" s="99"/>
      <c r="N199" s="80" t="e">
        <f t="shared" si="27"/>
        <v>#N/A</v>
      </c>
      <c r="O199" s="80"/>
      <c r="P199" s="103"/>
    </row>
    <row r="200" spans="1:16" x14ac:dyDescent="0.25">
      <c r="A200" s="95">
        <v>45405</v>
      </c>
      <c r="B200" s="72" t="s">
        <v>289</v>
      </c>
      <c r="C200" s="72" t="s">
        <v>8</v>
      </c>
      <c r="D200" s="72" t="s">
        <v>15</v>
      </c>
      <c r="E200" s="72" t="s">
        <v>82</v>
      </c>
      <c r="F200" s="72">
        <v>1</v>
      </c>
      <c r="G200" s="73">
        <f t="shared" si="26"/>
        <v>70</v>
      </c>
      <c r="H200" s="73">
        <f t="shared" si="30"/>
        <v>70</v>
      </c>
      <c r="I200" s="73">
        <f t="shared" si="29"/>
        <v>68.326999999999998</v>
      </c>
      <c r="J200" s="72" t="s">
        <v>78</v>
      </c>
      <c r="K200" s="74"/>
      <c r="M200" s="99"/>
      <c r="N200" s="80" t="e">
        <f t="shared" si="27"/>
        <v>#N/A</v>
      </c>
      <c r="O200" s="80"/>
      <c r="P200" s="103"/>
    </row>
    <row r="201" spans="1:16" x14ac:dyDescent="0.25">
      <c r="A201" s="95">
        <v>45405</v>
      </c>
      <c r="B201" s="72" t="s">
        <v>528</v>
      </c>
      <c r="C201" s="72" t="s">
        <v>9</v>
      </c>
      <c r="D201" s="72" t="s">
        <v>18</v>
      </c>
      <c r="E201" s="72" t="s">
        <v>56</v>
      </c>
      <c r="F201" s="72">
        <v>1</v>
      </c>
      <c r="G201" s="73">
        <f t="shared" si="26"/>
        <v>40</v>
      </c>
      <c r="H201" s="73">
        <f t="shared" si="30"/>
        <v>40</v>
      </c>
      <c r="I201" s="73">
        <f t="shared" si="29"/>
        <v>39.043999999999997</v>
      </c>
      <c r="J201" s="72" t="s">
        <v>78</v>
      </c>
      <c r="K201" s="74"/>
      <c r="M201" s="99" t="s">
        <v>18</v>
      </c>
      <c r="N201" s="80">
        <f t="shared" si="27"/>
        <v>16</v>
      </c>
      <c r="O201" s="80">
        <f>N201*F201</f>
        <v>16</v>
      </c>
      <c r="P201" s="100" t="s">
        <v>56</v>
      </c>
    </row>
    <row r="202" spans="1:16" x14ac:dyDescent="0.25">
      <c r="A202" s="95">
        <v>45405</v>
      </c>
      <c r="B202" s="72" t="s">
        <v>346</v>
      </c>
      <c r="C202" s="72" t="s">
        <v>8</v>
      </c>
      <c r="D202" s="72" t="s">
        <v>17</v>
      </c>
      <c r="E202" s="72" t="s">
        <v>82</v>
      </c>
      <c r="F202" s="72">
        <v>1</v>
      </c>
      <c r="G202" s="73">
        <f t="shared" si="26"/>
        <v>50</v>
      </c>
      <c r="H202" s="73">
        <f t="shared" si="30"/>
        <v>50</v>
      </c>
      <c r="I202" s="73">
        <f t="shared" si="29"/>
        <v>50</v>
      </c>
      <c r="J202" s="72" t="s">
        <v>83</v>
      </c>
      <c r="K202" s="74"/>
      <c r="M202" s="99"/>
      <c r="N202" s="80" t="e">
        <f t="shared" si="27"/>
        <v>#N/A</v>
      </c>
      <c r="O202" s="80"/>
      <c r="P202" s="100"/>
    </row>
    <row r="203" spans="1:16" x14ac:dyDescent="0.25">
      <c r="A203" s="95">
        <v>45405</v>
      </c>
      <c r="B203" s="72" t="s">
        <v>529</v>
      </c>
      <c r="C203" s="72" t="s">
        <v>8</v>
      </c>
      <c r="D203" s="72" t="s">
        <v>19</v>
      </c>
      <c r="E203" s="72" t="s">
        <v>56</v>
      </c>
      <c r="F203" s="72">
        <v>1</v>
      </c>
      <c r="G203" s="73">
        <v>30</v>
      </c>
      <c r="H203" s="73">
        <f t="shared" si="30"/>
        <v>30</v>
      </c>
      <c r="I203" s="73">
        <f t="shared" si="29"/>
        <v>30</v>
      </c>
      <c r="J203" s="72" t="s">
        <v>79</v>
      </c>
      <c r="K203" s="74" t="s">
        <v>530</v>
      </c>
      <c r="M203" s="72" t="s">
        <v>19</v>
      </c>
      <c r="N203" s="80">
        <f>H203*0.4</f>
        <v>12</v>
      </c>
      <c r="O203" s="80">
        <f>N203*F203</f>
        <v>12</v>
      </c>
      <c r="P203" s="100" t="s">
        <v>56</v>
      </c>
    </row>
    <row r="204" spans="1:16" x14ac:dyDescent="0.25">
      <c r="A204" s="95">
        <v>45406</v>
      </c>
      <c r="B204" s="72" t="s">
        <v>531</v>
      </c>
      <c r="C204" s="72" t="s">
        <v>8</v>
      </c>
      <c r="D204" s="72" t="s">
        <v>17</v>
      </c>
      <c r="E204" s="72" t="s">
        <v>82</v>
      </c>
      <c r="F204" s="72">
        <v>1</v>
      </c>
      <c r="G204" s="73">
        <f t="shared" ref="G204:G222" si="31">VLOOKUP(D204,$S$3:$T$120,2,0)</f>
        <v>50</v>
      </c>
      <c r="H204" s="73">
        <f t="shared" si="30"/>
        <v>50</v>
      </c>
      <c r="I204" s="73">
        <f t="shared" si="29"/>
        <v>50</v>
      </c>
      <c r="J204" s="72" t="s">
        <v>83</v>
      </c>
      <c r="K204" s="74"/>
      <c r="M204" s="99"/>
      <c r="N204" s="80" t="e">
        <f t="shared" ref="N204:N226" si="32">VLOOKUP(M204,$S$3:$U$60,3,0)</f>
        <v>#N/A</v>
      </c>
      <c r="O204" s="80"/>
      <c r="P204" s="100"/>
    </row>
    <row r="205" spans="1:16" x14ac:dyDescent="0.25">
      <c r="A205" s="95">
        <v>45406</v>
      </c>
      <c r="B205" s="72" t="s">
        <v>466</v>
      </c>
      <c r="C205" s="72" t="s">
        <v>8</v>
      </c>
      <c r="D205" s="72" t="s">
        <v>15</v>
      </c>
      <c r="E205" s="72" t="s">
        <v>82</v>
      </c>
      <c r="F205" s="72">
        <v>1</v>
      </c>
      <c r="G205" s="73">
        <f t="shared" si="31"/>
        <v>70</v>
      </c>
      <c r="H205" s="73">
        <f t="shared" si="30"/>
        <v>70</v>
      </c>
      <c r="I205" s="73">
        <f t="shared" si="29"/>
        <v>70</v>
      </c>
      <c r="J205" s="72" t="s">
        <v>83</v>
      </c>
      <c r="K205" s="74"/>
      <c r="M205" s="99"/>
      <c r="N205" s="80" t="e">
        <f t="shared" si="32"/>
        <v>#N/A</v>
      </c>
      <c r="O205" s="80"/>
      <c r="P205" s="100"/>
    </row>
    <row r="206" spans="1:16" x14ac:dyDescent="0.25">
      <c r="A206" s="95">
        <v>45406</v>
      </c>
      <c r="B206" s="72" t="s">
        <v>256</v>
      </c>
      <c r="C206" s="72" t="s">
        <v>8</v>
      </c>
      <c r="D206" s="72" t="s">
        <v>15</v>
      </c>
      <c r="E206" s="72" t="s">
        <v>82</v>
      </c>
      <c r="F206" s="72">
        <v>1</v>
      </c>
      <c r="G206" s="73">
        <f t="shared" si="31"/>
        <v>70</v>
      </c>
      <c r="H206" s="73">
        <f t="shared" si="30"/>
        <v>70</v>
      </c>
      <c r="I206" s="73">
        <f t="shared" si="29"/>
        <v>70</v>
      </c>
      <c r="J206" s="72" t="s">
        <v>79</v>
      </c>
      <c r="K206" s="74"/>
      <c r="M206" s="99"/>
      <c r="N206" s="80" t="e">
        <f t="shared" si="32"/>
        <v>#N/A</v>
      </c>
      <c r="O206" s="80"/>
      <c r="P206" s="100"/>
    </row>
    <row r="207" spans="1:16" x14ac:dyDescent="0.25">
      <c r="A207" s="95">
        <v>45406</v>
      </c>
      <c r="B207" s="72" t="s">
        <v>532</v>
      </c>
      <c r="C207" s="72" t="s">
        <v>8</v>
      </c>
      <c r="D207" s="72" t="s">
        <v>18</v>
      </c>
      <c r="E207" s="72" t="s">
        <v>82</v>
      </c>
      <c r="F207" s="72">
        <v>1</v>
      </c>
      <c r="G207" s="73">
        <f t="shared" si="31"/>
        <v>40</v>
      </c>
      <c r="H207" s="73">
        <f t="shared" si="30"/>
        <v>40</v>
      </c>
      <c r="I207" s="73">
        <f t="shared" si="29"/>
        <v>40</v>
      </c>
      <c r="J207" s="72" t="s">
        <v>83</v>
      </c>
      <c r="K207" s="74"/>
      <c r="M207" s="99"/>
      <c r="N207" s="80" t="e">
        <f t="shared" si="32"/>
        <v>#N/A</v>
      </c>
      <c r="O207" s="80"/>
      <c r="P207" s="100"/>
    </row>
    <row r="208" spans="1:16" x14ac:dyDescent="0.25">
      <c r="A208" s="95">
        <v>45406</v>
      </c>
      <c r="B208" s="72" t="s">
        <v>220</v>
      </c>
      <c r="C208" s="72" t="s">
        <v>8</v>
      </c>
      <c r="D208" s="72" t="s">
        <v>15</v>
      </c>
      <c r="E208" s="72" t="s">
        <v>82</v>
      </c>
      <c r="F208" s="72">
        <v>1</v>
      </c>
      <c r="G208" s="73">
        <f t="shared" si="31"/>
        <v>70</v>
      </c>
      <c r="H208" s="73">
        <f t="shared" si="30"/>
        <v>70</v>
      </c>
      <c r="I208" s="73">
        <f t="shared" si="29"/>
        <v>70</v>
      </c>
      <c r="J208" s="72" t="s">
        <v>83</v>
      </c>
      <c r="K208" s="74"/>
      <c r="M208" s="99"/>
      <c r="N208" s="80" t="e">
        <f t="shared" si="32"/>
        <v>#N/A</v>
      </c>
      <c r="O208" s="80"/>
      <c r="P208" s="100"/>
    </row>
    <row r="209" spans="1:16" x14ac:dyDescent="0.25">
      <c r="A209" s="95">
        <v>45406</v>
      </c>
      <c r="B209" s="72" t="s">
        <v>220</v>
      </c>
      <c r="C209" s="72" t="s">
        <v>8</v>
      </c>
      <c r="D209" s="72" t="s">
        <v>37</v>
      </c>
      <c r="E209" s="72" t="s">
        <v>82</v>
      </c>
      <c r="F209" s="72">
        <v>1</v>
      </c>
      <c r="G209" s="73">
        <f t="shared" si="31"/>
        <v>7</v>
      </c>
      <c r="H209" s="73">
        <f t="shared" si="30"/>
        <v>7</v>
      </c>
      <c r="I209" s="73">
        <f t="shared" si="29"/>
        <v>7</v>
      </c>
      <c r="J209" s="72" t="s">
        <v>83</v>
      </c>
      <c r="K209" s="74"/>
      <c r="M209" s="99"/>
      <c r="N209" s="80" t="e">
        <f t="shared" si="32"/>
        <v>#N/A</v>
      </c>
      <c r="O209" s="80"/>
      <c r="P209" s="100"/>
    </row>
    <row r="210" spans="1:16" x14ac:dyDescent="0.25">
      <c r="A210" s="95">
        <v>45406</v>
      </c>
      <c r="B210" s="72" t="s">
        <v>533</v>
      </c>
      <c r="C210" s="72" t="s">
        <v>8</v>
      </c>
      <c r="D210" s="72" t="s">
        <v>43</v>
      </c>
      <c r="E210" s="72" t="s">
        <v>82</v>
      </c>
      <c r="F210" s="72">
        <v>1</v>
      </c>
      <c r="G210" s="73">
        <f t="shared" si="31"/>
        <v>130</v>
      </c>
      <c r="H210" s="73">
        <f t="shared" si="30"/>
        <v>130</v>
      </c>
      <c r="I210" s="73">
        <f t="shared" si="29"/>
        <v>123.51300000000001</v>
      </c>
      <c r="J210" s="72" t="s">
        <v>86</v>
      </c>
      <c r="K210" s="74"/>
      <c r="M210" s="99"/>
      <c r="N210" s="80" t="e">
        <f t="shared" si="32"/>
        <v>#N/A</v>
      </c>
      <c r="O210" s="80"/>
      <c r="P210" s="100"/>
    </row>
    <row r="211" spans="1:16" x14ac:dyDescent="0.25">
      <c r="A211" s="95">
        <v>45406</v>
      </c>
      <c r="B211" s="72" t="s">
        <v>504</v>
      </c>
      <c r="C211" s="72" t="s">
        <v>8</v>
      </c>
      <c r="D211" s="72" t="s">
        <v>15</v>
      </c>
      <c r="E211" s="72" t="s">
        <v>82</v>
      </c>
      <c r="F211" s="72">
        <v>1</v>
      </c>
      <c r="G211" s="73">
        <f t="shared" si="31"/>
        <v>70</v>
      </c>
      <c r="H211" s="73">
        <f t="shared" si="30"/>
        <v>70</v>
      </c>
      <c r="I211" s="73">
        <f t="shared" si="29"/>
        <v>70</v>
      </c>
      <c r="J211" s="72" t="s">
        <v>79</v>
      </c>
      <c r="K211" s="74" t="s">
        <v>534</v>
      </c>
      <c r="M211" s="99" t="s">
        <v>47</v>
      </c>
      <c r="N211" s="80">
        <f t="shared" si="32"/>
        <v>6.5</v>
      </c>
      <c r="O211" s="80">
        <f>N211*F211</f>
        <v>6.5</v>
      </c>
      <c r="P211" s="100" t="s">
        <v>56</v>
      </c>
    </row>
    <row r="212" spans="1:16" x14ac:dyDescent="0.25">
      <c r="A212" s="95">
        <v>45407</v>
      </c>
      <c r="B212" s="72" t="s">
        <v>395</v>
      </c>
      <c r="C212" s="72" t="s">
        <v>8</v>
      </c>
      <c r="D212" s="72" t="s">
        <v>47</v>
      </c>
      <c r="E212" s="72" t="s">
        <v>56</v>
      </c>
      <c r="F212" s="72">
        <v>1</v>
      </c>
      <c r="G212" s="73">
        <f t="shared" si="31"/>
        <v>65</v>
      </c>
      <c r="H212" s="73">
        <f t="shared" si="30"/>
        <v>65</v>
      </c>
      <c r="I212" s="73">
        <f t="shared" si="29"/>
        <v>65</v>
      </c>
      <c r="J212" s="72" t="s">
        <v>83</v>
      </c>
      <c r="K212" s="74" t="s">
        <v>534</v>
      </c>
      <c r="M212" s="99"/>
      <c r="N212" s="80" t="e">
        <f t="shared" si="32"/>
        <v>#N/A</v>
      </c>
      <c r="O212" s="80"/>
      <c r="P212" s="100"/>
    </row>
    <row r="213" spans="1:16" x14ac:dyDescent="0.25">
      <c r="A213" s="95">
        <v>45407</v>
      </c>
      <c r="B213" s="72" t="s">
        <v>494</v>
      </c>
      <c r="C213" s="72" t="s">
        <v>8</v>
      </c>
      <c r="D213" s="72" t="s">
        <v>18</v>
      </c>
      <c r="E213" s="72" t="s">
        <v>82</v>
      </c>
      <c r="F213" s="72">
        <v>1</v>
      </c>
      <c r="G213" s="73">
        <f t="shared" si="31"/>
        <v>40</v>
      </c>
      <c r="H213" s="73">
        <f t="shared" si="30"/>
        <v>40</v>
      </c>
      <c r="I213" s="73">
        <f t="shared" si="29"/>
        <v>40</v>
      </c>
      <c r="J213" s="72" t="s">
        <v>83</v>
      </c>
      <c r="K213" s="74"/>
      <c r="M213" s="99"/>
      <c r="N213" s="80" t="e">
        <f t="shared" si="32"/>
        <v>#N/A</v>
      </c>
      <c r="O213" s="80"/>
      <c r="P213" s="100"/>
    </row>
    <row r="214" spans="1:16" x14ac:dyDescent="0.25">
      <c r="A214" s="95">
        <v>45407</v>
      </c>
      <c r="B214" s="72" t="s">
        <v>204</v>
      </c>
      <c r="C214" s="72" t="s">
        <v>8</v>
      </c>
      <c r="D214" s="72" t="s">
        <v>16</v>
      </c>
      <c r="E214" s="72" t="s">
        <v>82</v>
      </c>
      <c r="F214" s="72">
        <v>1</v>
      </c>
      <c r="G214" s="73">
        <f t="shared" si="31"/>
        <v>80</v>
      </c>
      <c r="H214" s="73">
        <f t="shared" si="30"/>
        <v>80</v>
      </c>
      <c r="I214" s="73">
        <f t="shared" si="29"/>
        <v>80</v>
      </c>
      <c r="J214" s="72" t="s">
        <v>83</v>
      </c>
      <c r="K214" s="74"/>
      <c r="M214" s="99"/>
      <c r="N214" s="80" t="e">
        <f t="shared" si="32"/>
        <v>#N/A</v>
      </c>
      <c r="O214" s="80"/>
      <c r="P214" s="100"/>
    </row>
    <row r="215" spans="1:16" x14ac:dyDescent="0.25">
      <c r="A215" s="95">
        <v>45407</v>
      </c>
      <c r="B215" s="72" t="s">
        <v>535</v>
      </c>
      <c r="C215" s="72" t="s">
        <v>8</v>
      </c>
      <c r="D215" s="72" t="s">
        <v>17</v>
      </c>
      <c r="E215" s="72" t="s">
        <v>82</v>
      </c>
      <c r="F215" s="72">
        <v>1</v>
      </c>
      <c r="G215" s="73">
        <f t="shared" si="31"/>
        <v>50</v>
      </c>
      <c r="H215" s="73">
        <f t="shared" si="30"/>
        <v>50</v>
      </c>
      <c r="I215" s="73">
        <f t="shared" si="29"/>
        <v>48.805</v>
      </c>
      <c r="J215" s="72" t="s">
        <v>78</v>
      </c>
      <c r="K215" s="74"/>
      <c r="M215" s="99"/>
      <c r="N215" s="80" t="e">
        <f t="shared" si="32"/>
        <v>#N/A</v>
      </c>
      <c r="O215" s="80"/>
      <c r="P215" s="100"/>
    </row>
    <row r="216" spans="1:16" x14ac:dyDescent="0.25">
      <c r="A216" s="95">
        <v>45407</v>
      </c>
      <c r="B216" s="72" t="s">
        <v>281</v>
      </c>
      <c r="C216" s="72" t="s">
        <v>8</v>
      </c>
      <c r="D216" s="72" t="s">
        <v>18</v>
      </c>
      <c r="E216" s="72" t="s">
        <v>82</v>
      </c>
      <c r="F216" s="72">
        <v>1</v>
      </c>
      <c r="G216" s="73">
        <f t="shared" si="31"/>
        <v>40</v>
      </c>
      <c r="H216" s="73">
        <f t="shared" si="30"/>
        <v>40</v>
      </c>
      <c r="I216" s="73">
        <f t="shared" si="29"/>
        <v>40</v>
      </c>
      <c r="J216" s="72" t="s">
        <v>79</v>
      </c>
      <c r="K216" s="74"/>
      <c r="M216" s="99"/>
      <c r="N216" s="80" t="e">
        <f t="shared" si="32"/>
        <v>#N/A</v>
      </c>
      <c r="O216" s="80"/>
      <c r="P216" s="100"/>
    </row>
    <row r="217" spans="1:16" x14ac:dyDescent="0.25">
      <c r="A217" s="95">
        <v>45407</v>
      </c>
      <c r="B217" s="72" t="s">
        <v>536</v>
      </c>
      <c r="C217" s="72" t="s">
        <v>8</v>
      </c>
      <c r="D217" s="72" t="s">
        <v>18</v>
      </c>
      <c r="E217" s="72" t="s">
        <v>82</v>
      </c>
      <c r="F217" s="72">
        <v>1</v>
      </c>
      <c r="G217" s="73">
        <f t="shared" si="31"/>
        <v>40</v>
      </c>
      <c r="H217" s="73">
        <f t="shared" si="30"/>
        <v>40</v>
      </c>
      <c r="I217" s="73">
        <f t="shared" si="29"/>
        <v>40</v>
      </c>
      <c r="J217" s="72" t="s">
        <v>79</v>
      </c>
      <c r="K217" s="74"/>
      <c r="M217" s="99"/>
      <c r="N217" s="80" t="e">
        <f t="shared" si="32"/>
        <v>#N/A</v>
      </c>
      <c r="O217" s="80"/>
      <c r="P217" s="100"/>
    </row>
    <row r="218" spans="1:16" x14ac:dyDescent="0.25">
      <c r="A218" s="95">
        <v>45408</v>
      </c>
      <c r="B218" s="72" t="s">
        <v>537</v>
      </c>
      <c r="C218" s="72" t="s">
        <v>10</v>
      </c>
      <c r="D218" s="72" t="s">
        <v>18</v>
      </c>
      <c r="E218" s="72" t="s">
        <v>56</v>
      </c>
      <c r="F218" s="72">
        <v>1</v>
      </c>
      <c r="G218" s="73">
        <f t="shared" si="31"/>
        <v>40</v>
      </c>
      <c r="H218" s="73">
        <f t="shared" si="30"/>
        <v>40</v>
      </c>
      <c r="I218" s="73">
        <f t="shared" si="29"/>
        <v>39.043999999999997</v>
      </c>
      <c r="J218" s="72" t="s">
        <v>78</v>
      </c>
      <c r="K218" s="74"/>
      <c r="M218" s="99" t="s">
        <v>18</v>
      </c>
      <c r="N218" s="80">
        <f t="shared" si="32"/>
        <v>16</v>
      </c>
      <c r="O218" s="80">
        <f>N218*F218</f>
        <v>16</v>
      </c>
      <c r="P218" s="100" t="s">
        <v>56</v>
      </c>
    </row>
    <row r="219" spans="1:16" x14ac:dyDescent="0.25">
      <c r="A219" s="95">
        <v>45408</v>
      </c>
      <c r="B219" s="72" t="s">
        <v>538</v>
      </c>
      <c r="C219" s="72" t="s">
        <v>8</v>
      </c>
      <c r="D219" s="72" t="s">
        <v>18</v>
      </c>
      <c r="E219" s="72" t="s">
        <v>82</v>
      </c>
      <c r="F219" s="72">
        <v>1</v>
      </c>
      <c r="G219" s="73">
        <f t="shared" si="31"/>
        <v>40</v>
      </c>
      <c r="H219" s="73">
        <f t="shared" si="30"/>
        <v>40</v>
      </c>
      <c r="I219" s="73">
        <f t="shared" si="29"/>
        <v>40</v>
      </c>
      <c r="J219" s="72" t="s">
        <v>83</v>
      </c>
      <c r="K219" s="74"/>
      <c r="M219" s="99"/>
      <c r="N219" s="80" t="e">
        <f t="shared" si="32"/>
        <v>#N/A</v>
      </c>
      <c r="O219" s="80"/>
      <c r="P219" s="100"/>
    </row>
    <row r="220" spans="1:16" x14ac:dyDescent="0.25">
      <c r="A220" s="95">
        <v>45408</v>
      </c>
      <c r="B220" s="72" t="s">
        <v>476</v>
      </c>
      <c r="C220" s="72" t="s">
        <v>8</v>
      </c>
      <c r="D220" s="72" t="s">
        <v>17</v>
      </c>
      <c r="E220" s="72" t="s">
        <v>82</v>
      </c>
      <c r="F220" s="72">
        <v>1</v>
      </c>
      <c r="G220" s="73">
        <f t="shared" si="31"/>
        <v>50</v>
      </c>
      <c r="H220" s="73">
        <f t="shared" si="30"/>
        <v>50</v>
      </c>
      <c r="I220" s="73">
        <f t="shared" si="29"/>
        <v>50</v>
      </c>
      <c r="J220" s="72" t="s">
        <v>83</v>
      </c>
      <c r="K220" s="74"/>
      <c r="M220" s="99"/>
      <c r="N220" s="80" t="e">
        <f t="shared" si="32"/>
        <v>#N/A</v>
      </c>
      <c r="O220" s="80"/>
      <c r="P220" s="100"/>
    </row>
    <row r="221" spans="1:16" x14ac:dyDescent="0.25">
      <c r="A221" s="95">
        <v>45408</v>
      </c>
      <c r="B221" s="72" t="s">
        <v>109</v>
      </c>
      <c r="C221" s="72" t="s">
        <v>8</v>
      </c>
      <c r="D221" s="72" t="s">
        <v>17</v>
      </c>
      <c r="E221" s="72" t="s">
        <v>82</v>
      </c>
      <c r="F221" s="72">
        <v>1</v>
      </c>
      <c r="G221" s="73">
        <f t="shared" si="31"/>
        <v>50</v>
      </c>
      <c r="H221" s="73">
        <f t="shared" si="30"/>
        <v>50</v>
      </c>
      <c r="I221" s="73">
        <f t="shared" si="29"/>
        <v>47.505000000000003</v>
      </c>
      <c r="J221" s="72" t="s">
        <v>86</v>
      </c>
      <c r="K221" s="74"/>
      <c r="M221" s="99"/>
      <c r="N221" s="80" t="e">
        <f t="shared" si="32"/>
        <v>#N/A</v>
      </c>
      <c r="O221" s="80"/>
      <c r="P221" s="100"/>
    </row>
    <row r="222" spans="1:16" x14ac:dyDescent="0.25">
      <c r="A222" s="95">
        <v>45408</v>
      </c>
      <c r="B222" s="72" t="s">
        <v>504</v>
      </c>
      <c r="C222" s="72" t="s">
        <v>8</v>
      </c>
      <c r="D222" s="72" t="s">
        <v>15</v>
      </c>
      <c r="E222" s="72" t="s">
        <v>82</v>
      </c>
      <c r="F222" s="72">
        <v>1</v>
      </c>
      <c r="G222" s="73">
        <f t="shared" si="31"/>
        <v>70</v>
      </c>
      <c r="H222" s="73">
        <f t="shared" si="30"/>
        <v>70</v>
      </c>
      <c r="I222" s="73">
        <f t="shared" si="29"/>
        <v>70</v>
      </c>
      <c r="J222" s="72" t="s">
        <v>79</v>
      </c>
      <c r="K222" s="74"/>
      <c r="M222" s="99"/>
      <c r="N222" s="80" t="e">
        <f t="shared" si="32"/>
        <v>#N/A</v>
      </c>
      <c r="O222" s="80"/>
      <c r="P222" s="100"/>
    </row>
    <row r="223" spans="1:16" x14ac:dyDescent="0.25">
      <c r="A223" s="95">
        <v>45408</v>
      </c>
      <c r="B223" s="72" t="s">
        <v>504</v>
      </c>
      <c r="C223" s="72" t="s">
        <v>8</v>
      </c>
      <c r="D223" s="72" t="s">
        <v>19</v>
      </c>
      <c r="E223" s="72" t="s">
        <v>82</v>
      </c>
      <c r="F223" s="72">
        <v>1</v>
      </c>
      <c r="G223" s="73">
        <v>20</v>
      </c>
      <c r="H223" s="73">
        <f t="shared" si="30"/>
        <v>20</v>
      </c>
      <c r="I223" s="73">
        <f t="shared" si="29"/>
        <v>20</v>
      </c>
      <c r="J223" s="72" t="s">
        <v>79</v>
      </c>
      <c r="K223" s="74"/>
      <c r="M223" s="99"/>
      <c r="N223" s="80" t="e">
        <f t="shared" si="32"/>
        <v>#N/A</v>
      </c>
      <c r="O223" s="80"/>
      <c r="P223" s="100"/>
    </row>
    <row r="224" spans="1:16" x14ac:dyDescent="0.25">
      <c r="A224" s="95">
        <v>45408</v>
      </c>
      <c r="B224" s="72" t="s">
        <v>270</v>
      </c>
      <c r="C224" s="72" t="s">
        <v>8</v>
      </c>
      <c r="D224" s="72" t="s">
        <v>22</v>
      </c>
      <c r="E224" s="72" t="s">
        <v>82</v>
      </c>
      <c r="F224" s="72">
        <v>1</v>
      </c>
      <c r="G224" s="73">
        <f>VLOOKUP(D224,$S$3:$T$120,2,0)</f>
        <v>30</v>
      </c>
      <c r="H224" s="73">
        <f t="shared" si="30"/>
        <v>30</v>
      </c>
      <c r="I224" s="73">
        <f t="shared" si="29"/>
        <v>28.503</v>
      </c>
      <c r="J224" s="72" t="s">
        <v>86</v>
      </c>
      <c r="K224" s="74"/>
      <c r="M224" s="99"/>
      <c r="N224" s="80" t="e">
        <f t="shared" si="32"/>
        <v>#N/A</v>
      </c>
      <c r="O224" s="80"/>
      <c r="P224" s="100"/>
    </row>
    <row r="225" spans="1:16" x14ac:dyDescent="0.25">
      <c r="A225" s="95">
        <v>45408</v>
      </c>
      <c r="B225" s="72" t="s">
        <v>539</v>
      </c>
      <c r="C225" s="72" t="s">
        <v>10</v>
      </c>
      <c r="D225" s="72" t="s">
        <v>18</v>
      </c>
      <c r="E225" s="72" t="s">
        <v>82</v>
      </c>
      <c r="F225" s="72">
        <v>1</v>
      </c>
      <c r="G225" s="73">
        <f>VLOOKUP(D225,$S$3:$T$120,2,0)</f>
        <v>40</v>
      </c>
      <c r="H225" s="73">
        <f t="shared" si="30"/>
        <v>40</v>
      </c>
      <c r="I225" s="73">
        <f t="shared" si="29"/>
        <v>39.043999999999997</v>
      </c>
      <c r="J225" s="72" t="s">
        <v>78</v>
      </c>
      <c r="K225" s="74"/>
      <c r="M225" s="99"/>
      <c r="N225" s="80" t="e">
        <f t="shared" si="32"/>
        <v>#N/A</v>
      </c>
      <c r="O225" s="80"/>
      <c r="P225" s="100"/>
    </row>
    <row r="226" spans="1:16" x14ac:dyDescent="0.25">
      <c r="A226" s="95">
        <v>45408</v>
      </c>
      <c r="B226" s="72" t="s">
        <v>540</v>
      </c>
      <c r="C226" s="72" t="s">
        <v>8</v>
      </c>
      <c r="D226" s="72" t="s">
        <v>18</v>
      </c>
      <c r="E226" s="72" t="s">
        <v>56</v>
      </c>
      <c r="F226" s="72">
        <v>1</v>
      </c>
      <c r="G226" s="73">
        <f>VLOOKUP(D226,$S$3:$T$120,2,0)</f>
        <v>40</v>
      </c>
      <c r="H226" s="73">
        <f t="shared" si="30"/>
        <v>40</v>
      </c>
      <c r="I226" s="73">
        <f t="shared" si="29"/>
        <v>39.043999999999997</v>
      </c>
      <c r="J226" s="72" t="s">
        <v>78</v>
      </c>
      <c r="K226" s="74"/>
      <c r="M226" s="99" t="s">
        <v>18</v>
      </c>
      <c r="N226" s="80">
        <f t="shared" si="32"/>
        <v>16</v>
      </c>
      <c r="O226" s="80">
        <f>N226*F226</f>
        <v>16</v>
      </c>
      <c r="P226" s="100" t="s">
        <v>56</v>
      </c>
    </row>
    <row r="227" spans="1:16" x14ac:dyDescent="0.25">
      <c r="A227" s="95">
        <v>45409</v>
      </c>
      <c r="B227" s="72" t="s">
        <v>541</v>
      </c>
      <c r="C227" s="72" t="s">
        <v>8</v>
      </c>
      <c r="D227" s="72" t="s">
        <v>40</v>
      </c>
      <c r="E227" s="72" t="s">
        <v>56</v>
      </c>
      <c r="F227" s="72">
        <v>1</v>
      </c>
      <c r="G227" s="73">
        <v>43</v>
      </c>
      <c r="H227" s="73">
        <f t="shared" si="30"/>
        <v>43</v>
      </c>
      <c r="I227" s="73">
        <f t="shared" si="29"/>
        <v>43</v>
      </c>
      <c r="J227" s="72" t="s">
        <v>79</v>
      </c>
      <c r="K227" s="74" t="s">
        <v>542</v>
      </c>
      <c r="M227" s="99"/>
      <c r="N227" s="80">
        <f>G227*0.4</f>
        <v>17.2</v>
      </c>
      <c r="O227" s="80">
        <f>N227*F227</f>
        <v>17.2</v>
      </c>
      <c r="P227" s="100" t="s">
        <v>56</v>
      </c>
    </row>
    <row r="228" spans="1:16" x14ac:dyDescent="0.25">
      <c r="A228" s="95">
        <v>45409</v>
      </c>
      <c r="B228" s="72" t="s">
        <v>215</v>
      </c>
      <c r="C228" s="72" t="s">
        <v>8</v>
      </c>
      <c r="D228" s="72" t="s">
        <v>30</v>
      </c>
      <c r="E228" s="72" t="s">
        <v>82</v>
      </c>
      <c r="F228" s="72">
        <v>1</v>
      </c>
      <c r="G228" s="73">
        <f t="shared" ref="G228:G259" si="33">VLOOKUP(D228,$S$3:$T$120,2,0)</f>
        <v>90</v>
      </c>
      <c r="H228" s="73">
        <f t="shared" si="30"/>
        <v>90</v>
      </c>
      <c r="I228" s="73">
        <f t="shared" si="29"/>
        <v>90</v>
      </c>
      <c r="J228" s="72" t="s">
        <v>83</v>
      </c>
      <c r="K228" s="74"/>
      <c r="M228" s="99"/>
      <c r="N228" s="80" t="e">
        <f t="shared" ref="N228:N259" si="34">VLOOKUP(M228,$S$3:$U$60,3,0)</f>
        <v>#N/A</v>
      </c>
      <c r="O228" s="80"/>
      <c r="P228" s="100"/>
    </row>
    <row r="229" spans="1:16" x14ac:dyDescent="0.25">
      <c r="A229" s="95">
        <v>45409</v>
      </c>
      <c r="B229" s="72" t="s">
        <v>417</v>
      </c>
      <c r="C229" s="72" t="s">
        <v>8</v>
      </c>
      <c r="D229" s="72" t="s">
        <v>15</v>
      </c>
      <c r="E229" s="72" t="s">
        <v>82</v>
      </c>
      <c r="F229" s="72">
        <v>1</v>
      </c>
      <c r="G229" s="73">
        <f t="shared" si="33"/>
        <v>70</v>
      </c>
      <c r="H229" s="73">
        <f t="shared" si="30"/>
        <v>70</v>
      </c>
      <c r="I229" s="73">
        <f t="shared" si="29"/>
        <v>70</v>
      </c>
      <c r="J229" s="72" t="s">
        <v>83</v>
      </c>
      <c r="K229" s="74"/>
      <c r="M229" s="99"/>
      <c r="N229" s="80" t="e">
        <f t="shared" si="34"/>
        <v>#N/A</v>
      </c>
      <c r="O229" s="80"/>
      <c r="P229" s="100"/>
    </row>
    <row r="230" spans="1:16" x14ac:dyDescent="0.25">
      <c r="A230" s="95">
        <v>45409</v>
      </c>
      <c r="B230" s="72" t="s">
        <v>543</v>
      </c>
      <c r="C230" s="72" t="s">
        <v>8</v>
      </c>
      <c r="D230" s="72" t="s">
        <v>18</v>
      </c>
      <c r="E230" s="72" t="s">
        <v>82</v>
      </c>
      <c r="F230" s="72">
        <v>1</v>
      </c>
      <c r="G230" s="73">
        <f t="shared" si="33"/>
        <v>40</v>
      </c>
      <c r="H230" s="73">
        <f t="shared" si="30"/>
        <v>40</v>
      </c>
      <c r="I230" s="73">
        <f t="shared" si="29"/>
        <v>40</v>
      </c>
      <c r="J230" s="72" t="s">
        <v>83</v>
      </c>
      <c r="K230" s="74"/>
      <c r="M230" s="99"/>
      <c r="N230" s="80" t="e">
        <f t="shared" si="34"/>
        <v>#N/A</v>
      </c>
      <c r="O230" s="80"/>
      <c r="P230" s="100"/>
    </row>
    <row r="231" spans="1:16" x14ac:dyDescent="0.25">
      <c r="A231" s="95">
        <v>45409</v>
      </c>
      <c r="B231" s="72" t="s">
        <v>109</v>
      </c>
      <c r="C231" s="72" t="s">
        <v>8</v>
      </c>
      <c r="D231" s="72" t="s">
        <v>17</v>
      </c>
      <c r="E231" s="72" t="s">
        <v>82</v>
      </c>
      <c r="F231" s="72">
        <v>1</v>
      </c>
      <c r="G231" s="73">
        <f t="shared" si="33"/>
        <v>50</v>
      </c>
      <c r="H231" s="73">
        <f t="shared" si="30"/>
        <v>50</v>
      </c>
      <c r="I231" s="73">
        <f t="shared" si="29"/>
        <v>48.805</v>
      </c>
      <c r="J231" s="72" t="s">
        <v>78</v>
      </c>
      <c r="K231" s="74"/>
      <c r="M231" s="99"/>
      <c r="N231" s="80" t="e">
        <f t="shared" si="34"/>
        <v>#N/A</v>
      </c>
      <c r="O231" s="80"/>
      <c r="P231" s="100"/>
    </row>
    <row r="232" spans="1:16" x14ac:dyDescent="0.25">
      <c r="A232" s="95">
        <v>45409</v>
      </c>
      <c r="B232" s="72" t="s">
        <v>414</v>
      </c>
      <c r="C232" s="72" t="s">
        <v>10</v>
      </c>
      <c r="D232" s="72" t="s">
        <v>15</v>
      </c>
      <c r="E232" s="72" t="s">
        <v>56</v>
      </c>
      <c r="F232" s="72">
        <v>1</v>
      </c>
      <c r="G232" s="73">
        <f t="shared" si="33"/>
        <v>70</v>
      </c>
      <c r="H232" s="73">
        <f t="shared" si="30"/>
        <v>70</v>
      </c>
      <c r="I232" s="73">
        <f t="shared" si="29"/>
        <v>70</v>
      </c>
      <c r="J232" s="72" t="s">
        <v>83</v>
      </c>
      <c r="K232" s="74"/>
      <c r="M232" s="99" t="s">
        <v>15</v>
      </c>
      <c r="N232" s="80">
        <f t="shared" si="34"/>
        <v>28</v>
      </c>
      <c r="O232" s="80">
        <f>N232*F232</f>
        <v>28</v>
      </c>
      <c r="P232" s="100" t="s">
        <v>56</v>
      </c>
    </row>
    <row r="233" spans="1:16" x14ac:dyDescent="0.25">
      <c r="A233" s="95">
        <v>45409</v>
      </c>
      <c r="B233" s="72" t="s">
        <v>414</v>
      </c>
      <c r="C233" s="72" t="s">
        <v>10</v>
      </c>
      <c r="D233" s="72" t="s">
        <v>34</v>
      </c>
      <c r="E233" s="72" t="s">
        <v>56</v>
      </c>
      <c r="F233" s="72">
        <v>1</v>
      </c>
      <c r="G233" s="73">
        <f t="shared" si="33"/>
        <v>10</v>
      </c>
      <c r="H233" s="73">
        <f t="shared" si="30"/>
        <v>10</v>
      </c>
      <c r="I233" s="73">
        <f t="shared" si="29"/>
        <v>10</v>
      </c>
      <c r="J233" s="72" t="s">
        <v>83</v>
      </c>
      <c r="K233" s="74"/>
      <c r="M233" s="99" t="s">
        <v>34</v>
      </c>
      <c r="N233" s="80">
        <f t="shared" si="34"/>
        <v>1</v>
      </c>
      <c r="O233" s="80">
        <f>N233*F233</f>
        <v>1</v>
      </c>
      <c r="P233" s="100" t="s">
        <v>56</v>
      </c>
    </row>
    <row r="234" spans="1:16" x14ac:dyDescent="0.25">
      <c r="A234" s="95">
        <v>45409</v>
      </c>
      <c r="B234" s="72" t="s">
        <v>324</v>
      </c>
      <c r="C234" s="72" t="s">
        <v>10</v>
      </c>
      <c r="D234" s="72" t="s">
        <v>18</v>
      </c>
      <c r="E234" s="72" t="s">
        <v>56</v>
      </c>
      <c r="F234" s="72">
        <v>1</v>
      </c>
      <c r="G234" s="73">
        <f t="shared" si="33"/>
        <v>40</v>
      </c>
      <c r="H234" s="73">
        <f t="shared" si="30"/>
        <v>40</v>
      </c>
      <c r="I234" s="73">
        <f t="shared" si="29"/>
        <v>40</v>
      </c>
      <c r="J234" s="72" t="s">
        <v>79</v>
      </c>
      <c r="K234" s="74"/>
      <c r="M234" s="99" t="s">
        <v>18</v>
      </c>
      <c r="N234" s="80">
        <f t="shared" si="34"/>
        <v>16</v>
      </c>
      <c r="O234" s="80">
        <f>N234*F234</f>
        <v>16</v>
      </c>
      <c r="P234" s="100" t="s">
        <v>56</v>
      </c>
    </row>
    <row r="235" spans="1:16" x14ac:dyDescent="0.25">
      <c r="A235" s="95">
        <v>45409</v>
      </c>
      <c r="B235" s="72" t="s">
        <v>544</v>
      </c>
      <c r="C235" s="72" t="s">
        <v>8</v>
      </c>
      <c r="D235" s="72" t="s">
        <v>16</v>
      </c>
      <c r="E235" s="72" t="s">
        <v>82</v>
      </c>
      <c r="F235" s="72">
        <v>1</v>
      </c>
      <c r="G235" s="73">
        <f t="shared" si="33"/>
        <v>80</v>
      </c>
      <c r="H235" s="73">
        <f t="shared" si="30"/>
        <v>80</v>
      </c>
      <c r="I235" s="73">
        <f t="shared" si="29"/>
        <v>76.007999999999996</v>
      </c>
      <c r="J235" s="72" t="s">
        <v>86</v>
      </c>
      <c r="K235" s="74"/>
      <c r="M235" s="99"/>
      <c r="N235" s="80" t="e">
        <f t="shared" si="34"/>
        <v>#N/A</v>
      </c>
      <c r="O235" s="80"/>
      <c r="P235" s="100"/>
    </row>
    <row r="236" spans="1:16" x14ac:dyDescent="0.25">
      <c r="A236" s="95">
        <v>45409</v>
      </c>
      <c r="B236" s="72" t="s">
        <v>544</v>
      </c>
      <c r="C236" s="72" t="s">
        <v>8</v>
      </c>
      <c r="D236" s="72" t="s">
        <v>23</v>
      </c>
      <c r="E236" s="72" t="s">
        <v>82</v>
      </c>
      <c r="F236" s="72">
        <v>1</v>
      </c>
      <c r="G236" s="73">
        <f t="shared" si="33"/>
        <v>5</v>
      </c>
      <c r="H236" s="73">
        <f t="shared" si="30"/>
        <v>5</v>
      </c>
      <c r="I236" s="73">
        <f t="shared" si="29"/>
        <v>4.7504999999999997</v>
      </c>
      <c r="J236" s="72" t="s">
        <v>86</v>
      </c>
      <c r="K236" s="74"/>
      <c r="M236" s="99"/>
      <c r="N236" s="80" t="e">
        <f t="shared" si="34"/>
        <v>#N/A</v>
      </c>
      <c r="O236" s="80"/>
      <c r="P236" s="100"/>
    </row>
    <row r="237" spans="1:16" x14ac:dyDescent="0.25">
      <c r="A237" s="95">
        <v>45409</v>
      </c>
      <c r="B237" s="72" t="s">
        <v>516</v>
      </c>
      <c r="C237" s="72" t="s">
        <v>8</v>
      </c>
      <c r="D237" s="72" t="s">
        <v>17</v>
      </c>
      <c r="E237" s="72" t="s">
        <v>82</v>
      </c>
      <c r="F237" s="72">
        <v>1</v>
      </c>
      <c r="G237" s="73">
        <f t="shared" si="33"/>
        <v>50</v>
      </c>
      <c r="H237" s="73">
        <f t="shared" si="30"/>
        <v>50</v>
      </c>
      <c r="I237" s="73">
        <f t="shared" si="29"/>
        <v>50</v>
      </c>
      <c r="J237" s="72" t="s">
        <v>83</v>
      </c>
      <c r="K237" s="74"/>
      <c r="M237" s="99"/>
      <c r="N237" s="80" t="e">
        <f t="shared" si="34"/>
        <v>#N/A</v>
      </c>
      <c r="O237" s="80"/>
      <c r="P237" s="100"/>
    </row>
    <row r="238" spans="1:16" x14ac:dyDescent="0.25">
      <c r="A238" s="95">
        <v>45409</v>
      </c>
      <c r="B238" s="72" t="s">
        <v>545</v>
      </c>
      <c r="C238" s="72" t="s">
        <v>8</v>
      </c>
      <c r="D238" s="72" t="s">
        <v>15</v>
      </c>
      <c r="E238" s="72" t="s">
        <v>82</v>
      </c>
      <c r="F238" s="72">
        <v>1</v>
      </c>
      <c r="G238" s="73">
        <f t="shared" si="33"/>
        <v>70</v>
      </c>
      <c r="H238" s="73">
        <f t="shared" si="30"/>
        <v>70</v>
      </c>
      <c r="I238" s="73">
        <f t="shared" si="29"/>
        <v>70</v>
      </c>
      <c r="J238" s="72" t="s">
        <v>83</v>
      </c>
      <c r="K238" s="74"/>
      <c r="M238" s="99"/>
      <c r="N238" s="80" t="e">
        <f t="shared" si="34"/>
        <v>#N/A</v>
      </c>
      <c r="O238" s="80"/>
      <c r="P238" s="100"/>
    </row>
    <row r="239" spans="1:16" x14ac:dyDescent="0.25">
      <c r="A239" s="95">
        <v>45412</v>
      </c>
      <c r="B239" s="72" t="s">
        <v>459</v>
      </c>
      <c r="C239" s="72" t="s">
        <v>8</v>
      </c>
      <c r="D239" s="72" t="s">
        <v>18</v>
      </c>
      <c r="E239" s="72" t="s">
        <v>56</v>
      </c>
      <c r="F239" s="72">
        <v>1</v>
      </c>
      <c r="G239" s="73">
        <f t="shared" si="33"/>
        <v>40</v>
      </c>
      <c r="H239" s="73">
        <f t="shared" si="30"/>
        <v>40</v>
      </c>
      <c r="I239" s="73">
        <f t="shared" si="29"/>
        <v>40</v>
      </c>
      <c r="J239" s="72" t="s">
        <v>83</v>
      </c>
      <c r="K239" s="74"/>
      <c r="M239" s="99" t="s">
        <v>18</v>
      </c>
      <c r="N239" s="80">
        <f t="shared" si="34"/>
        <v>16</v>
      </c>
      <c r="O239" s="80">
        <f>N239*F239</f>
        <v>16</v>
      </c>
      <c r="P239" s="100" t="s">
        <v>56</v>
      </c>
    </row>
    <row r="240" spans="1:16" x14ac:dyDescent="0.25">
      <c r="A240" s="95">
        <v>45412</v>
      </c>
      <c r="B240" s="72" t="s">
        <v>546</v>
      </c>
      <c r="C240" s="72" t="s">
        <v>8</v>
      </c>
      <c r="D240" s="72" t="s">
        <v>16</v>
      </c>
      <c r="E240" s="72" t="s">
        <v>82</v>
      </c>
      <c r="F240" s="72">
        <v>1</v>
      </c>
      <c r="G240" s="73">
        <f t="shared" si="33"/>
        <v>80</v>
      </c>
      <c r="H240" s="73">
        <f t="shared" si="30"/>
        <v>80</v>
      </c>
      <c r="I240" s="73">
        <f t="shared" si="29"/>
        <v>80</v>
      </c>
      <c r="J240" s="72" t="s">
        <v>83</v>
      </c>
      <c r="K240" s="74"/>
      <c r="M240" s="99"/>
      <c r="N240" s="80" t="e">
        <f t="shared" si="34"/>
        <v>#N/A</v>
      </c>
      <c r="O240" s="80"/>
      <c r="P240" s="100"/>
    </row>
    <row r="241" spans="1:16" x14ac:dyDescent="0.25">
      <c r="A241" s="95">
        <v>45412</v>
      </c>
      <c r="B241" s="72" t="s">
        <v>516</v>
      </c>
      <c r="C241" s="72" t="s">
        <v>8</v>
      </c>
      <c r="D241" s="72" t="s">
        <v>40</v>
      </c>
      <c r="E241" s="72" t="s">
        <v>82</v>
      </c>
      <c r="F241" s="72">
        <v>1</v>
      </c>
      <c r="G241" s="73">
        <f t="shared" si="33"/>
        <v>45</v>
      </c>
      <c r="H241" s="73">
        <f t="shared" si="30"/>
        <v>45</v>
      </c>
      <c r="I241" s="73">
        <f t="shared" si="29"/>
        <v>45</v>
      </c>
      <c r="J241" s="72" t="s">
        <v>83</v>
      </c>
      <c r="K241" s="74"/>
      <c r="M241" s="99"/>
      <c r="N241" s="80" t="e">
        <f t="shared" si="34"/>
        <v>#N/A</v>
      </c>
      <c r="O241" s="80"/>
      <c r="P241" s="100"/>
    </row>
    <row r="242" spans="1:16" x14ac:dyDescent="0.25">
      <c r="A242" s="95">
        <v>45412</v>
      </c>
      <c r="B242" s="72" t="s">
        <v>547</v>
      </c>
      <c r="C242" s="72" t="s">
        <v>8</v>
      </c>
      <c r="D242" s="72" t="s">
        <v>18</v>
      </c>
      <c r="E242" s="72" t="s">
        <v>82</v>
      </c>
      <c r="F242" s="72">
        <v>1</v>
      </c>
      <c r="G242" s="73">
        <f t="shared" si="33"/>
        <v>40</v>
      </c>
      <c r="H242" s="73">
        <f t="shared" si="30"/>
        <v>40</v>
      </c>
      <c r="I242" s="73">
        <f t="shared" si="29"/>
        <v>39.043999999999997</v>
      </c>
      <c r="J242" s="72" t="s">
        <v>78</v>
      </c>
      <c r="K242" s="74"/>
      <c r="M242" s="99"/>
      <c r="N242" s="80" t="e">
        <f t="shared" si="34"/>
        <v>#N/A</v>
      </c>
      <c r="O242" s="80"/>
      <c r="P242" s="100"/>
    </row>
    <row r="243" spans="1:16" x14ac:dyDescent="0.25">
      <c r="A243" s="95">
        <v>45412</v>
      </c>
      <c r="B243" s="72" t="s">
        <v>204</v>
      </c>
      <c r="C243" s="72" t="s">
        <v>8</v>
      </c>
      <c r="D243" s="72" t="s">
        <v>16</v>
      </c>
      <c r="E243" s="72" t="s">
        <v>82</v>
      </c>
      <c r="F243" s="72">
        <v>1</v>
      </c>
      <c r="G243" s="73">
        <f t="shared" si="33"/>
        <v>80</v>
      </c>
      <c r="H243" s="73">
        <f t="shared" si="30"/>
        <v>80</v>
      </c>
      <c r="I243" s="73">
        <f t="shared" si="29"/>
        <v>78.087999999999994</v>
      </c>
      <c r="J243" s="72" t="s">
        <v>78</v>
      </c>
      <c r="K243" s="74"/>
      <c r="M243" s="99"/>
      <c r="N243" s="80" t="e">
        <f t="shared" si="34"/>
        <v>#N/A</v>
      </c>
      <c r="O243" s="80"/>
      <c r="P243" s="100"/>
    </row>
    <row r="244" spans="1:16" x14ac:dyDescent="0.25">
      <c r="A244" s="95">
        <v>45412</v>
      </c>
      <c r="B244" s="72" t="s">
        <v>204</v>
      </c>
      <c r="C244" s="72" t="s">
        <v>8</v>
      </c>
      <c r="D244" s="72" t="s">
        <v>48</v>
      </c>
      <c r="E244" s="72" t="s">
        <v>82</v>
      </c>
      <c r="F244" s="72">
        <v>1</v>
      </c>
      <c r="G244" s="73">
        <f t="shared" si="33"/>
        <v>10</v>
      </c>
      <c r="H244" s="73">
        <f t="shared" si="30"/>
        <v>10</v>
      </c>
      <c r="I244" s="73">
        <f t="shared" si="29"/>
        <v>9.7609999999999992</v>
      </c>
      <c r="J244" s="72" t="s">
        <v>78</v>
      </c>
      <c r="K244" s="74"/>
      <c r="M244" s="99"/>
      <c r="N244" s="80" t="e">
        <f t="shared" si="34"/>
        <v>#N/A</v>
      </c>
      <c r="O244" s="80"/>
      <c r="P244" s="100"/>
    </row>
    <row r="245" spans="1:16" x14ac:dyDescent="0.25">
      <c r="A245" s="95">
        <v>45412</v>
      </c>
      <c r="B245" s="72" t="s">
        <v>517</v>
      </c>
      <c r="C245" s="72" t="s">
        <v>8</v>
      </c>
      <c r="D245" s="72" t="s">
        <v>18</v>
      </c>
      <c r="E245" s="72" t="s">
        <v>82</v>
      </c>
      <c r="F245" s="72">
        <v>1</v>
      </c>
      <c r="G245" s="73">
        <f t="shared" si="33"/>
        <v>40</v>
      </c>
      <c r="H245" s="73">
        <f t="shared" si="30"/>
        <v>40</v>
      </c>
      <c r="I245" s="73">
        <f t="shared" si="29"/>
        <v>40</v>
      </c>
      <c r="J245" s="72" t="s">
        <v>79</v>
      </c>
      <c r="K245" s="74"/>
      <c r="M245" s="99"/>
      <c r="N245" s="80" t="e">
        <f t="shared" si="34"/>
        <v>#N/A</v>
      </c>
      <c r="O245" s="80"/>
      <c r="P245" s="103"/>
    </row>
    <row r="246" spans="1:16" x14ac:dyDescent="0.25">
      <c r="A246" s="95">
        <v>45412</v>
      </c>
      <c r="B246" s="72" t="s">
        <v>548</v>
      </c>
      <c r="C246" s="72" t="s">
        <v>8</v>
      </c>
      <c r="D246" s="72" t="s">
        <v>18</v>
      </c>
      <c r="E246" s="72" t="s">
        <v>82</v>
      </c>
      <c r="F246" s="72">
        <v>1</v>
      </c>
      <c r="G246" s="73">
        <f t="shared" si="33"/>
        <v>40</v>
      </c>
      <c r="H246" s="73">
        <f t="shared" si="30"/>
        <v>40</v>
      </c>
      <c r="I246" s="73">
        <f t="shared" si="29"/>
        <v>40</v>
      </c>
      <c r="J246" s="72" t="s">
        <v>79</v>
      </c>
      <c r="K246" s="74"/>
      <c r="M246" s="99"/>
      <c r="N246" s="80" t="e">
        <f t="shared" si="34"/>
        <v>#N/A</v>
      </c>
      <c r="O246" s="80"/>
      <c r="P246" s="103"/>
    </row>
    <row r="247" spans="1:16" x14ac:dyDescent="0.25">
      <c r="A247" s="95">
        <v>45412</v>
      </c>
      <c r="B247" s="72" t="s">
        <v>548</v>
      </c>
      <c r="C247" s="72" t="s">
        <v>8</v>
      </c>
      <c r="D247" s="72" t="s">
        <v>38</v>
      </c>
      <c r="E247" s="72" t="s">
        <v>82</v>
      </c>
      <c r="F247" s="72">
        <v>1</v>
      </c>
      <c r="G247" s="73">
        <f t="shared" si="33"/>
        <v>6</v>
      </c>
      <c r="H247" s="73">
        <f t="shared" si="30"/>
        <v>6</v>
      </c>
      <c r="I247" s="73">
        <f t="shared" si="29"/>
        <v>6</v>
      </c>
      <c r="J247" s="72" t="s">
        <v>79</v>
      </c>
      <c r="K247" s="74"/>
      <c r="M247" s="99"/>
      <c r="N247" s="80" t="e">
        <f t="shared" si="34"/>
        <v>#N/A</v>
      </c>
      <c r="O247" s="80"/>
      <c r="P247" s="103"/>
    </row>
    <row r="248" spans="1:16" x14ac:dyDescent="0.25">
      <c r="A248" s="95">
        <v>45412</v>
      </c>
      <c r="B248" s="72" t="s">
        <v>549</v>
      </c>
      <c r="C248" s="72" t="s">
        <v>8</v>
      </c>
      <c r="D248" s="72" t="s">
        <v>18</v>
      </c>
      <c r="E248" s="72" t="s">
        <v>56</v>
      </c>
      <c r="F248" s="72">
        <v>1</v>
      </c>
      <c r="G248" s="73">
        <f t="shared" si="33"/>
        <v>40</v>
      </c>
      <c r="H248" s="73">
        <f t="shared" si="30"/>
        <v>40</v>
      </c>
      <c r="I248" s="73">
        <f t="shared" si="29"/>
        <v>39.043999999999997</v>
      </c>
      <c r="J248" s="72" t="s">
        <v>78</v>
      </c>
      <c r="K248" s="74"/>
      <c r="M248" s="99" t="s">
        <v>18</v>
      </c>
      <c r="N248" s="80">
        <f t="shared" si="34"/>
        <v>16</v>
      </c>
      <c r="O248" s="80">
        <f>N248*F248</f>
        <v>16</v>
      </c>
      <c r="P248" s="103" t="s">
        <v>56</v>
      </c>
    </row>
    <row r="249" spans="1:16" x14ac:dyDescent="0.25">
      <c r="A249" s="95"/>
      <c r="B249" s="72"/>
      <c r="C249" s="72"/>
      <c r="D249" s="72"/>
      <c r="E249" s="72"/>
      <c r="F249" s="72"/>
      <c r="G249" s="73" t="e">
        <f t="shared" si="33"/>
        <v>#N/A</v>
      </c>
      <c r="H249" s="73" t="e">
        <f t="shared" si="30"/>
        <v>#N/A</v>
      </c>
      <c r="I249" s="73" t="b">
        <f t="shared" si="29"/>
        <v>0</v>
      </c>
      <c r="J249" s="72"/>
      <c r="K249" s="74"/>
      <c r="M249" s="99"/>
      <c r="N249" s="80" t="e">
        <f t="shared" si="34"/>
        <v>#N/A</v>
      </c>
      <c r="O249" s="80"/>
      <c r="P249" s="103"/>
    </row>
    <row r="250" spans="1:16" x14ac:dyDescent="0.25">
      <c r="A250" s="95"/>
      <c r="B250" s="72"/>
      <c r="C250" s="72"/>
      <c r="D250" s="72"/>
      <c r="E250" s="72"/>
      <c r="F250" s="72"/>
      <c r="G250" s="73" t="e">
        <f t="shared" si="33"/>
        <v>#N/A</v>
      </c>
      <c r="H250" s="73" t="e">
        <f t="shared" si="30"/>
        <v>#N/A</v>
      </c>
      <c r="I250" s="73" t="b">
        <f t="shared" si="29"/>
        <v>0</v>
      </c>
      <c r="J250" s="72"/>
      <c r="K250" s="74"/>
      <c r="M250" s="99"/>
      <c r="N250" s="80" t="e">
        <f t="shared" si="34"/>
        <v>#N/A</v>
      </c>
      <c r="O250" s="80"/>
      <c r="P250" s="103"/>
    </row>
    <row r="251" spans="1:16" x14ac:dyDescent="0.25">
      <c r="A251" s="95"/>
      <c r="B251" s="72"/>
      <c r="C251" s="72"/>
      <c r="D251" s="72"/>
      <c r="E251" s="72"/>
      <c r="F251" s="72"/>
      <c r="G251" s="73" t="e">
        <f t="shared" si="33"/>
        <v>#N/A</v>
      </c>
      <c r="H251" s="73" t="e">
        <f t="shared" si="30"/>
        <v>#N/A</v>
      </c>
      <c r="I251" s="73" t="b">
        <f t="shared" si="29"/>
        <v>0</v>
      </c>
      <c r="J251" s="72"/>
      <c r="K251" s="74"/>
      <c r="M251" s="99"/>
      <c r="N251" s="80" t="e">
        <f t="shared" si="34"/>
        <v>#N/A</v>
      </c>
      <c r="O251" s="80"/>
      <c r="P251" s="103"/>
    </row>
    <row r="252" spans="1:16" x14ac:dyDescent="0.25">
      <c r="A252" s="95"/>
      <c r="B252" s="72"/>
      <c r="C252" s="72"/>
      <c r="D252" s="72"/>
      <c r="E252" s="72"/>
      <c r="F252" s="72"/>
      <c r="G252" s="73" t="e">
        <f t="shared" si="33"/>
        <v>#N/A</v>
      </c>
      <c r="H252" s="73" t="e">
        <f t="shared" si="30"/>
        <v>#N/A</v>
      </c>
      <c r="I252" s="73" t="b">
        <f t="shared" si="29"/>
        <v>0</v>
      </c>
      <c r="J252" s="72"/>
      <c r="K252" s="74"/>
      <c r="M252" s="99"/>
      <c r="N252" s="80" t="e">
        <f t="shared" si="34"/>
        <v>#N/A</v>
      </c>
      <c r="O252" s="80"/>
      <c r="P252" s="103"/>
    </row>
    <row r="253" spans="1:16" x14ac:dyDescent="0.25">
      <c r="A253" s="95"/>
      <c r="B253" s="72"/>
      <c r="C253" s="72"/>
      <c r="D253" s="72"/>
      <c r="E253" s="72"/>
      <c r="F253" s="72"/>
      <c r="G253" s="73" t="e">
        <f t="shared" si="33"/>
        <v>#N/A</v>
      </c>
      <c r="H253" s="73" t="e">
        <f t="shared" si="30"/>
        <v>#N/A</v>
      </c>
      <c r="I253" s="73" t="b">
        <f t="shared" si="29"/>
        <v>0</v>
      </c>
      <c r="J253" s="72"/>
      <c r="K253" s="74"/>
      <c r="M253" s="99"/>
      <c r="N253" s="80" t="e">
        <f t="shared" si="34"/>
        <v>#N/A</v>
      </c>
      <c r="O253" s="80"/>
      <c r="P253" s="103"/>
    </row>
    <row r="254" spans="1:16" x14ac:dyDescent="0.25">
      <c r="A254" s="95"/>
      <c r="B254" s="72"/>
      <c r="C254" s="72"/>
      <c r="D254" s="72"/>
      <c r="E254" s="72"/>
      <c r="F254" s="72"/>
      <c r="G254" s="73" t="e">
        <f t="shared" si="33"/>
        <v>#N/A</v>
      </c>
      <c r="H254" s="73" t="e">
        <f t="shared" si="30"/>
        <v>#N/A</v>
      </c>
      <c r="I254" s="73" t="b">
        <f t="shared" si="29"/>
        <v>0</v>
      </c>
      <c r="J254" s="72"/>
      <c r="K254" s="74"/>
      <c r="M254" s="99"/>
      <c r="N254" s="80" t="e">
        <f t="shared" si="34"/>
        <v>#N/A</v>
      </c>
      <c r="O254" s="80"/>
      <c r="P254" s="103"/>
    </row>
    <row r="255" spans="1:16" x14ac:dyDescent="0.25">
      <c r="A255" s="95"/>
      <c r="B255" s="72"/>
      <c r="C255" s="72"/>
      <c r="D255" s="72"/>
      <c r="E255" s="72"/>
      <c r="F255" s="72"/>
      <c r="G255" s="73" t="e">
        <f t="shared" si="33"/>
        <v>#N/A</v>
      </c>
      <c r="H255" s="73" t="e">
        <f t="shared" si="30"/>
        <v>#N/A</v>
      </c>
      <c r="I255" s="73" t="b">
        <f t="shared" si="29"/>
        <v>0</v>
      </c>
      <c r="J255" s="72"/>
      <c r="K255" s="74"/>
      <c r="M255" s="99"/>
      <c r="N255" s="80" t="e">
        <f t="shared" si="34"/>
        <v>#N/A</v>
      </c>
      <c r="O255" s="80"/>
      <c r="P255" s="103"/>
    </row>
    <row r="256" spans="1:16" x14ac:dyDescent="0.25">
      <c r="A256" s="95"/>
      <c r="B256" s="72"/>
      <c r="C256" s="72"/>
      <c r="D256" s="72"/>
      <c r="E256" s="72"/>
      <c r="F256" s="72"/>
      <c r="G256" s="73" t="e">
        <f t="shared" si="33"/>
        <v>#N/A</v>
      </c>
      <c r="H256" s="73" t="e">
        <f t="shared" si="30"/>
        <v>#N/A</v>
      </c>
      <c r="I256" s="73" t="b">
        <f t="shared" si="29"/>
        <v>0</v>
      </c>
      <c r="J256" s="72"/>
      <c r="K256" s="74"/>
      <c r="M256" s="99"/>
      <c r="N256" s="80" t="e">
        <f t="shared" si="34"/>
        <v>#N/A</v>
      </c>
      <c r="O256" s="80"/>
      <c r="P256" s="103"/>
    </row>
    <row r="257" spans="1:16" x14ac:dyDescent="0.25">
      <c r="A257" s="95"/>
      <c r="B257" s="72"/>
      <c r="C257" s="72"/>
      <c r="D257" s="72"/>
      <c r="E257" s="72"/>
      <c r="F257" s="72"/>
      <c r="G257" s="73" t="e">
        <f t="shared" si="33"/>
        <v>#N/A</v>
      </c>
      <c r="H257" s="73" t="e">
        <f t="shared" si="30"/>
        <v>#N/A</v>
      </c>
      <c r="I257" s="73" t="b">
        <f t="shared" si="29"/>
        <v>0</v>
      </c>
      <c r="J257" s="72"/>
      <c r="K257" s="74"/>
      <c r="M257" s="99"/>
      <c r="N257" s="80" t="e">
        <f t="shared" si="34"/>
        <v>#N/A</v>
      </c>
      <c r="O257" s="80"/>
      <c r="P257" s="103"/>
    </row>
    <row r="258" spans="1:16" x14ac:dyDescent="0.25">
      <c r="A258" s="95"/>
      <c r="B258" s="72"/>
      <c r="C258" s="72"/>
      <c r="D258" s="72"/>
      <c r="E258" s="72"/>
      <c r="F258" s="72"/>
      <c r="G258" s="73" t="e">
        <f t="shared" si="33"/>
        <v>#N/A</v>
      </c>
      <c r="H258" s="73" t="e">
        <f t="shared" si="30"/>
        <v>#N/A</v>
      </c>
      <c r="I258" s="73" t="b">
        <f t="shared" si="29"/>
        <v>0</v>
      </c>
      <c r="J258" s="72"/>
      <c r="K258" s="74"/>
      <c r="M258" s="99"/>
      <c r="N258" s="80" t="e">
        <f t="shared" si="34"/>
        <v>#N/A</v>
      </c>
      <c r="O258" s="80"/>
      <c r="P258" s="103"/>
    </row>
    <row r="259" spans="1:16" x14ac:dyDescent="0.25">
      <c r="A259" s="95"/>
      <c r="B259" s="72"/>
      <c r="C259" s="72"/>
      <c r="D259" s="72"/>
      <c r="E259" s="72"/>
      <c r="F259" s="72"/>
      <c r="G259" s="73" t="e">
        <f t="shared" si="33"/>
        <v>#N/A</v>
      </c>
      <c r="H259" s="73" t="e">
        <f t="shared" si="30"/>
        <v>#N/A</v>
      </c>
      <c r="I259" s="73" t="b">
        <f t="shared" ref="I259:I322" si="35">IF(J259="Cartão de Debito",H259-(H259*$AC$5),IF(J259="Cartão de Credito",H259-(H259*$AC$6), IF(J259="Pix",H259-(H259*$AC$7), IF(J259="Dinheiro (R$)", H259-(H259*$AC$8)))))</f>
        <v>0</v>
      </c>
      <c r="J259" s="72"/>
      <c r="K259" s="74"/>
      <c r="M259" s="99"/>
      <c r="N259" s="80" t="e">
        <f t="shared" si="34"/>
        <v>#N/A</v>
      </c>
      <c r="O259" s="80"/>
      <c r="P259" s="103"/>
    </row>
    <row r="260" spans="1:16" x14ac:dyDescent="0.25">
      <c r="A260" s="95"/>
      <c r="B260" s="72"/>
      <c r="C260" s="72"/>
      <c r="D260" s="72"/>
      <c r="E260" s="72"/>
      <c r="F260" s="72"/>
      <c r="G260" s="73" t="e">
        <f t="shared" ref="G260:G291" si="36">VLOOKUP(D260,$S$3:$T$120,2,0)</f>
        <v>#N/A</v>
      </c>
      <c r="H260" s="73" t="e">
        <f t="shared" si="30"/>
        <v>#N/A</v>
      </c>
      <c r="I260" s="73" t="b">
        <f t="shared" si="35"/>
        <v>0</v>
      </c>
      <c r="J260" s="72"/>
      <c r="K260" s="74"/>
      <c r="M260" s="99"/>
      <c r="N260" s="80" t="e">
        <f t="shared" ref="N260:N291" si="37">VLOOKUP(M260,$S$3:$U$60,3,0)</f>
        <v>#N/A</v>
      </c>
      <c r="O260" s="80"/>
      <c r="P260" s="103"/>
    </row>
    <row r="261" spans="1:16" x14ac:dyDescent="0.25">
      <c r="A261" s="95"/>
      <c r="B261" s="72"/>
      <c r="C261" s="72"/>
      <c r="D261" s="72"/>
      <c r="E261" s="72"/>
      <c r="F261" s="72"/>
      <c r="G261" s="73" t="e">
        <f t="shared" si="36"/>
        <v>#N/A</v>
      </c>
      <c r="H261" s="73" t="e">
        <f t="shared" si="30"/>
        <v>#N/A</v>
      </c>
      <c r="I261" s="73" t="b">
        <f t="shared" si="35"/>
        <v>0</v>
      </c>
      <c r="J261" s="72"/>
      <c r="K261" s="74"/>
      <c r="M261" s="99"/>
      <c r="N261" s="80" t="e">
        <f t="shared" si="37"/>
        <v>#N/A</v>
      </c>
      <c r="O261" s="80"/>
      <c r="P261" s="103"/>
    </row>
    <row r="262" spans="1:16" x14ac:dyDescent="0.25">
      <c r="A262" s="95"/>
      <c r="B262" s="72"/>
      <c r="C262" s="72"/>
      <c r="D262" s="72"/>
      <c r="E262" s="72"/>
      <c r="F262" s="72"/>
      <c r="G262" s="73" t="e">
        <f t="shared" si="36"/>
        <v>#N/A</v>
      </c>
      <c r="H262" s="73" t="e">
        <f t="shared" ref="H262:H325" si="38">F262*G262</f>
        <v>#N/A</v>
      </c>
      <c r="I262" s="73" t="b">
        <f t="shared" si="35"/>
        <v>0</v>
      </c>
      <c r="J262" s="72"/>
      <c r="K262" s="74"/>
      <c r="M262" s="99"/>
      <c r="N262" s="80" t="e">
        <f t="shared" si="37"/>
        <v>#N/A</v>
      </c>
      <c r="O262" s="80" t="e">
        <f t="shared" ref="O262:O293" si="39">N262*F262</f>
        <v>#N/A</v>
      </c>
      <c r="P262" s="103"/>
    </row>
    <row r="263" spans="1:16" x14ac:dyDescent="0.25">
      <c r="A263" s="95"/>
      <c r="B263" s="72"/>
      <c r="C263" s="72"/>
      <c r="D263" s="72"/>
      <c r="E263" s="72"/>
      <c r="F263" s="72"/>
      <c r="G263" s="73" t="e">
        <f t="shared" si="36"/>
        <v>#N/A</v>
      </c>
      <c r="H263" s="73" t="e">
        <f t="shared" si="38"/>
        <v>#N/A</v>
      </c>
      <c r="I263" s="73" t="b">
        <f t="shared" si="35"/>
        <v>0</v>
      </c>
      <c r="J263" s="72"/>
      <c r="K263" s="74"/>
      <c r="M263" s="99"/>
      <c r="N263" s="80" t="e">
        <f t="shared" si="37"/>
        <v>#N/A</v>
      </c>
      <c r="O263" s="80" t="e">
        <f t="shared" si="39"/>
        <v>#N/A</v>
      </c>
      <c r="P263" s="103"/>
    </row>
    <row r="264" spans="1:16" x14ac:dyDescent="0.25">
      <c r="A264" s="95"/>
      <c r="B264" s="72"/>
      <c r="C264" s="72"/>
      <c r="D264" s="72"/>
      <c r="E264" s="72"/>
      <c r="F264" s="72"/>
      <c r="G264" s="73" t="e">
        <f t="shared" si="36"/>
        <v>#N/A</v>
      </c>
      <c r="H264" s="73" t="e">
        <f t="shared" si="38"/>
        <v>#N/A</v>
      </c>
      <c r="I264" s="73" t="b">
        <f t="shared" si="35"/>
        <v>0</v>
      </c>
      <c r="J264" s="72"/>
      <c r="K264" s="74"/>
      <c r="M264" s="99"/>
      <c r="N264" s="80" t="e">
        <f t="shared" si="37"/>
        <v>#N/A</v>
      </c>
      <c r="O264" s="80" t="e">
        <f t="shared" si="39"/>
        <v>#N/A</v>
      </c>
      <c r="P264" s="103"/>
    </row>
    <row r="265" spans="1:16" x14ac:dyDescent="0.25">
      <c r="A265" s="95"/>
      <c r="B265" s="72"/>
      <c r="C265" s="72"/>
      <c r="D265" s="72"/>
      <c r="E265" s="72"/>
      <c r="F265" s="72"/>
      <c r="G265" s="73" t="e">
        <f t="shared" si="36"/>
        <v>#N/A</v>
      </c>
      <c r="H265" s="73" t="e">
        <f t="shared" si="38"/>
        <v>#N/A</v>
      </c>
      <c r="I265" s="73" t="b">
        <f t="shared" si="35"/>
        <v>0</v>
      </c>
      <c r="J265" s="72"/>
      <c r="K265" s="74"/>
      <c r="M265" s="99"/>
      <c r="N265" s="80" t="e">
        <f t="shared" si="37"/>
        <v>#N/A</v>
      </c>
      <c r="O265" s="80" t="e">
        <f t="shared" si="39"/>
        <v>#N/A</v>
      </c>
      <c r="P265" s="103"/>
    </row>
    <row r="266" spans="1:16" x14ac:dyDescent="0.25">
      <c r="A266" s="95"/>
      <c r="B266" s="72"/>
      <c r="C266" s="72"/>
      <c r="D266" s="72"/>
      <c r="E266" s="72"/>
      <c r="F266" s="72"/>
      <c r="G266" s="73" t="e">
        <f t="shared" si="36"/>
        <v>#N/A</v>
      </c>
      <c r="H266" s="73" t="e">
        <f t="shared" si="38"/>
        <v>#N/A</v>
      </c>
      <c r="I266" s="73" t="b">
        <f t="shared" si="35"/>
        <v>0</v>
      </c>
      <c r="J266" s="72"/>
      <c r="K266" s="74"/>
      <c r="M266" s="99"/>
      <c r="N266" s="80" t="e">
        <f t="shared" si="37"/>
        <v>#N/A</v>
      </c>
      <c r="O266" s="80" t="e">
        <f t="shared" si="39"/>
        <v>#N/A</v>
      </c>
      <c r="P266" s="103"/>
    </row>
    <row r="267" spans="1:16" x14ac:dyDescent="0.25">
      <c r="A267" s="95"/>
      <c r="B267" s="72"/>
      <c r="C267" s="72"/>
      <c r="D267" s="72"/>
      <c r="E267" s="72"/>
      <c r="F267" s="72"/>
      <c r="G267" s="73" t="e">
        <f t="shared" si="36"/>
        <v>#N/A</v>
      </c>
      <c r="H267" s="73" t="e">
        <f t="shared" si="38"/>
        <v>#N/A</v>
      </c>
      <c r="I267" s="73" t="b">
        <f t="shared" si="35"/>
        <v>0</v>
      </c>
      <c r="J267" s="72"/>
      <c r="K267" s="74"/>
      <c r="M267" s="99"/>
      <c r="N267" s="80" t="e">
        <f t="shared" si="37"/>
        <v>#N/A</v>
      </c>
      <c r="O267" s="80" t="e">
        <f t="shared" si="39"/>
        <v>#N/A</v>
      </c>
      <c r="P267" s="103"/>
    </row>
    <row r="268" spans="1:16" x14ac:dyDescent="0.25">
      <c r="A268" s="95"/>
      <c r="B268" s="72"/>
      <c r="C268" s="72"/>
      <c r="D268" s="72"/>
      <c r="E268" s="72"/>
      <c r="F268" s="72"/>
      <c r="G268" s="73" t="e">
        <f t="shared" si="36"/>
        <v>#N/A</v>
      </c>
      <c r="H268" s="73" t="e">
        <f t="shared" si="38"/>
        <v>#N/A</v>
      </c>
      <c r="I268" s="73" t="b">
        <f t="shared" si="35"/>
        <v>0</v>
      </c>
      <c r="J268" s="72"/>
      <c r="K268" s="74"/>
      <c r="M268" s="99"/>
      <c r="N268" s="80" t="e">
        <f t="shared" si="37"/>
        <v>#N/A</v>
      </c>
      <c r="O268" s="80" t="e">
        <f t="shared" si="39"/>
        <v>#N/A</v>
      </c>
      <c r="P268" s="103"/>
    </row>
    <row r="269" spans="1:16" x14ac:dyDescent="0.25">
      <c r="A269" s="95"/>
      <c r="B269" s="72"/>
      <c r="C269" s="72"/>
      <c r="D269" s="72"/>
      <c r="E269" s="72"/>
      <c r="F269" s="72"/>
      <c r="G269" s="73" t="e">
        <f t="shared" si="36"/>
        <v>#N/A</v>
      </c>
      <c r="H269" s="73" t="e">
        <f t="shared" si="38"/>
        <v>#N/A</v>
      </c>
      <c r="I269" s="73" t="b">
        <f t="shared" si="35"/>
        <v>0</v>
      </c>
      <c r="J269" s="72"/>
      <c r="K269" s="74"/>
      <c r="M269" s="99"/>
      <c r="N269" s="80" t="e">
        <f t="shared" si="37"/>
        <v>#N/A</v>
      </c>
      <c r="O269" s="80" t="e">
        <f t="shared" si="39"/>
        <v>#N/A</v>
      </c>
      <c r="P269" s="103"/>
    </row>
    <row r="270" spans="1:16" x14ac:dyDescent="0.25">
      <c r="A270" s="95"/>
      <c r="B270" s="72"/>
      <c r="C270" s="72"/>
      <c r="D270" s="72"/>
      <c r="E270" s="72"/>
      <c r="F270" s="72"/>
      <c r="G270" s="73" t="e">
        <f t="shared" si="36"/>
        <v>#N/A</v>
      </c>
      <c r="H270" s="73" t="e">
        <f t="shared" si="38"/>
        <v>#N/A</v>
      </c>
      <c r="I270" s="73" t="b">
        <f t="shared" si="35"/>
        <v>0</v>
      </c>
      <c r="J270" s="72"/>
      <c r="K270" s="74"/>
      <c r="M270" s="99"/>
      <c r="N270" s="80" t="e">
        <f t="shared" si="37"/>
        <v>#N/A</v>
      </c>
      <c r="O270" s="80" t="e">
        <f t="shared" si="39"/>
        <v>#N/A</v>
      </c>
      <c r="P270" s="103"/>
    </row>
    <row r="271" spans="1:16" x14ac:dyDescent="0.25">
      <c r="A271" s="95"/>
      <c r="B271" s="72"/>
      <c r="C271" s="72"/>
      <c r="D271" s="72"/>
      <c r="E271" s="72"/>
      <c r="F271" s="72"/>
      <c r="G271" s="73" t="e">
        <f t="shared" si="36"/>
        <v>#N/A</v>
      </c>
      <c r="H271" s="73" t="e">
        <f t="shared" si="38"/>
        <v>#N/A</v>
      </c>
      <c r="I271" s="73" t="b">
        <f t="shared" si="35"/>
        <v>0</v>
      </c>
      <c r="J271" s="72"/>
      <c r="K271" s="74"/>
      <c r="M271" s="99"/>
      <c r="N271" s="80" t="e">
        <f t="shared" si="37"/>
        <v>#N/A</v>
      </c>
      <c r="O271" s="80" t="e">
        <f t="shared" si="39"/>
        <v>#N/A</v>
      </c>
      <c r="P271" s="103"/>
    </row>
    <row r="272" spans="1:16" x14ac:dyDescent="0.25">
      <c r="A272" s="95"/>
      <c r="B272" s="72"/>
      <c r="C272" s="72"/>
      <c r="D272" s="72"/>
      <c r="E272" s="72"/>
      <c r="F272" s="72"/>
      <c r="G272" s="73" t="e">
        <f t="shared" si="36"/>
        <v>#N/A</v>
      </c>
      <c r="H272" s="73" t="e">
        <f t="shared" si="38"/>
        <v>#N/A</v>
      </c>
      <c r="I272" s="73" t="b">
        <f t="shared" si="35"/>
        <v>0</v>
      </c>
      <c r="J272" s="72"/>
      <c r="K272" s="74"/>
      <c r="M272" s="99"/>
      <c r="N272" s="80" t="e">
        <f t="shared" si="37"/>
        <v>#N/A</v>
      </c>
      <c r="O272" s="80" t="e">
        <f t="shared" si="39"/>
        <v>#N/A</v>
      </c>
      <c r="P272" s="103"/>
    </row>
    <row r="273" spans="1:16" x14ac:dyDescent="0.25">
      <c r="A273" s="95"/>
      <c r="B273" s="72"/>
      <c r="C273" s="72"/>
      <c r="D273" s="72"/>
      <c r="E273" s="72"/>
      <c r="F273" s="72"/>
      <c r="G273" s="73" t="e">
        <f t="shared" si="36"/>
        <v>#N/A</v>
      </c>
      <c r="H273" s="73" t="e">
        <f t="shared" si="38"/>
        <v>#N/A</v>
      </c>
      <c r="I273" s="73" t="b">
        <f t="shared" si="35"/>
        <v>0</v>
      </c>
      <c r="J273" s="72"/>
      <c r="K273" s="74"/>
      <c r="M273" s="99"/>
      <c r="N273" s="80" t="e">
        <f t="shared" si="37"/>
        <v>#N/A</v>
      </c>
      <c r="O273" s="80" t="e">
        <f t="shared" si="39"/>
        <v>#N/A</v>
      </c>
      <c r="P273" s="103"/>
    </row>
    <row r="274" spans="1:16" x14ac:dyDescent="0.25">
      <c r="A274" s="95"/>
      <c r="B274" s="72"/>
      <c r="C274" s="72"/>
      <c r="D274" s="72"/>
      <c r="E274" s="72"/>
      <c r="F274" s="72"/>
      <c r="G274" s="73" t="e">
        <f t="shared" si="36"/>
        <v>#N/A</v>
      </c>
      <c r="H274" s="73" t="e">
        <f t="shared" si="38"/>
        <v>#N/A</v>
      </c>
      <c r="I274" s="73" t="b">
        <f t="shared" si="35"/>
        <v>0</v>
      </c>
      <c r="J274" s="72"/>
      <c r="K274" s="74"/>
      <c r="M274" s="99"/>
      <c r="N274" s="80" t="e">
        <f t="shared" si="37"/>
        <v>#N/A</v>
      </c>
      <c r="O274" s="80" t="e">
        <f t="shared" si="39"/>
        <v>#N/A</v>
      </c>
      <c r="P274" s="103"/>
    </row>
    <row r="275" spans="1:16" x14ac:dyDescent="0.25">
      <c r="A275" s="95"/>
      <c r="B275" s="72"/>
      <c r="C275" s="72"/>
      <c r="D275" s="72"/>
      <c r="E275" s="72"/>
      <c r="F275" s="72"/>
      <c r="G275" s="73" t="e">
        <f t="shared" si="36"/>
        <v>#N/A</v>
      </c>
      <c r="H275" s="73" t="e">
        <f t="shared" si="38"/>
        <v>#N/A</v>
      </c>
      <c r="I275" s="73" t="b">
        <f t="shared" si="35"/>
        <v>0</v>
      </c>
      <c r="J275" s="72"/>
      <c r="K275" s="74"/>
      <c r="M275" s="99"/>
      <c r="N275" s="80" t="e">
        <f t="shared" si="37"/>
        <v>#N/A</v>
      </c>
      <c r="O275" s="80" t="e">
        <f t="shared" si="39"/>
        <v>#N/A</v>
      </c>
      <c r="P275" s="103"/>
    </row>
    <row r="276" spans="1:16" x14ac:dyDescent="0.25">
      <c r="A276" s="95"/>
      <c r="B276" s="72"/>
      <c r="C276" s="72"/>
      <c r="D276" s="72"/>
      <c r="E276" s="72"/>
      <c r="F276" s="72"/>
      <c r="G276" s="73" t="e">
        <f t="shared" si="36"/>
        <v>#N/A</v>
      </c>
      <c r="H276" s="73" t="e">
        <f t="shared" si="38"/>
        <v>#N/A</v>
      </c>
      <c r="I276" s="73" t="b">
        <f t="shared" si="35"/>
        <v>0</v>
      </c>
      <c r="J276" s="72"/>
      <c r="K276" s="74"/>
      <c r="M276" s="99"/>
      <c r="N276" s="80" t="e">
        <f t="shared" si="37"/>
        <v>#N/A</v>
      </c>
      <c r="O276" s="80" t="e">
        <f t="shared" si="39"/>
        <v>#N/A</v>
      </c>
      <c r="P276" s="103"/>
    </row>
    <row r="277" spans="1:16" x14ac:dyDescent="0.25">
      <c r="A277" s="95"/>
      <c r="B277" s="72"/>
      <c r="C277" s="72"/>
      <c r="D277" s="72"/>
      <c r="E277" s="72"/>
      <c r="F277" s="72"/>
      <c r="G277" s="73" t="e">
        <f t="shared" si="36"/>
        <v>#N/A</v>
      </c>
      <c r="H277" s="73" t="e">
        <f t="shared" si="38"/>
        <v>#N/A</v>
      </c>
      <c r="I277" s="73" t="b">
        <f t="shared" si="35"/>
        <v>0</v>
      </c>
      <c r="J277" s="72"/>
      <c r="K277" s="74"/>
      <c r="M277" s="99"/>
      <c r="N277" s="80" t="e">
        <f t="shared" si="37"/>
        <v>#N/A</v>
      </c>
      <c r="O277" s="80" t="e">
        <f t="shared" si="39"/>
        <v>#N/A</v>
      </c>
      <c r="P277" s="103"/>
    </row>
    <row r="278" spans="1:16" x14ac:dyDescent="0.25">
      <c r="A278" s="95"/>
      <c r="B278" s="72"/>
      <c r="C278" s="72"/>
      <c r="D278" s="72"/>
      <c r="E278" s="72"/>
      <c r="F278" s="72"/>
      <c r="G278" s="73" t="e">
        <f t="shared" si="36"/>
        <v>#N/A</v>
      </c>
      <c r="H278" s="73" t="e">
        <f t="shared" si="38"/>
        <v>#N/A</v>
      </c>
      <c r="I278" s="73" t="b">
        <f t="shared" si="35"/>
        <v>0</v>
      </c>
      <c r="J278" s="72"/>
      <c r="K278" s="74"/>
      <c r="M278" s="99"/>
      <c r="N278" s="80" t="e">
        <f t="shared" si="37"/>
        <v>#N/A</v>
      </c>
      <c r="O278" s="80" t="e">
        <f t="shared" si="39"/>
        <v>#N/A</v>
      </c>
      <c r="P278" s="103"/>
    </row>
    <row r="279" spans="1:16" x14ac:dyDescent="0.25">
      <c r="A279" s="95"/>
      <c r="B279" s="72"/>
      <c r="C279" s="72"/>
      <c r="D279" s="72"/>
      <c r="E279" s="72"/>
      <c r="F279" s="72"/>
      <c r="G279" s="73" t="e">
        <f t="shared" si="36"/>
        <v>#N/A</v>
      </c>
      <c r="H279" s="73" t="e">
        <f t="shared" si="38"/>
        <v>#N/A</v>
      </c>
      <c r="I279" s="73" t="b">
        <f t="shared" si="35"/>
        <v>0</v>
      </c>
      <c r="J279" s="72"/>
      <c r="K279" s="74"/>
      <c r="M279" s="99"/>
      <c r="N279" s="80" t="e">
        <f t="shared" si="37"/>
        <v>#N/A</v>
      </c>
      <c r="O279" s="80" t="e">
        <f t="shared" si="39"/>
        <v>#N/A</v>
      </c>
      <c r="P279" s="103"/>
    </row>
    <row r="280" spans="1:16" x14ac:dyDescent="0.25">
      <c r="A280" s="95"/>
      <c r="B280" s="72"/>
      <c r="C280" s="72"/>
      <c r="D280" s="72"/>
      <c r="E280" s="72"/>
      <c r="F280" s="72"/>
      <c r="G280" s="73" t="e">
        <f t="shared" si="36"/>
        <v>#N/A</v>
      </c>
      <c r="H280" s="73" t="e">
        <f t="shared" si="38"/>
        <v>#N/A</v>
      </c>
      <c r="I280" s="73" t="b">
        <f t="shared" si="35"/>
        <v>0</v>
      </c>
      <c r="J280" s="72"/>
      <c r="K280" s="74"/>
      <c r="M280" s="99"/>
      <c r="N280" s="80" t="e">
        <f t="shared" si="37"/>
        <v>#N/A</v>
      </c>
      <c r="O280" s="80" t="e">
        <f t="shared" si="39"/>
        <v>#N/A</v>
      </c>
      <c r="P280" s="103"/>
    </row>
    <row r="281" spans="1:16" x14ac:dyDescent="0.25">
      <c r="A281" s="95"/>
      <c r="B281" s="72"/>
      <c r="C281" s="72"/>
      <c r="D281" s="72"/>
      <c r="E281" s="72"/>
      <c r="F281" s="72"/>
      <c r="G281" s="73" t="e">
        <f t="shared" si="36"/>
        <v>#N/A</v>
      </c>
      <c r="H281" s="73" t="e">
        <f t="shared" si="38"/>
        <v>#N/A</v>
      </c>
      <c r="I281" s="73" t="b">
        <f t="shared" si="35"/>
        <v>0</v>
      </c>
      <c r="J281" s="72"/>
      <c r="K281" s="74"/>
      <c r="M281" s="99"/>
      <c r="N281" s="80" t="e">
        <f t="shared" si="37"/>
        <v>#N/A</v>
      </c>
      <c r="O281" s="80" t="e">
        <f t="shared" si="39"/>
        <v>#N/A</v>
      </c>
      <c r="P281" s="103"/>
    </row>
    <row r="282" spans="1:16" x14ac:dyDescent="0.25">
      <c r="A282" s="95"/>
      <c r="B282" s="72"/>
      <c r="C282" s="72"/>
      <c r="D282" s="72"/>
      <c r="E282" s="72"/>
      <c r="F282" s="72"/>
      <c r="G282" s="73" t="e">
        <f t="shared" si="36"/>
        <v>#N/A</v>
      </c>
      <c r="H282" s="73" t="e">
        <f t="shared" si="38"/>
        <v>#N/A</v>
      </c>
      <c r="I282" s="73" t="b">
        <f t="shared" si="35"/>
        <v>0</v>
      </c>
      <c r="J282" s="72"/>
      <c r="K282" s="74"/>
      <c r="M282" s="99"/>
      <c r="N282" s="80" t="e">
        <f t="shared" si="37"/>
        <v>#N/A</v>
      </c>
      <c r="O282" s="80" t="e">
        <f t="shared" si="39"/>
        <v>#N/A</v>
      </c>
      <c r="P282" s="103"/>
    </row>
    <row r="283" spans="1:16" x14ac:dyDescent="0.25">
      <c r="A283" s="95"/>
      <c r="B283" s="72"/>
      <c r="C283" s="72"/>
      <c r="D283" s="72"/>
      <c r="E283" s="72"/>
      <c r="F283" s="72"/>
      <c r="G283" s="73" t="e">
        <f t="shared" si="36"/>
        <v>#N/A</v>
      </c>
      <c r="H283" s="73" t="e">
        <f t="shared" si="38"/>
        <v>#N/A</v>
      </c>
      <c r="I283" s="73" t="b">
        <f t="shared" si="35"/>
        <v>0</v>
      </c>
      <c r="J283" s="72"/>
      <c r="K283" s="74"/>
      <c r="M283" s="99"/>
      <c r="N283" s="80" t="e">
        <f t="shared" si="37"/>
        <v>#N/A</v>
      </c>
      <c r="O283" s="80" t="e">
        <f t="shared" si="39"/>
        <v>#N/A</v>
      </c>
      <c r="P283" s="103"/>
    </row>
    <row r="284" spans="1:16" x14ac:dyDescent="0.25">
      <c r="A284" s="95"/>
      <c r="B284" s="72"/>
      <c r="C284" s="72"/>
      <c r="D284" s="72"/>
      <c r="E284" s="72"/>
      <c r="F284" s="72"/>
      <c r="G284" s="73" t="e">
        <f t="shared" si="36"/>
        <v>#N/A</v>
      </c>
      <c r="H284" s="73" t="e">
        <f t="shared" si="38"/>
        <v>#N/A</v>
      </c>
      <c r="I284" s="73" t="b">
        <f t="shared" si="35"/>
        <v>0</v>
      </c>
      <c r="J284" s="72"/>
      <c r="K284" s="74"/>
      <c r="M284" s="99"/>
      <c r="N284" s="80" t="e">
        <f t="shared" si="37"/>
        <v>#N/A</v>
      </c>
      <c r="O284" s="80" t="e">
        <f t="shared" si="39"/>
        <v>#N/A</v>
      </c>
      <c r="P284" s="103"/>
    </row>
    <row r="285" spans="1:16" x14ac:dyDescent="0.25">
      <c r="A285" s="95"/>
      <c r="B285" s="72"/>
      <c r="C285" s="72"/>
      <c r="D285" s="72"/>
      <c r="E285" s="72"/>
      <c r="F285" s="72"/>
      <c r="G285" s="73" t="e">
        <f t="shared" si="36"/>
        <v>#N/A</v>
      </c>
      <c r="H285" s="73" t="e">
        <f t="shared" si="38"/>
        <v>#N/A</v>
      </c>
      <c r="I285" s="73" t="b">
        <f t="shared" si="35"/>
        <v>0</v>
      </c>
      <c r="J285" s="72"/>
      <c r="K285" s="74"/>
      <c r="M285" s="99"/>
      <c r="N285" s="80" t="e">
        <f t="shared" si="37"/>
        <v>#N/A</v>
      </c>
      <c r="O285" s="80" t="e">
        <f t="shared" si="39"/>
        <v>#N/A</v>
      </c>
      <c r="P285" s="103"/>
    </row>
    <row r="286" spans="1:16" x14ac:dyDescent="0.25">
      <c r="A286" s="95"/>
      <c r="B286" s="72"/>
      <c r="C286" s="72"/>
      <c r="D286" s="72"/>
      <c r="E286" s="72"/>
      <c r="F286" s="72"/>
      <c r="G286" s="73" t="e">
        <f t="shared" si="36"/>
        <v>#N/A</v>
      </c>
      <c r="H286" s="73" t="e">
        <f t="shared" si="38"/>
        <v>#N/A</v>
      </c>
      <c r="I286" s="73" t="b">
        <f t="shared" si="35"/>
        <v>0</v>
      </c>
      <c r="J286" s="72"/>
      <c r="K286" s="74"/>
      <c r="M286" s="99"/>
      <c r="N286" s="80" t="e">
        <f t="shared" si="37"/>
        <v>#N/A</v>
      </c>
      <c r="O286" s="80" t="e">
        <f t="shared" si="39"/>
        <v>#N/A</v>
      </c>
      <c r="P286" s="103"/>
    </row>
    <row r="287" spans="1:16" x14ac:dyDescent="0.25">
      <c r="A287" s="95"/>
      <c r="B287" s="72"/>
      <c r="C287" s="72"/>
      <c r="D287" s="72"/>
      <c r="E287" s="72"/>
      <c r="F287" s="72"/>
      <c r="G287" s="73" t="e">
        <f t="shared" si="36"/>
        <v>#N/A</v>
      </c>
      <c r="H287" s="73" t="e">
        <f t="shared" si="38"/>
        <v>#N/A</v>
      </c>
      <c r="I287" s="73" t="b">
        <f t="shared" si="35"/>
        <v>0</v>
      </c>
      <c r="J287" s="72"/>
      <c r="K287" s="74"/>
      <c r="M287" s="99"/>
      <c r="N287" s="80" t="e">
        <f t="shared" si="37"/>
        <v>#N/A</v>
      </c>
      <c r="O287" s="80" t="e">
        <f t="shared" si="39"/>
        <v>#N/A</v>
      </c>
      <c r="P287" s="103"/>
    </row>
    <row r="288" spans="1:16" x14ac:dyDescent="0.25">
      <c r="A288" s="95"/>
      <c r="B288" s="72"/>
      <c r="C288" s="72"/>
      <c r="D288" s="72"/>
      <c r="E288" s="72"/>
      <c r="F288" s="72"/>
      <c r="G288" s="73" t="e">
        <f t="shared" si="36"/>
        <v>#N/A</v>
      </c>
      <c r="H288" s="73" t="e">
        <f t="shared" si="38"/>
        <v>#N/A</v>
      </c>
      <c r="I288" s="73" t="b">
        <f t="shared" si="35"/>
        <v>0</v>
      </c>
      <c r="J288" s="72"/>
      <c r="K288" s="74"/>
      <c r="M288" s="99"/>
      <c r="N288" s="80" t="e">
        <f t="shared" si="37"/>
        <v>#N/A</v>
      </c>
      <c r="O288" s="80" t="e">
        <f t="shared" si="39"/>
        <v>#N/A</v>
      </c>
      <c r="P288" s="103"/>
    </row>
    <row r="289" spans="1:16" x14ac:dyDescent="0.25">
      <c r="A289" s="95"/>
      <c r="B289" s="72"/>
      <c r="C289" s="72"/>
      <c r="D289" s="72"/>
      <c r="E289" s="72"/>
      <c r="F289" s="72"/>
      <c r="G289" s="73" t="e">
        <f t="shared" si="36"/>
        <v>#N/A</v>
      </c>
      <c r="H289" s="73" t="e">
        <f t="shared" si="38"/>
        <v>#N/A</v>
      </c>
      <c r="I289" s="73" t="b">
        <f t="shared" si="35"/>
        <v>0</v>
      </c>
      <c r="J289" s="72"/>
      <c r="K289" s="74"/>
      <c r="M289" s="99"/>
      <c r="N289" s="80" t="e">
        <f t="shared" si="37"/>
        <v>#N/A</v>
      </c>
      <c r="O289" s="80" t="e">
        <f t="shared" si="39"/>
        <v>#N/A</v>
      </c>
      <c r="P289" s="103"/>
    </row>
    <row r="290" spans="1:16" x14ac:dyDescent="0.25">
      <c r="A290" s="95"/>
      <c r="B290" s="72"/>
      <c r="C290" s="72"/>
      <c r="D290" s="72"/>
      <c r="E290" s="72"/>
      <c r="F290" s="72"/>
      <c r="G290" s="73" t="e">
        <f t="shared" si="36"/>
        <v>#N/A</v>
      </c>
      <c r="H290" s="73" t="e">
        <f t="shared" si="38"/>
        <v>#N/A</v>
      </c>
      <c r="I290" s="73" t="b">
        <f t="shared" si="35"/>
        <v>0</v>
      </c>
      <c r="J290" s="72"/>
      <c r="K290" s="74"/>
      <c r="M290" s="99"/>
      <c r="N290" s="80" t="e">
        <f t="shared" si="37"/>
        <v>#N/A</v>
      </c>
      <c r="O290" s="80" t="e">
        <f t="shared" si="39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36"/>
        <v>#N/A</v>
      </c>
      <c r="H291" s="73" t="e">
        <f t="shared" si="38"/>
        <v>#N/A</v>
      </c>
      <c r="I291" s="73" t="b">
        <f t="shared" si="35"/>
        <v>0</v>
      </c>
      <c r="J291" s="72"/>
      <c r="K291" s="74"/>
      <c r="M291" s="99"/>
      <c r="N291" s="80" t="e">
        <f t="shared" si="37"/>
        <v>#N/A</v>
      </c>
      <c r="O291" s="80" t="e">
        <f t="shared" si="39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ref="G292:G323" si="40">VLOOKUP(D292,$S$3:$T$120,2,0)</f>
        <v>#N/A</v>
      </c>
      <c r="H292" s="73" t="e">
        <f t="shared" si="38"/>
        <v>#N/A</v>
      </c>
      <c r="I292" s="73" t="b">
        <f t="shared" si="35"/>
        <v>0</v>
      </c>
      <c r="J292" s="72"/>
      <c r="K292" s="74"/>
      <c r="M292" s="99"/>
      <c r="N292" s="80" t="e">
        <f t="shared" ref="N292:N323" si="41">VLOOKUP(M292,$S$3:$U$60,3,0)</f>
        <v>#N/A</v>
      </c>
      <c r="O292" s="80" t="e">
        <f t="shared" si="39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si="40"/>
        <v>#N/A</v>
      </c>
      <c r="H293" s="73" t="e">
        <f t="shared" si="38"/>
        <v>#N/A</v>
      </c>
      <c r="I293" s="73" t="b">
        <f t="shared" si="35"/>
        <v>0</v>
      </c>
      <c r="J293" s="72"/>
      <c r="K293" s="74"/>
      <c r="M293" s="99"/>
      <c r="N293" s="80" t="e">
        <f t="shared" si="41"/>
        <v>#N/A</v>
      </c>
      <c r="O293" s="80" t="e">
        <f t="shared" si="39"/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40"/>
        <v>#N/A</v>
      </c>
      <c r="H294" s="73" t="e">
        <f t="shared" si="38"/>
        <v>#N/A</v>
      </c>
      <c r="I294" s="73" t="b">
        <f t="shared" si="35"/>
        <v>0</v>
      </c>
      <c r="J294" s="72"/>
      <c r="K294" s="74"/>
      <c r="M294" s="99"/>
      <c r="N294" s="80" t="e">
        <f t="shared" si="41"/>
        <v>#N/A</v>
      </c>
      <c r="O294" s="80" t="e">
        <f t="shared" ref="O294:O325" si="42">N294*F294</f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si="40"/>
        <v>#N/A</v>
      </c>
      <c r="H295" s="73" t="e">
        <f t="shared" si="38"/>
        <v>#N/A</v>
      </c>
      <c r="I295" s="73" t="b">
        <f t="shared" si="35"/>
        <v>0</v>
      </c>
      <c r="J295" s="72"/>
      <c r="K295" s="74"/>
      <c r="M295" s="99"/>
      <c r="N295" s="80" t="e">
        <f t="shared" si="41"/>
        <v>#N/A</v>
      </c>
      <c r="O295" s="80" t="e">
        <f t="shared" si="42"/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40"/>
        <v>#N/A</v>
      </c>
      <c r="H296" s="73" t="e">
        <f t="shared" si="38"/>
        <v>#N/A</v>
      </c>
      <c r="I296" s="73" t="b">
        <f t="shared" si="35"/>
        <v>0</v>
      </c>
      <c r="J296" s="72"/>
      <c r="K296" s="74"/>
      <c r="M296" s="99"/>
      <c r="N296" s="80" t="e">
        <f t="shared" si="41"/>
        <v>#N/A</v>
      </c>
      <c r="O296" s="80" t="e">
        <f t="shared" si="42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40"/>
        <v>#N/A</v>
      </c>
      <c r="H297" s="73" t="e">
        <f t="shared" si="38"/>
        <v>#N/A</v>
      </c>
      <c r="I297" s="73" t="b">
        <f t="shared" si="35"/>
        <v>0</v>
      </c>
      <c r="J297" s="72"/>
      <c r="K297" s="74"/>
      <c r="M297" s="99"/>
      <c r="N297" s="80" t="e">
        <f t="shared" si="41"/>
        <v>#N/A</v>
      </c>
      <c r="O297" s="80" t="e">
        <f t="shared" si="42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40"/>
        <v>#N/A</v>
      </c>
      <c r="H298" s="73" t="e">
        <f t="shared" si="38"/>
        <v>#N/A</v>
      </c>
      <c r="I298" s="73" t="b">
        <f t="shared" si="35"/>
        <v>0</v>
      </c>
      <c r="J298" s="72"/>
      <c r="K298" s="74"/>
      <c r="M298" s="99"/>
      <c r="N298" s="80" t="e">
        <f t="shared" si="41"/>
        <v>#N/A</v>
      </c>
      <c r="O298" s="80" t="e">
        <f t="shared" si="42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si="40"/>
        <v>#N/A</v>
      </c>
      <c r="H299" s="73" t="e">
        <f t="shared" si="38"/>
        <v>#N/A</v>
      </c>
      <c r="I299" s="73" t="b">
        <f t="shared" si="35"/>
        <v>0</v>
      </c>
      <c r="J299" s="72"/>
      <c r="K299" s="74"/>
      <c r="M299" s="99"/>
      <c r="N299" s="80" t="e">
        <f t="shared" si="41"/>
        <v>#N/A</v>
      </c>
      <c r="O299" s="80" t="e">
        <f t="shared" si="42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40"/>
        <v>#N/A</v>
      </c>
      <c r="H300" s="73" t="e">
        <f t="shared" si="38"/>
        <v>#N/A</v>
      </c>
      <c r="I300" s="73" t="b">
        <f t="shared" si="35"/>
        <v>0</v>
      </c>
      <c r="J300" s="72"/>
      <c r="K300" s="74"/>
      <c r="M300" s="99"/>
      <c r="N300" s="80" t="e">
        <f t="shared" si="41"/>
        <v>#N/A</v>
      </c>
      <c r="O300" s="80" t="e">
        <f t="shared" si="42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40"/>
        <v>#N/A</v>
      </c>
      <c r="H301" s="73" t="e">
        <f t="shared" si="38"/>
        <v>#N/A</v>
      </c>
      <c r="I301" s="73" t="b">
        <f t="shared" si="35"/>
        <v>0</v>
      </c>
      <c r="J301" s="72"/>
      <c r="K301" s="74"/>
      <c r="M301" s="99"/>
      <c r="N301" s="80" t="e">
        <f t="shared" si="41"/>
        <v>#N/A</v>
      </c>
      <c r="O301" s="80" t="e">
        <f t="shared" si="42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si="40"/>
        <v>#N/A</v>
      </c>
      <c r="H302" s="73" t="e">
        <f t="shared" si="38"/>
        <v>#N/A</v>
      </c>
      <c r="I302" s="73" t="b">
        <f t="shared" si="35"/>
        <v>0</v>
      </c>
      <c r="J302" s="72"/>
      <c r="K302" s="74"/>
      <c r="M302" s="99"/>
      <c r="N302" s="80" t="e">
        <f t="shared" si="41"/>
        <v>#N/A</v>
      </c>
      <c r="O302" s="80" t="e">
        <f t="shared" si="42"/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40"/>
        <v>#N/A</v>
      </c>
      <c r="H303" s="73" t="e">
        <f t="shared" si="38"/>
        <v>#N/A</v>
      </c>
      <c r="I303" s="73" t="b">
        <f t="shared" si="35"/>
        <v>0</v>
      </c>
      <c r="J303" s="72"/>
      <c r="K303" s="74"/>
      <c r="M303" s="99"/>
      <c r="N303" s="80" t="e">
        <f t="shared" si="41"/>
        <v>#N/A</v>
      </c>
      <c r="O303" s="80" t="e">
        <f t="shared" si="42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40"/>
        <v>#N/A</v>
      </c>
      <c r="H304" s="73" t="e">
        <f t="shared" si="38"/>
        <v>#N/A</v>
      </c>
      <c r="I304" s="73" t="b">
        <f t="shared" si="35"/>
        <v>0</v>
      </c>
      <c r="J304" s="72"/>
      <c r="K304" s="74"/>
      <c r="M304" s="99"/>
      <c r="N304" s="80" t="e">
        <f t="shared" si="41"/>
        <v>#N/A</v>
      </c>
      <c r="O304" s="80" t="e">
        <f t="shared" si="42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40"/>
        <v>#N/A</v>
      </c>
      <c r="H305" s="73" t="e">
        <f t="shared" si="38"/>
        <v>#N/A</v>
      </c>
      <c r="I305" s="73" t="b">
        <f t="shared" si="35"/>
        <v>0</v>
      </c>
      <c r="J305" s="72"/>
      <c r="K305" s="74"/>
      <c r="M305" s="99"/>
      <c r="N305" s="80" t="e">
        <f t="shared" si="41"/>
        <v>#N/A</v>
      </c>
      <c r="O305" s="80" t="e">
        <f t="shared" si="42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40"/>
        <v>#N/A</v>
      </c>
      <c r="H306" s="73" t="e">
        <f t="shared" si="38"/>
        <v>#N/A</v>
      </c>
      <c r="I306" s="73" t="b">
        <f t="shared" si="35"/>
        <v>0</v>
      </c>
      <c r="J306" s="72"/>
      <c r="K306" s="74"/>
      <c r="M306" s="99"/>
      <c r="N306" s="80" t="e">
        <f t="shared" si="41"/>
        <v>#N/A</v>
      </c>
      <c r="O306" s="80" t="e">
        <f t="shared" si="42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40"/>
        <v>#N/A</v>
      </c>
      <c r="H307" s="73" t="e">
        <f t="shared" si="38"/>
        <v>#N/A</v>
      </c>
      <c r="I307" s="73" t="b">
        <f t="shared" si="35"/>
        <v>0</v>
      </c>
      <c r="J307" s="72"/>
      <c r="K307" s="74"/>
      <c r="M307" s="99"/>
      <c r="N307" s="80" t="e">
        <f t="shared" si="41"/>
        <v>#N/A</v>
      </c>
      <c r="O307" s="80" t="e">
        <f t="shared" si="42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40"/>
        <v>#N/A</v>
      </c>
      <c r="H308" s="73" t="e">
        <f t="shared" si="38"/>
        <v>#N/A</v>
      </c>
      <c r="I308" s="73" t="b">
        <f t="shared" si="35"/>
        <v>0</v>
      </c>
      <c r="J308" s="72"/>
      <c r="K308" s="74"/>
      <c r="M308" s="99"/>
      <c r="N308" s="80" t="e">
        <f t="shared" si="41"/>
        <v>#N/A</v>
      </c>
      <c r="O308" s="80" t="e">
        <f t="shared" si="42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40"/>
        <v>#N/A</v>
      </c>
      <c r="H309" s="73" t="e">
        <f t="shared" si="38"/>
        <v>#N/A</v>
      </c>
      <c r="I309" s="73" t="b">
        <f t="shared" si="35"/>
        <v>0</v>
      </c>
      <c r="J309" s="72"/>
      <c r="K309" s="74"/>
      <c r="M309" s="99"/>
      <c r="N309" s="80" t="e">
        <f t="shared" si="41"/>
        <v>#N/A</v>
      </c>
      <c r="O309" s="80" t="e">
        <f t="shared" si="42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40"/>
        <v>#N/A</v>
      </c>
      <c r="H310" s="73" t="e">
        <f t="shared" si="38"/>
        <v>#N/A</v>
      </c>
      <c r="I310" s="73" t="b">
        <f t="shared" si="35"/>
        <v>0</v>
      </c>
      <c r="J310" s="72"/>
      <c r="K310" s="74"/>
      <c r="M310" s="99"/>
      <c r="N310" s="80" t="e">
        <f t="shared" si="41"/>
        <v>#N/A</v>
      </c>
      <c r="O310" s="80" t="e">
        <f t="shared" si="42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40"/>
        <v>#N/A</v>
      </c>
      <c r="H311" s="73" t="e">
        <f t="shared" si="38"/>
        <v>#N/A</v>
      </c>
      <c r="I311" s="73" t="b">
        <f t="shared" si="35"/>
        <v>0</v>
      </c>
      <c r="J311" s="72"/>
      <c r="K311" s="74"/>
      <c r="M311" s="99"/>
      <c r="N311" s="80" t="e">
        <f t="shared" si="41"/>
        <v>#N/A</v>
      </c>
      <c r="O311" s="80" t="e">
        <f t="shared" si="42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40"/>
        <v>#N/A</v>
      </c>
      <c r="H312" s="73" t="e">
        <f t="shared" si="38"/>
        <v>#N/A</v>
      </c>
      <c r="I312" s="73" t="b">
        <f t="shared" si="35"/>
        <v>0</v>
      </c>
      <c r="J312" s="72"/>
      <c r="K312" s="74"/>
      <c r="M312" s="99"/>
      <c r="N312" s="80" t="e">
        <f t="shared" si="41"/>
        <v>#N/A</v>
      </c>
      <c r="O312" s="80" t="e">
        <f t="shared" si="42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40"/>
        <v>#N/A</v>
      </c>
      <c r="H313" s="73" t="e">
        <f t="shared" si="38"/>
        <v>#N/A</v>
      </c>
      <c r="I313" s="73" t="b">
        <f t="shared" si="35"/>
        <v>0</v>
      </c>
      <c r="J313" s="72"/>
      <c r="K313" s="74"/>
      <c r="M313" s="99"/>
      <c r="N313" s="80" t="e">
        <f t="shared" si="41"/>
        <v>#N/A</v>
      </c>
      <c r="O313" s="80" t="e">
        <f t="shared" si="42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40"/>
        <v>#N/A</v>
      </c>
      <c r="H314" s="73" t="e">
        <f t="shared" si="38"/>
        <v>#N/A</v>
      </c>
      <c r="I314" s="73" t="b">
        <f t="shared" si="35"/>
        <v>0</v>
      </c>
      <c r="J314" s="72"/>
      <c r="K314" s="74"/>
      <c r="M314" s="99"/>
      <c r="N314" s="80" t="e">
        <f t="shared" si="41"/>
        <v>#N/A</v>
      </c>
      <c r="O314" s="80" t="e">
        <f t="shared" si="42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40"/>
        <v>#N/A</v>
      </c>
      <c r="H315" s="73" t="e">
        <f t="shared" si="38"/>
        <v>#N/A</v>
      </c>
      <c r="I315" s="73" t="b">
        <f t="shared" si="35"/>
        <v>0</v>
      </c>
      <c r="J315" s="72"/>
      <c r="K315" s="74"/>
      <c r="M315" s="99"/>
      <c r="N315" s="80" t="e">
        <f t="shared" si="41"/>
        <v>#N/A</v>
      </c>
      <c r="O315" s="80" t="e">
        <f t="shared" si="42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40"/>
        <v>#N/A</v>
      </c>
      <c r="H316" s="73" t="e">
        <f t="shared" si="38"/>
        <v>#N/A</v>
      </c>
      <c r="I316" s="73" t="b">
        <f t="shared" si="35"/>
        <v>0</v>
      </c>
      <c r="J316" s="72"/>
      <c r="K316" s="74"/>
      <c r="M316" s="99"/>
      <c r="N316" s="80" t="e">
        <f t="shared" si="41"/>
        <v>#N/A</v>
      </c>
      <c r="O316" s="80" t="e">
        <f t="shared" si="42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40"/>
        <v>#N/A</v>
      </c>
      <c r="H317" s="73" t="e">
        <f t="shared" si="38"/>
        <v>#N/A</v>
      </c>
      <c r="I317" s="73" t="b">
        <f t="shared" si="35"/>
        <v>0</v>
      </c>
      <c r="J317" s="72"/>
      <c r="K317" s="74"/>
      <c r="M317" s="99"/>
      <c r="N317" s="80" t="e">
        <f t="shared" si="41"/>
        <v>#N/A</v>
      </c>
      <c r="O317" s="80" t="e">
        <f t="shared" si="42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40"/>
        <v>#N/A</v>
      </c>
      <c r="H318" s="73" t="e">
        <f t="shared" si="38"/>
        <v>#N/A</v>
      </c>
      <c r="I318" s="73" t="b">
        <f t="shared" si="35"/>
        <v>0</v>
      </c>
      <c r="J318" s="72"/>
      <c r="K318" s="74"/>
      <c r="M318" s="99"/>
      <c r="N318" s="80" t="e">
        <f t="shared" si="41"/>
        <v>#N/A</v>
      </c>
      <c r="O318" s="80" t="e">
        <f t="shared" si="42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40"/>
        <v>#N/A</v>
      </c>
      <c r="H319" s="73" t="e">
        <f t="shared" si="38"/>
        <v>#N/A</v>
      </c>
      <c r="I319" s="73" t="b">
        <f t="shared" si="35"/>
        <v>0</v>
      </c>
      <c r="J319" s="72"/>
      <c r="K319" s="74"/>
      <c r="M319" s="99"/>
      <c r="N319" s="80" t="e">
        <f t="shared" si="41"/>
        <v>#N/A</v>
      </c>
      <c r="O319" s="80" t="e">
        <f t="shared" si="42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40"/>
        <v>#N/A</v>
      </c>
      <c r="H320" s="73" t="e">
        <f t="shared" si="38"/>
        <v>#N/A</v>
      </c>
      <c r="I320" s="73" t="b">
        <f t="shared" si="35"/>
        <v>0</v>
      </c>
      <c r="J320" s="72"/>
      <c r="K320" s="74"/>
      <c r="M320" s="99"/>
      <c r="N320" s="80" t="e">
        <f t="shared" si="41"/>
        <v>#N/A</v>
      </c>
      <c r="O320" s="80" t="e">
        <f t="shared" si="42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40"/>
        <v>#N/A</v>
      </c>
      <c r="H321" s="73" t="e">
        <f t="shared" si="38"/>
        <v>#N/A</v>
      </c>
      <c r="I321" s="73" t="b">
        <f t="shared" si="35"/>
        <v>0</v>
      </c>
      <c r="J321" s="72"/>
      <c r="K321" s="74"/>
      <c r="M321" s="99"/>
      <c r="N321" s="80" t="e">
        <f t="shared" si="41"/>
        <v>#N/A</v>
      </c>
      <c r="O321" s="80" t="e">
        <f t="shared" si="42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40"/>
        <v>#N/A</v>
      </c>
      <c r="H322" s="73" t="e">
        <f t="shared" si="38"/>
        <v>#N/A</v>
      </c>
      <c r="I322" s="73" t="b">
        <f t="shared" si="35"/>
        <v>0</v>
      </c>
      <c r="J322" s="72"/>
      <c r="K322" s="74"/>
      <c r="M322" s="99"/>
      <c r="N322" s="80" t="e">
        <f t="shared" si="41"/>
        <v>#N/A</v>
      </c>
      <c r="O322" s="80" t="e">
        <f t="shared" si="42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40"/>
        <v>#N/A</v>
      </c>
      <c r="H323" s="73" t="e">
        <f t="shared" si="38"/>
        <v>#N/A</v>
      </c>
      <c r="I323" s="73" t="b">
        <f t="shared" ref="I323:I350" si="43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99"/>
      <c r="N323" s="80" t="e">
        <f t="shared" si="41"/>
        <v>#N/A</v>
      </c>
      <c r="O323" s="80" t="e">
        <f t="shared" si="42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ref="G324:G350" si="44">VLOOKUP(D324,$S$3:$T$120,2,0)</f>
        <v>#N/A</v>
      </c>
      <c r="H324" s="73" t="e">
        <f t="shared" si="38"/>
        <v>#N/A</v>
      </c>
      <c r="I324" s="73" t="b">
        <f t="shared" si="43"/>
        <v>0</v>
      </c>
      <c r="J324" s="72"/>
      <c r="K324" s="74"/>
      <c r="M324" s="99"/>
      <c r="N324" s="80" t="e">
        <f t="shared" ref="N324:N350" si="45">VLOOKUP(M324,$S$3:$U$60,3,0)</f>
        <v>#N/A</v>
      </c>
      <c r="O324" s="80" t="e">
        <f t="shared" si="42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44"/>
        <v>#N/A</v>
      </c>
      <c r="H325" s="73" t="e">
        <f t="shared" si="38"/>
        <v>#N/A</v>
      </c>
      <c r="I325" s="73" t="b">
        <f t="shared" si="43"/>
        <v>0</v>
      </c>
      <c r="J325" s="72"/>
      <c r="K325" s="74"/>
      <c r="M325" s="99"/>
      <c r="N325" s="80" t="e">
        <f t="shared" si="45"/>
        <v>#N/A</v>
      </c>
      <c r="O325" s="80" t="e">
        <f t="shared" si="42"/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44"/>
        <v>#N/A</v>
      </c>
      <c r="H326" s="73" t="e">
        <f t="shared" ref="H326:H350" si="46">F326*G326</f>
        <v>#N/A</v>
      </c>
      <c r="I326" s="73" t="b">
        <f t="shared" si="43"/>
        <v>0</v>
      </c>
      <c r="J326" s="72"/>
      <c r="K326" s="74"/>
      <c r="M326" s="99"/>
      <c r="N326" s="80" t="e">
        <f t="shared" si="45"/>
        <v>#N/A</v>
      </c>
      <c r="O326" s="80" t="e">
        <f t="shared" ref="O326:O350" si="47">N326*F326</f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44"/>
        <v>#N/A</v>
      </c>
      <c r="H327" s="73" t="e">
        <f t="shared" si="46"/>
        <v>#N/A</v>
      </c>
      <c r="I327" s="73" t="b">
        <f t="shared" si="43"/>
        <v>0</v>
      </c>
      <c r="J327" s="72"/>
      <c r="K327" s="74"/>
      <c r="M327" s="99"/>
      <c r="N327" s="80" t="e">
        <f t="shared" si="45"/>
        <v>#N/A</v>
      </c>
      <c r="O327" s="80" t="e">
        <f t="shared" si="47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44"/>
        <v>#N/A</v>
      </c>
      <c r="H328" s="73" t="e">
        <f t="shared" si="46"/>
        <v>#N/A</v>
      </c>
      <c r="I328" s="73" t="b">
        <f t="shared" si="43"/>
        <v>0</v>
      </c>
      <c r="J328" s="72"/>
      <c r="K328" s="74"/>
      <c r="M328" s="99"/>
      <c r="N328" s="80" t="e">
        <f t="shared" si="45"/>
        <v>#N/A</v>
      </c>
      <c r="O328" s="80" t="e">
        <f t="shared" si="47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44"/>
        <v>#N/A</v>
      </c>
      <c r="H329" s="73" t="e">
        <f t="shared" si="46"/>
        <v>#N/A</v>
      </c>
      <c r="I329" s="73" t="b">
        <f t="shared" si="43"/>
        <v>0</v>
      </c>
      <c r="J329" s="72"/>
      <c r="K329" s="74"/>
      <c r="M329" s="99"/>
      <c r="N329" s="80" t="e">
        <f t="shared" si="45"/>
        <v>#N/A</v>
      </c>
      <c r="O329" s="80" t="e">
        <f t="shared" si="47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44"/>
        <v>#N/A</v>
      </c>
      <c r="H330" s="73" t="e">
        <f t="shared" si="46"/>
        <v>#N/A</v>
      </c>
      <c r="I330" s="73" t="b">
        <f t="shared" si="43"/>
        <v>0</v>
      </c>
      <c r="J330" s="72"/>
      <c r="K330" s="74"/>
      <c r="M330" s="99"/>
      <c r="N330" s="80" t="e">
        <f t="shared" si="45"/>
        <v>#N/A</v>
      </c>
      <c r="O330" s="80" t="e">
        <f t="shared" si="47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44"/>
        <v>#N/A</v>
      </c>
      <c r="H331" s="73" t="e">
        <f t="shared" si="46"/>
        <v>#N/A</v>
      </c>
      <c r="I331" s="73" t="b">
        <f t="shared" si="43"/>
        <v>0</v>
      </c>
      <c r="J331" s="72"/>
      <c r="K331" s="74"/>
      <c r="M331" s="99"/>
      <c r="N331" s="80" t="e">
        <f t="shared" si="45"/>
        <v>#N/A</v>
      </c>
      <c r="O331" s="80" t="e">
        <f t="shared" si="47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44"/>
        <v>#N/A</v>
      </c>
      <c r="H332" s="73" t="e">
        <f t="shared" si="46"/>
        <v>#N/A</v>
      </c>
      <c r="I332" s="73" t="b">
        <f t="shared" si="43"/>
        <v>0</v>
      </c>
      <c r="J332" s="72"/>
      <c r="K332" s="74"/>
      <c r="M332" s="99"/>
      <c r="N332" s="80" t="e">
        <f t="shared" si="45"/>
        <v>#N/A</v>
      </c>
      <c r="O332" s="80" t="e">
        <f t="shared" si="47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44"/>
        <v>#N/A</v>
      </c>
      <c r="H333" s="73" t="e">
        <f t="shared" si="46"/>
        <v>#N/A</v>
      </c>
      <c r="I333" s="73" t="b">
        <f t="shared" si="43"/>
        <v>0</v>
      </c>
      <c r="J333" s="72"/>
      <c r="K333" s="74"/>
      <c r="M333" s="99"/>
      <c r="N333" s="80" t="e">
        <f t="shared" si="45"/>
        <v>#N/A</v>
      </c>
      <c r="O333" s="80" t="e">
        <f t="shared" si="47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44"/>
        <v>#N/A</v>
      </c>
      <c r="H334" s="73" t="e">
        <f t="shared" si="46"/>
        <v>#N/A</v>
      </c>
      <c r="I334" s="73" t="b">
        <f t="shared" si="43"/>
        <v>0</v>
      </c>
      <c r="J334" s="72"/>
      <c r="K334" s="74"/>
      <c r="M334" s="99"/>
      <c r="N334" s="80" t="e">
        <f t="shared" si="45"/>
        <v>#N/A</v>
      </c>
      <c r="O334" s="80" t="e">
        <f t="shared" si="47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44"/>
        <v>#N/A</v>
      </c>
      <c r="H335" s="73" t="e">
        <f t="shared" si="46"/>
        <v>#N/A</v>
      </c>
      <c r="I335" s="73" t="b">
        <f t="shared" si="43"/>
        <v>0</v>
      </c>
      <c r="J335" s="72"/>
      <c r="K335" s="74"/>
      <c r="M335" s="99"/>
      <c r="N335" s="80" t="e">
        <f t="shared" si="45"/>
        <v>#N/A</v>
      </c>
      <c r="O335" s="80" t="e">
        <f t="shared" si="47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44"/>
        <v>#N/A</v>
      </c>
      <c r="H336" s="73" t="e">
        <f t="shared" si="46"/>
        <v>#N/A</v>
      </c>
      <c r="I336" s="73" t="b">
        <f t="shared" si="43"/>
        <v>0</v>
      </c>
      <c r="J336" s="72"/>
      <c r="K336" s="74"/>
      <c r="M336" s="99"/>
      <c r="N336" s="80" t="e">
        <f t="shared" si="45"/>
        <v>#N/A</v>
      </c>
      <c r="O336" s="80" t="e">
        <f t="shared" si="47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44"/>
        <v>#N/A</v>
      </c>
      <c r="H337" s="73" t="e">
        <f t="shared" si="46"/>
        <v>#N/A</v>
      </c>
      <c r="I337" s="73" t="b">
        <f t="shared" si="43"/>
        <v>0</v>
      </c>
      <c r="J337" s="72"/>
      <c r="K337" s="74"/>
      <c r="M337" s="99"/>
      <c r="N337" s="80" t="e">
        <f t="shared" si="45"/>
        <v>#N/A</v>
      </c>
      <c r="O337" s="80" t="e">
        <f t="shared" si="47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44"/>
        <v>#N/A</v>
      </c>
      <c r="H338" s="73" t="e">
        <f t="shared" si="46"/>
        <v>#N/A</v>
      </c>
      <c r="I338" s="73" t="b">
        <f t="shared" si="43"/>
        <v>0</v>
      </c>
      <c r="J338" s="72"/>
      <c r="K338" s="74"/>
      <c r="M338" s="99"/>
      <c r="N338" s="80" t="e">
        <f t="shared" si="45"/>
        <v>#N/A</v>
      </c>
      <c r="O338" s="80" t="e">
        <f t="shared" si="47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44"/>
        <v>#N/A</v>
      </c>
      <c r="H339" s="73" t="e">
        <f t="shared" si="46"/>
        <v>#N/A</v>
      </c>
      <c r="I339" s="73" t="b">
        <f t="shared" si="43"/>
        <v>0</v>
      </c>
      <c r="J339" s="72"/>
      <c r="K339" s="74"/>
      <c r="M339" s="99"/>
      <c r="N339" s="80" t="e">
        <f t="shared" si="45"/>
        <v>#N/A</v>
      </c>
      <c r="O339" s="80" t="e">
        <f t="shared" si="47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44"/>
        <v>#N/A</v>
      </c>
      <c r="H340" s="73" t="e">
        <f t="shared" si="46"/>
        <v>#N/A</v>
      </c>
      <c r="I340" s="73" t="b">
        <f t="shared" si="43"/>
        <v>0</v>
      </c>
      <c r="J340" s="72"/>
      <c r="K340" s="74"/>
      <c r="M340" s="99"/>
      <c r="N340" s="80" t="e">
        <f t="shared" si="45"/>
        <v>#N/A</v>
      </c>
      <c r="O340" s="80" t="e">
        <f t="shared" si="47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44"/>
        <v>#N/A</v>
      </c>
      <c r="H341" s="73" t="e">
        <f t="shared" si="46"/>
        <v>#N/A</v>
      </c>
      <c r="I341" s="73" t="b">
        <f t="shared" si="43"/>
        <v>0</v>
      </c>
      <c r="J341" s="72"/>
      <c r="K341" s="74"/>
      <c r="M341" s="99"/>
      <c r="N341" s="80" t="e">
        <f t="shared" si="45"/>
        <v>#N/A</v>
      </c>
      <c r="O341" s="80" t="e">
        <f t="shared" si="47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44"/>
        <v>#N/A</v>
      </c>
      <c r="H342" s="73" t="e">
        <f t="shared" si="46"/>
        <v>#N/A</v>
      </c>
      <c r="I342" s="73" t="b">
        <f t="shared" si="43"/>
        <v>0</v>
      </c>
      <c r="J342" s="72"/>
      <c r="K342" s="74"/>
      <c r="M342" s="99"/>
      <c r="N342" s="80" t="e">
        <f t="shared" si="45"/>
        <v>#N/A</v>
      </c>
      <c r="O342" s="80" t="e">
        <f t="shared" si="47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44"/>
        <v>#N/A</v>
      </c>
      <c r="H343" s="73" t="e">
        <f t="shared" si="46"/>
        <v>#N/A</v>
      </c>
      <c r="I343" s="73" t="b">
        <f t="shared" si="43"/>
        <v>0</v>
      </c>
      <c r="J343" s="72"/>
      <c r="K343" s="74"/>
      <c r="M343" s="99"/>
      <c r="N343" s="80" t="e">
        <f t="shared" si="45"/>
        <v>#N/A</v>
      </c>
      <c r="O343" s="80" t="e">
        <f t="shared" si="47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44"/>
        <v>#N/A</v>
      </c>
      <c r="H344" s="73" t="e">
        <f t="shared" si="46"/>
        <v>#N/A</v>
      </c>
      <c r="I344" s="73" t="b">
        <f t="shared" si="43"/>
        <v>0</v>
      </c>
      <c r="J344" s="72"/>
      <c r="K344" s="74"/>
      <c r="M344" s="99"/>
      <c r="N344" s="80" t="e">
        <f t="shared" si="45"/>
        <v>#N/A</v>
      </c>
      <c r="O344" s="80" t="e">
        <f t="shared" si="47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44"/>
        <v>#N/A</v>
      </c>
      <c r="H345" s="73" t="e">
        <f t="shared" si="46"/>
        <v>#N/A</v>
      </c>
      <c r="I345" s="73" t="b">
        <f t="shared" si="43"/>
        <v>0</v>
      </c>
      <c r="J345" s="72"/>
      <c r="K345" s="74"/>
      <c r="M345" s="99"/>
      <c r="N345" s="80" t="e">
        <f t="shared" si="45"/>
        <v>#N/A</v>
      </c>
      <c r="O345" s="80" t="e">
        <f t="shared" si="47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44"/>
        <v>#N/A</v>
      </c>
      <c r="H346" s="73" t="e">
        <f t="shared" si="46"/>
        <v>#N/A</v>
      </c>
      <c r="I346" s="73" t="b">
        <f t="shared" si="43"/>
        <v>0</v>
      </c>
      <c r="J346" s="72"/>
      <c r="K346" s="74"/>
      <c r="M346" s="99"/>
      <c r="N346" s="80" t="e">
        <f t="shared" si="45"/>
        <v>#N/A</v>
      </c>
      <c r="O346" s="80" t="e">
        <f t="shared" si="47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44"/>
        <v>#N/A</v>
      </c>
      <c r="H347" s="73" t="e">
        <f t="shared" si="46"/>
        <v>#N/A</v>
      </c>
      <c r="I347" s="73" t="b">
        <f t="shared" si="43"/>
        <v>0</v>
      </c>
      <c r="J347" s="72"/>
      <c r="K347" s="74"/>
      <c r="M347" s="99"/>
      <c r="N347" s="80" t="e">
        <f t="shared" si="45"/>
        <v>#N/A</v>
      </c>
      <c r="O347" s="80" t="e">
        <f t="shared" si="47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44"/>
        <v>#N/A</v>
      </c>
      <c r="H348" s="73" t="e">
        <f t="shared" si="46"/>
        <v>#N/A</v>
      </c>
      <c r="I348" s="73" t="b">
        <f t="shared" si="43"/>
        <v>0</v>
      </c>
      <c r="J348" s="72"/>
      <c r="K348" s="74"/>
      <c r="M348" s="99"/>
      <c r="N348" s="80" t="e">
        <f t="shared" si="45"/>
        <v>#N/A</v>
      </c>
      <c r="O348" s="80" t="e">
        <f t="shared" si="47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44"/>
        <v>#N/A</v>
      </c>
      <c r="H349" s="73" t="e">
        <f t="shared" si="46"/>
        <v>#N/A</v>
      </c>
      <c r="I349" s="73" t="b">
        <f t="shared" si="43"/>
        <v>0</v>
      </c>
      <c r="J349" s="72"/>
      <c r="K349" s="74"/>
      <c r="M349" s="99"/>
      <c r="N349" s="80" t="e">
        <f t="shared" si="45"/>
        <v>#N/A</v>
      </c>
      <c r="O349" s="80" t="e">
        <f t="shared" si="47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44"/>
        <v>#N/A</v>
      </c>
      <c r="H350" s="73" t="e">
        <f t="shared" si="46"/>
        <v>#N/A</v>
      </c>
      <c r="I350" s="73" t="b">
        <f t="shared" si="43"/>
        <v>0</v>
      </c>
      <c r="J350" s="72"/>
      <c r="K350" s="74"/>
      <c r="M350" s="85"/>
      <c r="N350" s="86" t="e">
        <f t="shared" si="45"/>
        <v>#N/A</v>
      </c>
      <c r="O350" s="86" t="e">
        <f t="shared" si="47"/>
        <v>#N/A</v>
      </c>
      <c r="P350" s="104"/>
    </row>
    <row r="351" spans="1:16" ht="15.75" x14ac:dyDescent="0.25">
      <c r="H351" s="88" t="e">
        <f>SUM(H3:H350)</f>
        <v>#N/A</v>
      </c>
      <c r="I351" s="88"/>
      <c r="O351" s="89" t="e">
        <f>SUM(O3:O350)</f>
        <v>#N/A</v>
      </c>
      <c r="P351" s="2"/>
    </row>
    <row r="352" spans="1:16" x14ac:dyDescent="0.25">
      <c r="P352" s="2"/>
    </row>
    <row r="353" spans="16:16" x14ac:dyDescent="0.25">
      <c r="P353" s="2"/>
    </row>
    <row r="354" spans="16:16" x14ac:dyDescent="0.25">
      <c r="P354" s="2"/>
    </row>
    <row r="355" spans="16:16" x14ac:dyDescent="0.25">
      <c r="P355" s="2"/>
    </row>
    <row r="356" spans="16:16" x14ac:dyDescent="0.25">
      <c r="P356" s="2"/>
    </row>
    <row r="357" spans="16:16" x14ac:dyDescent="0.25">
      <c r="P357" s="2"/>
    </row>
    <row r="358" spans="16:16" x14ac:dyDescent="0.25">
      <c r="P358" s="2"/>
    </row>
    <row r="359" spans="16:16" x14ac:dyDescent="0.25">
      <c r="P359" s="2"/>
    </row>
    <row r="360" spans="16:16" x14ac:dyDescent="0.25">
      <c r="P360" s="2"/>
    </row>
    <row r="361" spans="16:16" x14ac:dyDescent="0.25">
      <c r="P361" s="2"/>
    </row>
    <row r="362" spans="16:16" x14ac:dyDescent="0.25">
      <c r="P362" s="2"/>
    </row>
    <row r="363" spans="16:16" x14ac:dyDescent="0.25">
      <c r="P363" s="2"/>
    </row>
    <row r="364" spans="16:16" x14ac:dyDescent="0.25">
      <c r="P364" s="2"/>
    </row>
    <row r="365" spans="16:16" x14ac:dyDescent="0.25">
      <c r="P365" s="2"/>
    </row>
    <row r="366" spans="16:16" x14ac:dyDescent="0.25">
      <c r="P366" s="2"/>
    </row>
    <row r="367" spans="16:16" x14ac:dyDescent="0.25">
      <c r="P367" s="2"/>
    </row>
    <row r="368" spans="16:16" x14ac:dyDescent="0.25">
      <c r="P368" s="2"/>
    </row>
    <row r="369" spans="16:16" x14ac:dyDescent="0.25">
      <c r="P369" s="2"/>
    </row>
    <row r="370" spans="16:16" x14ac:dyDescent="0.25">
      <c r="P370" s="2"/>
    </row>
    <row r="371" spans="16:16" x14ac:dyDescent="0.25">
      <c r="P371" s="2"/>
    </row>
    <row r="372" spans="16:16" x14ac:dyDescent="0.25">
      <c r="P37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5"/>
  <sheetViews>
    <sheetView workbookViewId="0">
      <selection activeCell="D11" sqref="D11"/>
    </sheetView>
  </sheetViews>
  <sheetFormatPr defaultRowHeight="15" x14ac:dyDescent="0.25"/>
  <cols>
    <col min="1" max="1" width="19" bestFit="1" customWidth="1"/>
    <col min="2" max="2" width="15.140625" bestFit="1" customWidth="1"/>
    <col min="3" max="3" width="21.42578125" bestFit="1" customWidth="1"/>
    <col min="4" max="4" width="57.14062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43.7109375" bestFit="1" customWidth="1"/>
    <col min="13" max="13" width="35.8554687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598</v>
      </c>
      <c r="B1" s="53"/>
      <c r="C1" s="53"/>
      <c r="D1" s="53"/>
      <c r="E1" s="53"/>
      <c r="F1" s="54"/>
      <c r="G1" s="54" t="s">
        <v>66</v>
      </c>
      <c r="H1" s="55">
        <f>SUM(H3:H235)</f>
        <v>9799.5</v>
      </c>
      <c r="I1" s="55">
        <f>SUM(I4:I235)</f>
        <v>9613.6413499999944</v>
      </c>
      <c r="J1" s="54"/>
      <c r="K1" s="56"/>
      <c r="M1" s="57"/>
      <c r="N1" s="58"/>
      <c r="O1" s="105">
        <f>SUM(O3:O221)</f>
        <v>1326.65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435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45444</v>
      </c>
      <c r="B3" s="72" t="s">
        <v>264</v>
      </c>
      <c r="C3" s="72" t="s">
        <v>8</v>
      </c>
      <c r="D3" s="72" t="s">
        <v>19</v>
      </c>
      <c r="E3" s="72" t="s">
        <v>82</v>
      </c>
      <c r="F3" s="72">
        <v>1</v>
      </c>
      <c r="G3" s="73">
        <v>35</v>
      </c>
      <c r="H3" s="73">
        <f t="shared" ref="H3:H34" si="0">F3*G3</f>
        <v>35</v>
      </c>
      <c r="I3" s="73">
        <f t="shared" ref="I3:I66" si="1">IF(J3="Cartão de Debito",H3-(H3*$AC$5),IF(J3="Cartão de Credito",H3-(H3*$AC$6), IF(J3="Pix",H3-(H3*$AC$7), IF(J3="Dinheiro (R$)", H3-(H3*$AC$8)))))</f>
        <v>35</v>
      </c>
      <c r="J3" s="72" t="s">
        <v>83</v>
      </c>
      <c r="K3" s="74"/>
      <c r="M3" s="96"/>
      <c r="N3" s="76" t="e">
        <f t="shared" ref="N3:N45" si="2">VLOOKUP(M3,$S$3:$U$64,3,0)</f>
        <v>#N/A</v>
      </c>
      <c r="O3" s="76"/>
      <c r="P3" s="107"/>
      <c r="S3" s="50" t="s">
        <v>18</v>
      </c>
      <c r="T3" s="52">
        <v>40</v>
      </c>
      <c r="U3" s="52">
        <f t="shared" ref="U3:U30" si="3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4">Z3*0.4</f>
        <v>16</v>
      </c>
      <c r="AB3" s="92"/>
    </row>
    <row r="4" spans="1:32" x14ac:dyDescent="0.25">
      <c r="A4" s="95">
        <v>45444</v>
      </c>
      <c r="B4" s="72" t="s">
        <v>479</v>
      </c>
      <c r="C4" s="72" t="s">
        <v>8</v>
      </c>
      <c r="D4" s="72" t="s">
        <v>40</v>
      </c>
      <c r="E4" s="72" t="s">
        <v>82</v>
      </c>
      <c r="F4" s="72">
        <v>1</v>
      </c>
      <c r="G4" s="73">
        <f t="shared" ref="G4:G11" si="5">VLOOKUP(D4,$S$3:$T$45,2,0)</f>
        <v>45</v>
      </c>
      <c r="H4" s="73">
        <f t="shared" si="0"/>
        <v>45</v>
      </c>
      <c r="I4" s="73">
        <f t="shared" si="1"/>
        <v>43.924500000000002</v>
      </c>
      <c r="J4" s="72" t="s">
        <v>78</v>
      </c>
      <c r="K4" s="74"/>
      <c r="M4" s="99"/>
      <c r="N4" s="80" t="e">
        <f t="shared" si="2"/>
        <v>#N/A</v>
      </c>
      <c r="O4" s="76"/>
      <c r="P4" s="103"/>
      <c r="S4" s="50" t="s">
        <v>19</v>
      </c>
      <c r="T4" s="52">
        <v>40</v>
      </c>
      <c r="U4" s="52">
        <f t="shared" si="3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4"/>
        <v>16</v>
      </c>
      <c r="AB4" s="92"/>
    </row>
    <row r="5" spans="1:32" x14ac:dyDescent="0.25">
      <c r="A5" s="95">
        <v>45444</v>
      </c>
      <c r="B5" s="72" t="s">
        <v>537</v>
      </c>
      <c r="C5" s="72" t="s">
        <v>10</v>
      </c>
      <c r="D5" s="72" t="s">
        <v>34</v>
      </c>
      <c r="E5" s="72" t="s">
        <v>56</v>
      </c>
      <c r="F5" s="72">
        <v>1</v>
      </c>
      <c r="G5" s="73">
        <f t="shared" si="5"/>
        <v>10</v>
      </c>
      <c r="H5" s="73">
        <f t="shared" si="0"/>
        <v>10</v>
      </c>
      <c r="I5" s="73">
        <f t="shared" si="1"/>
        <v>10</v>
      </c>
      <c r="J5" s="72" t="s">
        <v>83</v>
      </c>
      <c r="K5" s="74"/>
      <c r="M5" s="99" t="s">
        <v>34</v>
      </c>
      <c r="N5" s="80">
        <f t="shared" si="2"/>
        <v>1</v>
      </c>
      <c r="O5" s="76">
        <f>N5*F5</f>
        <v>1</v>
      </c>
      <c r="P5" s="81" t="s">
        <v>56</v>
      </c>
      <c r="S5" s="50" t="s">
        <v>22</v>
      </c>
      <c r="T5" s="52">
        <v>30</v>
      </c>
      <c r="U5" s="52">
        <f t="shared" si="3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4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45444</v>
      </c>
      <c r="B6" s="72" t="s">
        <v>494</v>
      </c>
      <c r="C6" s="72" t="s">
        <v>8</v>
      </c>
      <c r="D6" s="72" t="s">
        <v>19</v>
      </c>
      <c r="E6" s="72" t="s">
        <v>56</v>
      </c>
      <c r="F6" s="72">
        <v>1</v>
      </c>
      <c r="G6" s="73">
        <f t="shared" si="5"/>
        <v>40</v>
      </c>
      <c r="H6" s="73">
        <f t="shared" si="0"/>
        <v>40</v>
      </c>
      <c r="I6" s="73">
        <f t="shared" si="1"/>
        <v>39.043999999999997</v>
      </c>
      <c r="J6" s="72" t="s">
        <v>78</v>
      </c>
      <c r="K6" s="74"/>
      <c r="M6" s="99" t="s">
        <v>19</v>
      </c>
      <c r="N6" s="80">
        <f t="shared" si="2"/>
        <v>16</v>
      </c>
      <c r="O6" s="76">
        <f>N6*F6</f>
        <v>16</v>
      </c>
      <c r="P6" s="81" t="s">
        <v>56</v>
      </c>
      <c r="S6" s="50" t="s">
        <v>23</v>
      </c>
      <c r="T6" s="52">
        <v>5</v>
      </c>
      <c r="U6" s="52">
        <f t="shared" si="3"/>
        <v>2</v>
      </c>
      <c r="W6" s="90" t="s">
        <v>86</v>
      </c>
      <c r="Y6" s="91" t="s">
        <v>90</v>
      </c>
      <c r="Z6" s="92">
        <v>38.003999999999998</v>
      </c>
      <c r="AA6" s="92">
        <f t="shared" si="4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45444</v>
      </c>
      <c r="B7" s="72" t="s">
        <v>498</v>
      </c>
      <c r="C7" s="72" t="s">
        <v>8</v>
      </c>
      <c r="D7" s="72" t="s">
        <v>13</v>
      </c>
      <c r="E7" s="72" t="s">
        <v>82</v>
      </c>
      <c r="F7" s="72">
        <v>1</v>
      </c>
      <c r="G7" s="73">
        <f t="shared" si="5"/>
        <v>30</v>
      </c>
      <c r="H7" s="73">
        <f t="shared" si="0"/>
        <v>30</v>
      </c>
      <c r="I7" s="73">
        <f t="shared" si="1"/>
        <v>30</v>
      </c>
      <c r="J7" s="72" t="s">
        <v>83</v>
      </c>
      <c r="K7" s="74"/>
      <c r="M7" s="99"/>
      <c r="N7" s="80" t="e">
        <f t="shared" si="2"/>
        <v>#N/A</v>
      </c>
      <c r="O7" s="76"/>
      <c r="P7" s="81"/>
      <c r="S7" s="50" t="s">
        <v>24</v>
      </c>
      <c r="T7" s="52">
        <v>10</v>
      </c>
      <c r="U7" s="52">
        <f t="shared" si="3"/>
        <v>4</v>
      </c>
      <c r="Y7" s="91" t="s">
        <v>93</v>
      </c>
      <c r="Z7" s="92">
        <v>40</v>
      </c>
      <c r="AA7" s="92">
        <f t="shared" si="4"/>
        <v>16</v>
      </c>
      <c r="AB7" s="92"/>
      <c r="AC7" s="91">
        <v>0</v>
      </c>
      <c r="AD7" s="50" t="s">
        <v>83</v>
      </c>
    </row>
    <row r="8" spans="1:32" x14ac:dyDescent="0.25">
      <c r="A8" s="95">
        <v>45444</v>
      </c>
      <c r="B8" s="72" t="s">
        <v>459</v>
      </c>
      <c r="C8" s="72" t="s">
        <v>8</v>
      </c>
      <c r="D8" s="72" t="s">
        <v>18</v>
      </c>
      <c r="E8" s="72" t="s">
        <v>56</v>
      </c>
      <c r="F8" s="72">
        <v>1</v>
      </c>
      <c r="G8" s="73">
        <f t="shared" si="5"/>
        <v>40</v>
      </c>
      <c r="H8" s="73">
        <f t="shared" si="0"/>
        <v>40</v>
      </c>
      <c r="I8" s="73">
        <f t="shared" si="1"/>
        <v>40</v>
      </c>
      <c r="J8" s="72" t="s">
        <v>83</v>
      </c>
      <c r="K8" s="74"/>
      <c r="M8" s="99" t="s">
        <v>18</v>
      </c>
      <c r="N8" s="80">
        <f t="shared" si="2"/>
        <v>16</v>
      </c>
      <c r="O8" s="76">
        <f>N8*F8</f>
        <v>16</v>
      </c>
      <c r="P8" s="81" t="s">
        <v>56</v>
      </c>
      <c r="S8" s="50" t="s">
        <v>21</v>
      </c>
      <c r="T8" s="52">
        <v>10</v>
      </c>
      <c r="U8" s="52">
        <f t="shared" si="3"/>
        <v>4</v>
      </c>
      <c r="Y8" s="91" t="s">
        <v>95</v>
      </c>
      <c r="Z8" s="92">
        <v>40</v>
      </c>
      <c r="AA8" s="92">
        <f t="shared" si="4"/>
        <v>16</v>
      </c>
      <c r="AB8" s="92"/>
      <c r="AC8" s="91">
        <v>0</v>
      </c>
      <c r="AD8" s="50" t="s">
        <v>440</v>
      </c>
    </row>
    <row r="9" spans="1:32" x14ac:dyDescent="0.25">
      <c r="A9" s="95">
        <v>45444</v>
      </c>
      <c r="B9" s="72" t="s">
        <v>526</v>
      </c>
      <c r="C9" s="72" t="s">
        <v>8</v>
      </c>
      <c r="D9" s="72" t="s">
        <v>18</v>
      </c>
      <c r="E9" s="72" t="s">
        <v>56</v>
      </c>
      <c r="F9" s="72">
        <v>1</v>
      </c>
      <c r="G9" s="73">
        <f t="shared" si="5"/>
        <v>40</v>
      </c>
      <c r="H9" s="73">
        <f t="shared" si="0"/>
        <v>40</v>
      </c>
      <c r="I9" s="73">
        <f t="shared" si="1"/>
        <v>40</v>
      </c>
      <c r="J9" s="72" t="s">
        <v>83</v>
      </c>
      <c r="K9" s="74"/>
      <c r="M9" s="99" t="s">
        <v>18</v>
      </c>
      <c r="N9" s="80">
        <f t="shared" si="2"/>
        <v>16</v>
      </c>
      <c r="O9" s="76">
        <f>N9*F9</f>
        <v>16</v>
      </c>
      <c r="P9" s="81" t="s">
        <v>56</v>
      </c>
      <c r="S9" s="50" t="s">
        <v>42</v>
      </c>
      <c r="T9" s="52">
        <v>20</v>
      </c>
      <c r="U9" s="52">
        <f t="shared" si="3"/>
        <v>8</v>
      </c>
      <c r="Y9" s="91" t="s">
        <v>98</v>
      </c>
      <c r="Z9" s="92">
        <v>39.043999999999997</v>
      </c>
      <c r="AA9" s="92">
        <f t="shared" si="4"/>
        <v>15.617599999999999</v>
      </c>
      <c r="AB9" s="92"/>
    </row>
    <row r="10" spans="1:32" x14ac:dyDescent="0.25">
      <c r="A10" s="95">
        <v>45444</v>
      </c>
      <c r="B10" s="72" t="s">
        <v>465</v>
      </c>
      <c r="C10" s="72" t="s">
        <v>9</v>
      </c>
      <c r="D10" s="72" t="s">
        <v>19</v>
      </c>
      <c r="E10" s="72" t="s">
        <v>56</v>
      </c>
      <c r="F10" s="72">
        <v>1</v>
      </c>
      <c r="G10" s="73">
        <f t="shared" si="5"/>
        <v>40</v>
      </c>
      <c r="H10" s="73">
        <f t="shared" si="0"/>
        <v>40</v>
      </c>
      <c r="I10" s="73">
        <f t="shared" si="1"/>
        <v>40</v>
      </c>
      <c r="J10" s="72" t="s">
        <v>83</v>
      </c>
      <c r="K10" s="74"/>
      <c r="M10" s="99" t="s">
        <v>19</v>
      </c>
      <c r="N10" s="80">
        <f t="shared" si="2"/>
        <v>16</v>
      </c>
      <c r="O10" s="76">
        <f>N10*F10</f>
        <v>16</v>
      </c>
      <c r="P10" s="81" t="s">
        <v>56</v>
      </c>
      <c r="S10" s="50" t="s">
        <v>99</v>
      </c>
      <c r="T10" s="52">
        <v>40</v>
      </c>
      <c r="U10" s="52">
        <f t="shared" si="3"/>
        <v>16</v>
      </c>
      <c r="Y10" s="91" t="s">
        <v>100</v>
      </c>
      <c r="Z10" s="92">
        <v>38.003999999999998</v>
      </c>
      <c r="AA10" s="92">
        <f t="shared" si="4"/>
        <v>15.201599999999999</v>
      </c>
      <c r="AB10" s="92"/>
    </row>
    <row r="11" spans="1:32" x14ac:dyDescent="0.25">
      <c r="A11" s="95">
        <v>45444</v>
      </c>
      <c r="B11" s="72" t="s">
        <v>458</v>
      </c>
      <c r="C11" s="72" t="s">
        <v>8</v>
      </c>
      <c r="D11" s="72" t="s">
        <v>18</v>
      </c>
      <c r="E11" s="72" t="s">
        <v>82</v>
      </c>
      <c r="F11" s="72">
        <v>1</v>
      </c>
      <c r="G11" s="73">
        <f t="shared" si="5"/>
        <v>40</v>
      </c>
      <c r="H11" s="73">
        <f t="shared" si="0"/>
        <v>40</v>
      </c>
      <c r="I11" s="73">
        <f t="shared" si="1"/>
        <v>40</v>
      </c>
      <c r="J11" s="72" t="s">
        <v>333</v>
      </c>
      <c r="K11" s="74"/>
      <c r="M11" s="99"/>
      <c r="N11" s="80" t="e">
        <f t="shared" si="2"/>
        <v>#N/A</v>
      </c>
      <c r="O11" s="76"/>
      <c r="P11" s="81"/>
      <c r="S11" s="50" t="s">
        <v>13</v>
      </c>
      <c r="T11" s="52">
        <v>30</v>
      </c>
      <c r="U11" s="52">
        <f t="shared" si="3"/>
        <v>12</v>
      </c>
      <c r="Y11" s="91" t="s">
        <v>102</v>
      </c>
      <c r="Z11" s="92">
        <v>30</v>
      </c>
      <c r="AA11" s="92">
        <f t="shared" si="4"/>
        <v>12</v>
      </c>
      <c r="AB11" s="92"/>
    </row>
    <row r="12" spans="1:32" x14ac:dyDescent="0.25">
      <c r="A12" s="95">
        <v>45444</v>
      </c>
      <c r="B12" s="72" t="s">
        <v>458</v>
      </c>
      <c r="C12" s="72" t="s">
        <v>8</v>
      </c>
      <c r="D12" s="72" t="s">
        <v>48</v>
      </c>
      <c r="E12" s="72" t="s">
        <v>82</v>
      </c>
      <c r="F12" s="72">
        <v>1</v>
      </c>
      <c r="G12" s="73">
        <f>VLOOKUP(D12,$S$3:$T$64,2,0)</f>
        <v>10</v>
      </c>
      <c r="H12" s="73">
        <f t="shared" si="0"/>
        <v>10</v>
      </c>
      <c r="I12" s="73">
        <f t="shared" si="1"/>
        <v>10</v>
      </c>
      <c r="J12" s="72" t="s">
        <v>83</v>
      </c>
      <c r="K12" s="74"/>
      <c r="M12" s="99"/>
      <c r="N12" s="80" t="e">
        <f t="shared" si="2"/>
        <v>#N/A</v>
      </c>
      <c r="O12" s="76"/>
      <c r="P12" s="81"/>
      <c r="S12" s="50" t="s">
        <v>104</v>
      </c>
      <c r="T12" s="52">
        <v>60</v>
      </c>
      <c r="U12" s="52">
        <f t="shared" si="3"/>
        <v>24</v>
      </c>
      <c r="Y12" s="91" t="s">
        <v>105</v>
      </c>
      <c r="Z12" s="92">
        <v>30</v>
      </c>
      <c r="AA12" s="92">
        <f t="shared" si="4"/>
        <v>12</v>
      </c>
      <c r="AB12" s="92"/>
    </row>
    <row r="13" spans="1:32" x14ac:dyDescent="0.25">
      <c r="A13" s="95">
        <v>45444</v>
      </c>
      <c r="B13" s="72" t="s">
        <v>550</v>
      </c>
      <c r="C13" s="72" t="s">
        <v>8</v>
      </c>
      <c r="D13" s="72" t="s">
        <v>18</v>
      </c>
      <c r="E13" s="72" t="s">
        <v>82</v>
      </c>
      <c r="F13" s="72">
        <v>1</v>
      </c>
      <c r="G13" s="73">
        <f t="shared" ref="G13:G18" si="6">VLOOKUP(D13,$S$3:$T$45,2,0)</f>
        <v>40</v>
      </c>
      <c r="H13" s="73">
        <f t="shared" si="0"/>
        <v>40</v>
      </c>
      <c r="I13" s="73">
        <f t="shared" si="1"/>
        <v>38.003999999999998</v>
      </c>
      <c r="J13" s="72" t="s">
        <v>86</v>
      </c>
      <c r="K13" s="74"/>
      <c r="M13" s="99"/>
      <c r="N13" s="80" t="e">
        <f t="shared" si="2"/>
        <v>#N/A</v>
      </c>
      <c r="O13" s="76"/>
      <c r="P13" s="81"/>
      <c r="S13" s="50" t="s">
        <v>106</v>
      </c>
      <c r="T13" s="52">
        <v>15</v>
      </c>
      <c r="U13" s="52">
        <f t="shared" si="3"/>
        <v>6</v>
      </c>
      <c r="Y13" s="91" t="s">
        <v>107</v>
      </c>
      <c r="Z13" s="92">
        <v>29.283000000000001</v>
      </c>
      <c r="AA13" s="92">
        <f t="shared" si="4"/>
        <v>11.713200000000001</v>
      </c>
      <c r="AB13" s="92"/>
    </row>
    <row r="14" spans="1:32" x14ac:dyDescent="0.25">
      <c r="A14" s="95">
        <v>45444</v>
      </c>
      <c r="B14" s="72" t="s">
        <v>550</v>
      </c>
      <c r="C14" s="72" t="s">
        <v>8</v>
      </c>
      <c r="D14" s="72" t="s">
        <v>64</v>
      </c>
      <c r="E14" s="72" t="s">
        <v>82</v>
      </c>
      <c r="F14" s="72">
        <v>1</v>
      </c>
      <c r="G14" s="73">
        <f t="shared" si="6"/>
        <v>30</v>
      </c>
      <c r="H14" s="73">
        <f t="shared" si="0"/>
        <v>30</v>
      </c>
      <c r="I14" s="73">
        <f t="shared" si="1"/>
        <v>29.283000000000001</v>
      </c>
      <c r="J14" s="72" t="s">
        <v>78</v>
      </c>
      <c r="K14" s="74"/>
      <c r="M14" s="99"/>
      <c r="N14" s="80" t="e">
        <f t="shared" si="2"/>
        <v>#N/A</v>
      </c>
      <c r="O14" s="76"/>
      <c r="P14" s="81"/>
      <c r="S14" s="50" t="s">
        <v>15</v>
      </c>
      <c r="T14" s="52">
        <v>70</v>
      </c>
      <c r="U14" s="52">
        <f t="shared" si="3"/>
        <v>28</v>
      </c>
      <c r="Y14" s="91" t="s">
        <v>108</v>
      </c>
      <c r="Z14" s="92">
        <v>28.503</v>
      </c>
      <c r="AA14" s="92">
        <f t="shared" si="4"/>
        <v>11.401200000000001</v>
      </c>
      <c r="AB14" s="92"/>
    </row>
    <row r="15" spans="1:32" x14ac:dyDescent="0.25">
      <c r="A15" s="95">
        <v>45444</v>
      </c>
      <c r="B15" s="72" t="s">
        <v>578</v>
      </c>
      <c r="C15" s="72" t="s">
        <v>8</v>
      </c>
      <c r="D15" s="72" t="s">
        <v>18</v>
      </c>
      <c r="E15" s="72" t="s">
        <v>82</v>
      </c>
      <c r="F15" s="72">
        <v>1</v>
      </c>
      <c r="G15" s="73">
        <f t="shared" si="6"/>
        <v>40</v>
      </c>
      <c r="H15" s="73">
        <f t="shared" si="0"/>
        <v>40</v>
      </c>
      <c r="I15" s="73">
        <f t="shared" si="1"/>
        <v>40</v>
      </c>
      <c r="J15" s="72" t="s">
        <v>83</v>
      </c>
      <c r="K15" s="74"/>
      <c r="M15" s="99"/>
      <c r="N15" s="80" t="e">
        <f t="shared" si="2"/>
        <v>#N/A</v>
      </c>
      <c r="O15" s="76"/>
      <c r="P15" s="81"/>
      <c r="S15" s="50" t="s">
        <v>40</v>
      </c>
      <c r="T15" s="52">
        <v>45</v>
      </c>
      <c r="U15" s="52">
        <f t="shared" si="3"/>
        <v>18</v>
      </c>
      <c r="Y15" s="91" t="s">
        <v>110</v>
      </c>
      <c r="Z15" s="92">
        <v>5</v>
      </c>
      <c r="AA15" s="92">
        <f t="shared" si="4"/>
        <v>2</v>
      </c>
      <c r="AB15" s="92"/>
    </row>
    <row r="16" spans="1:32" x14ac:dyDescent="0.25">
      <c r="A16" s="95">
        <v>45444</v>
      </c>
      <c r="B16" s="72" t="s">
        <v>324</v>
      </c>
      <c r="C16" s="72" t="s">
        <v>8</v>
      </c>
      <c r="D16" s="72" t="s">
        <v>17</v>
      </c>
      <c r="E16" s="72" t="s">
        <v>82</v>
      </c>
      <c r="F16" s="72">
        <v>1</v>
      </c>
      <c r="G16" s="73">
        <f t="shared" si="6"/>
        <v>50</v>
      </c>
      <c r="H16" s="73">
        <f t="shared" si="0"/>
        <v>50</v>
      </c>
      <c r="I16" s="73">
        <f t="shared" si="1"/>
        <v>47.505000000000003</v>
      </c>
      <c r="J16" s="72" t="s">
        <v>86</v>
      </c>
      <c r="K16" s="74"/>
      <c r="M16" s="99"/>
      <c r="N16" s="80" t="e">
        <f t="shared" si="2"/>
        <v>#N/A</v>
      </c>
      <c r="O16" s="76"/>
      <c r="P16" s="81"/>
      <c r="S16" s="50" t="s">
        <v>17</v>
      </c>
      <c r="T16" s="52">
        <v>50</v>
      </c>
      <c r="U16" s="52">
        <f t="shared" si="3"/>
        <v>20</v>
      </c>
      <c r="Y16" s="91" t="s">
        <v>113</v>
      </c>
      <c r="Z16" s="92">
        <v>5</v>
      </c>
      <c r="AA16" s="92">
        <f t="shared" si="4"/>
        <v>2</v>
      </c>
      <c r="AB16" s="92"/>
    </row>
    <row r="17" spans="1:28" x14ac:dyDescent="0.25">
      <c r="A17" s="95">
        <v>45444</v>
      </c>
      <c r="B17" s="72" t="s">
        <v>558</v>
      </c>
      <c r="C17" s="72" t="s">
        <v>8</v>
      </c>
      <c r="D17" s="72" t="s">
        <v>17</v>
      </c>
      <c r="E17" s="72" t="s">
        <v>82</v>
      </c>
      <c r="F17" s="72">
        <v>1</v>
      </c>
      <c r="G17" s="73">
        <f t="shared" si="6"/>
        <v>50</v>
      </c>
      <c r="H17" s="73">
        <f t="shared" si="0"/>
        <v>50</v>
      </c>
      <c r="I17" s="73">
        <f t="shared" si="1"/>
        <v>48.805</v>
      </c>
      <c r="J17" s="72" t="s">
        <v>78</v>
      </c>
      <c r="K17" s="74"/>
      <c r="M17" s="99"/>
      <c r="N17" s="80" t="e">
        <f t="shared" si="2"/>
        <v>#N/A</v>
      </c>
      <c r="O17" s="76"/>
      <c r="P17" s="81"/>
      <c r="S17" s="50" t="s">
        <v>112</v>
      </c>
      <c r="T17" s="52">
        <v>75</v>
      </c>
      <c r="U17" s="52">
        <f t="shared" si="3"/>
        <v>30</v>
      </c>
      <c r="Y17" s="91" t="s">
        <v>115</v>
      </c>
      <c r="Z17" s="92">
        <v>4.8804999999999996</v>
      </c>
      <c r="AA17" s="92">
        <f t="shared" si="4"/>
        <v>1.9521999999999999</v>
      </c>
      <c r="AB17" s="92"/>
    </row>
    <row r="18" spans="1:28" x14ac:dyDescent="0.25">
      <c r="A18" s="95">
        <v>45444</v>
      </c>
      <c r="B18" s="72" t="s">
        <v>511</v>
      </c>
      <c r="C18" s="72" t="s">
        <v>8</v>
      </c>
      <c r="D18" s="72" t="s">
        <v>17</v>
      </c>
      <c r="E18" s="72" t="s">
        <v>82</v>
      </c>
      <c r="F18" s="72">
        <v>1</v>
      </c>
      <c r="G18" s="73">
        <f t="shared" si="6"/>
        <v>50</v>
      </c>
      <c r="H18" s="73">
        <f t="shared" si="0"/>
        <v>50</v>
      </c>
      <c r="I18" s="73">
        <f t="shared" si="1"/>
        <v>47.505000000000003</v>
      </c>
      <c r="J18" s="72" t="s">
        <v>86</v>
      </c>
      <c r="K18" s="74"/>
      <c r="M18" s="99"/>
      <c r="N18" s="80" t="e">
        <f t="shared" si="2"/>
        <v>#N/A</v>
      </c>
      <c r="O18" s="76"/>
      <c r="P18" s="81"/>
      <c r="S18" s="50" t="s">
        <v>14</v>
      </c>
      <c r="T18" s="52">
        <v>55</v>
      </c>
      <c r="U18" s="52">
        <f t="shared" si="3"/>
        <v>22</v>
      </c>
      <c r="Y18" s="91" t="s">
        <v>117</v>
      </c>
      <c r="Z18" s="92">
        <v>4.7504999999999997</v>
      </c>
      <c r="AA18" s="92">
        <f t="shared" si="4"/>
        <v>1.9001999999999999</v>
      </c>
    </row>
    <row r="19" spans="1:28" x14ac:dyDescent="0.25">
      <c r="A19" s="95">
        <v>45444</v>
      </c>
      <c r="B19" s="72" t="s">
        <v>599</v>
      </c>
      <c r="C19" s="72" t="s">
        <v>8</v>
      </c>
      <c r="D19" s="72" t="s">
        <v>48</v>
      </c>
      <c r="E19" s="72" t="s">
        <v>56</v>
      </c>
      <c r="F19" s="72">
        <v>2</v>
      </c>
      <c r="G19" s="73">
        <f t="shared" ref="G19:G65" si="7">VLOOKUP(D19,$S$3:$T$64,2,0)</f>
        <v>10</v>
      </c>
      <c r="H19" s="73">
        <f t="shared" si="0"/>
        <v>20</v>
      </c>
      <c r="I19" s="73">
        <f t="shared" si="1"/>
        <v>20</v>
      </c>
      <c r="J19" s="72" t="s">
        <v>83</v>
      </c>
      <c r="K19" s="74"/>
      <c r="M19" s="99" t="s">
        <v>48</v>
      </c>
      <c r="N19" s="80">
        <f t="shared" si="2"/>
        <v>1</v>
      </c>
      <c r="O19" s="76">
        <f>N19*F19</f>
        <v>2</v>
      </c>
      <c r="P19" s="81" t="s">
        <v>56</v>
      </c>
      <c r="S19" s="50" t="s">
        <v>58</v>
      </c>
      <c r="T19" s="52">
        <v>100</v>
      </c>
      <c r="U19" s="52">
        <f t="shared" si="3"/>
        <v>40</v>
      </c>
      <c r="Y19" s="91" t="s">
        <v>119</v>
      </c>
      <c r="Z19" s="92">
        <v>10</v>
      </c>
      <c r="AA19" s="92">
        <f t="shared" si="4"/>
        <v>4</v>
      </c>
    </row>
    <row r="20" spans="1:28" x14ac:dyDescent="0.25">
      <c r="A20" s="95">
        <v>45444</v>
      </c>
      <c r="B20" s="72" t="s">
        <v>599</v>
      </c>
      <c r="C20" s="72" t="s">
        <v>8</v>
      </c>
      <c r="D20" s="72" t="s">
        <v>41</v>
      </c>
      <c r="E20" s="72" t="s">
        <v>56</v>
      </c>
      <c r="F20" s="72">
        <v>1</v>
      </c>
      <c r="G20" s="73">
        <f t="shared" si="7"/>
        <v>7</v>
      </c>
      <c r="H20" s="73">
        <f t="shared" si="0"/>
        <v>7</v>
      </c>
      <c r="I20" s="73">
        <f t="shared" si="1"/>
        <v>7</v>
      </c>
      <c r="J20" s="72" t="s">
        <v>83</v>
      </c>
      <c r="K20" s="74"/>
      <c r="M20" s="99" t="s">
        <v>41</v>
      </c>
      <c r="N20" s="80">
        <f t="shared" si="2"/>
        <v>0.70000000000000007</v>
      </c>
      <c r="O20" s="76">
        <f>N20*F20</f>
        <v>0.70000000000000007</v>
      </c>
      <c r="P20" s="81" t="s">
        <v>56</v>
      </c>
      <c r="S20" s="50" t="s">
        <v>30</v>
      </c>
      <c r="T20" s="52">
        <v>90</v>
      </c>
      <c r="U20" s="52">
        <f t="shared" si="3"/>
        <v>36</v>
      </c>
      <c r="Y20" s="91" t="s">
        <v>122</v>
      </c>
      <c r="Z20" s="92">
        <v>10</v>
      </c>
      <c r="AA20" s="92">
        <f t="shared" si="4"/>
        <v>4</v>
      </c>
    </row>
    <row r="21" spans="1:28" x14ac:dyDescent="0.25">
      <c r="A21" s="95">
        <v>45444</v>
      </c>
      <c r="B21" s="72" t="s">
        <v>511</v>
      </c>
      <c r="C21" s="72" t="s">
        <v>8</v>
      </c>
      <c r="D21" s="72" t="s">
        <v>600</v>
      </c>
      <c r="E21" s="72" t="s">
        <v>56</v>
      </c>
      <c r="F21" s="72">
        <v>1</v>
      </c>
      <c r="G21" s="73">
        <f t="shared" si="7"/>
        <v>50</v>
      </c>
      <c r="H21" s="73">
        <f t="shared" si="0"/>
        <v>50</v>
      </c>
      <c r="I21" s="73">
        <f t="shared" si="1"/>
        <v>47.505000000000003</v>
      </c>
      <c r="J21" s="72" t="s">
        <v>86</v>
      </c>
      <c r="K21" s="74"/>
      <c r="M21" s="99" t="s">
        <v>600</v>
      </c>
      <c r="N21" s="80">
        <f t="shared" si="2"/>
        <v>20</v>
      </c>
      <c r="O21" s="76">
        <f>N21*F21</f>
        <v>20</v>
      </c>
      <c r="P21" s="81" t="s">
        <v>56</v>
      </c>
      <c r="S21" s="50" t="s">
        <v>447</v>
      </c>
      <c r="T21" s="52">
        <v>180</v>
      </c>
      <c r="U21" s="52">
        <f t="shared" si="3"/>
        <v>72</v>
      </c>
      <c r="Y21" s="91" t="s">
        <v>123</v>
      </c>
      <c r="Z21" s="92">
        <v>9.7609999999999992</v>
      </c>
      <c r="AA21" s="92">
        <f t="shared" si="4"/>
        <v>3.9043999999999999</v>
      </c>
    </row>
    <row r="22" spans="1:28" x14ac:dyDescent="0.25">
      <c r="A22" s="95">
        <v>45444</v>
      </c>
      <c r="B22" s="72" t="s">
        <v>601</v>
      </c>
      <c r="C22" s="72" t="s">
        <v>10</v>
      </c>
      <c r="D22" s="72" t="s">
        <v>16</v>
      </c>
      <c r="E22" s="72" t="s">
        <v>56</v>
      </c>
      <c r="F22" s="72">
        <v>1</v>
      </c>
      <c r="G22" s="73">
        <f t="shared" si="7"/>
        <v>80</v>
      </c>
      <c r="H22" s="73">
        <f t="shared" si="0"/>
        <v>80</v>
      </c>
      <c r="I22" s="73">
        <f t="shared" si="1"/>
        <v>78.087999999999994</v>
      </c>
      <c r="J22" s="72" t="s">
        <v>78</v>
      </c>
      <c r="K22" s="74"/>
      <c r="M22" s="99" t="s">
        <v>16</v>
      </c>
      <c r="N22" s="80">
        <f t="shared" si="2"/>
        <v>32</v>
      </c>
      <c r="O22" s="76">
        <f>N22*F22</f>
        <v>32</v>
      </c>
      <c r="P22" s="81" t="s">
        <v>56</v>
      </c>
      <c r="S22" s="50" t="s">
        <v>43</v>
      </c>
      <c r="T22" s="52">
        <v>130</v>
      </c>
      <c r="U22" s="52">
        <f t="shared" si="3"/>
        <v>52</v>
      </c>
      <c r="Y22" s="91" t="s">
        <v>125</v>
      </c>
      <c r="Z22" s="92">
        <v>9.5009999999999994</v>
      </c>
      <c r="AA22" s="92">
        <f t="shared" si="4"/>
        <v>3.8003999999999998</v>
      </c>
      <c r="AB22" s="92"/>
    </row>
    <row r="23" spans="1:28" x14ac:dyDescent="0.25">
      <c r="A23" s="95">
        <v>45444</v>
      </c>
      <c r="B23" s="72" t="s">
        <v>601</v>
      </c>
      <c r="C23" s="72" t="s">
        <v>10</v>
      </c>
      <c r="D23" s="72" t="s">
        <v>48</v>
      </c>
      <c r="E23" s="72" t="s">
        <v>56</v>
      </c>
      <c r="F23" s="72">
        <v>3</v>
      </c>
      <c r="G23" s="73">
        <f t="shared" si="7"/>
        <v>10</v>
      </c>
      <c r="H23" s="73">
        <f t="shared" si="0"/>
        <v>30</v>
      </c>
      <c r="I23" s="73">
        <f t="shared" si="1"/>
        <v>29.283000000000001</v>
      </c>
      <c r="J23" s="72" t="s">
        <v>78</v>
      </c>
      <c r="K23" s="74"/>
      <c r="M23" s="99" t="s">
        <v>48</v>
      </c>
      <c r="N23" s="80">
        <f t="shared" si="2"/>
        <v>1</v>
      </c>
      <c r="O23" s="76">
        <f>N23*F23</f>
        <v>3</v>
      </c>
      <c r="P23" s="81" t="s">
        <v>56</v>
      </c>
      <c r="S23" s="50" t="s">
        <v>449</v>
      </c>
      <c r="T23" s="52">
        <v>240</v>
      </c>
      <c r="U23" s="52">
        <f t="shared" si="3"/>
        <v>96</v>
      </c>
      <c r="Y23" s="91" t="s">
        <v>126</v>
      </c>
      <c r="Z23" s="92">
        <v>10</v>
      </c>
      <c r="AA23" s="92">
        <f t="shared" si="4"/>
        <v>4</v>
      </c>
      <c r="AB23" s="92"/>
    </row>
    <row r="24" spans="1:28" x14ac:dyDescent="0.25">
      <c r="A24" s="95">
        <v>45447</v>
      </c>
      <c r="B24" s="72" t="s">
        <v>552</v>
      </c>
      <c r="C24" s="72" t="s">
        <v>8</v>
      </c>
      <c r="D24" s="72" t="s">
        <v>22</v>
      </c>
      <c r="E24" s="72" t="s">
        <v>82</v>
      </c>
      <c r="F24" s="72">
        <v>1</v>
      </c>
      <c r="G24" s="73">
        <f t="shared" si="7"/>
        <v>30</v>
      </c>
      <c r="H24" s="73">
        <f t="shared" si="0"/>
        <v>30</v>
      </c>
      <c r="I24" s="73">
        <f t="shared" si="1"/>
        <v>30</v>
      </c>
      <c r="J24" s="72" t="s">
        <v>83</v>
      </c>
      <c r="K24" s="74"/>
      <c r="M24" s="99"/>
      <c r="N24" s="80" t="e">
        <f t="shared" si="2"/>
        <v>#N/A</v>
      </c>
      <c r="O24" s="76"/>
      <c r="P24" s="81"/>
      <c r="S24" s="50" t="s">
        <v>16</v>
      </c>
      <c r="T24" s="52">
        <v>80</v>
      </c>
      <c r="U24" s="52">
        <f t="shared" si="3"/>
        <v>32</v>
      </c>
      <c r="Y24" s="91" t="s">
        <v>128</v>
      </c>
      <c r="Z24" s="92">
        <v>10</v>
      </c>
      <c r="AA24" s="92">
        <f t="shared" si="4"/>
        <v>4</v>
      </c>
    </row>
    <row r="25" spans="1:28" x14ac:dyDescent="0.25">
      <c r="A25" s="95">
        <v>45447</v>
      </c>
      <c r="B25" s="72" t="s">
        <v>266</v>
      </c>
      <c r="C25" s="72" t="s">
        <v>96</v>
      </c>
      <c r="D25" s="72" t="s">
        <v>18</v>
      </c>
      <c r="E25" s="72" t="s">
        <v>82</v>
      </c>
      <c r="F25" s="72">
        <v>1</v>
      </c>
      <c r="G25" s="73">
        <f t="shared" si="7"/>
        <v>40</v>
      </c>
      <c r="H25" s="73">
        <f t="shared" si="0"/>
        <v>40</v>
      </c>
      <c r="I25" s="73">
        <f t="shared" si="1"/>
        <v>40</v>
      </c>
      <c r="J25" s="72" t="s">
        <v>83</v>
      </c>
      <c r="K25" s="74"/>
      <c r="M25" s="99"/>
      <c r="N25" s="80" t="e">
        <f t="shared" si="2"/>
        <v>#N/A</v>
      </c>
      <c r="O25" s="76"/>
      <c r="P25" s="81"/>
      <c r="S25" s="50" t="s">
        <v>121</v>
      </c>
      <c r="T25" s="52">
        <v>130</v>
      </c>
      <c r="U25" s="52">
        <f t="shared" si="3"/>
        <v>52</v>
      </c>
      <c r="Y25" s="91" t="s">
        <v>130</v>
      </c>
      <c r="Z25" s="92">
        <v>9.7609999999999992</v>
      </c>
      <c r="AA25" s="92">
        <f t="shared" si="4"/>
        <v>3.9043999999999999</v>
      </c>
    </row>
    <row r="26" spans="1:28" x14ac:dyDescent="0.25">
      <c r="A26" s="95">
        <v>45447</v>
      </c>
      <c r="B26" s="72" t="s">
        <v>602</v>
      </c>
      <c r="C26" s="72" t="s">
        <v>10</v>
      </c>
      <c r="D26" s="72" t="s">
        <v>18</v>
      </c>
      <c r="E26" s="72" t="s">
        <v>56</v>
      </c>
      <c r="F26" s="72">
        <v>1</v>
      </c>
      <c r="G26" s="73">
        <f t="shared" si="7"/>
        <v>40</v>
      </c>
      <c r="H26" s="73">
        <f t="shared" si="0"/>
        <v>40</v>
      </c>
      <c r="I26" s="73">
        <f t="shared" si="1"/>
        <v>40</v>
      </c>
      <c r="J26" s="72" t="s">
        <v>83</v>
      </c>
      <c r="K26" s="74"/>
      <c r="M26" s="99" t="s">
        <v>18</v>
      </c>
      <c r="N26" s="80">
        <f t="shared" si="2"/>
        <v>16</v>
      </c>
      <c r="O26" s="76">
        <f>N26*F26</f>
        <v>16</v>
      </c>
      <c r="P26" s="81" t="s">
        <v>56</v>
      </c>
      <c r="S26" s="50" t="s">
        <v>60</v>
      </c>
      <c r="T26" s="52">
        <v>90</v>
      </c>
      <c r="U26" s="52">
        <f t="shared" si="3"/>
        <v>36</v>
      </c>
      <c r="Y26" s="91" t="s">
        <v>132</v>
      </c>
      <c r="Z26" s="92">
        <v>9.5009999999999994</v>
      </c>
      <c r="AA26" s="92">
        <f t="shared" si="4"/>
        <v>3.8003999999999998</v>
      </c>
    </row>
    <row r="27" spans="1:28" x14ac:dyDescent="0.25">
      <c r="A27" s="95">
        <v>45447</v>
      </c>
      <c r="B27" s="72" t="s">
        <v>602</v>
      </c>
      <c r="C27" s="72" t="s">
        <v>10</v>
      </c>
      <c r="D27" s="72" t="s">
        <v>603</v>
      </c>
      <c r="E27" s="72" t="s">
        <v>56</v>
      </c>
      <c r="F27" s="72">
        <v>1</v>
      </c>
      <c r="G27" s="73">
        <f t="shared" si="7"/>
        <v>35</v>
      </c>
      <c r="H27" s="73">
        <f t="shared" si="0"/>
        <v>35</v>
      </c>
      <c r="I27" s="73">
        <f t="shared" si="1"/>
        <v>35</v>
      </c>
      <c r="J27" s="72" t="s">
        <v>83</v>
      </c>
      <c r="K27" s="74"/>
      <c r="M27" s="99" t="s">
        <v>603</v>
      </c>
      <c r="N27" s="80">
        <f t="shared" si="2"/>
        <v>3.5</v>
      </c>
      <c r="O27" s="76">
        <f>N27*F27</f>
        <v>3.5</v>
      </c>
      <c r="P27" s="81" t="s">
        <v>56</v>
      </c>
      <c r="S27" s="50" t="s">
        <v>600</v>
      </c>
      <c r="T27" s="52">
        <v>50</v>
      </c>
      <c r="U27" s="52">
        <f t="shared" si="3"/>
        <v>20</v>
      </c>
      <c r="Y27" s="91" t="s">
        <v>134</v>
      </c>
      <c r="Z27" s="92">
        <v>20</v>
      </c>
      <c r="AA27" s="92">
        <f t="shared" si="4"/>
        <v>8</v>
      </c>
    </row>
    <row r="28" spans="1:28" x14ac:dyDescent="0.25">
      <c r="A28" s="95">
        <v>45447</v>
      </c>
      <c r="B28" s="72" t="s">
        <v>561</v>
      </c>
      <c r="C28" s="72" t="s">
        <v>8</v>
      </c>
      <c r="D28" s="72" t="s">
        <v>18</v>
      </c>
      <c r="E28" s="72" t="s">
        <v>82</v>
      </c>
      <c r="F28" s="72">
        <v>1</v>
      </c>
      <c r="G28" s="73">
        <f t="shared" si="7"/>
        <v>40</v>
      </c>
      <c r="H28" s="73">
        <f t="shared" si="0"/>
        <v>40</v>
      </c>
      <c r="I28" s="73">
        <f t="shared" si="1"/>
        <v>40</v>
      </c>
      <c r="J28" s="72" t="s">
        <v>333</v>
      </c>
      <c r="K28" s="74"/>
      <c r="M28" s="99"/>
      <c r="N28" s="80" t="e">
        <f t="shared" si="2"/>
        <v>#N/A</v>
      </c>
      <c r="O28" s="76"/>
      <c r="P28" s="81"/>
      <c r="S28" s="50" t="s">
        <v>20</v>
      </c>
      <c r="T28" s="52">
        <v>15</v>
      </c>
      <c r="U28" s="52">
        <f t="shared" si="3"/>
        <v>6</v>
      </c>
      <c r="Y28" s="91" t="s">
        <v>136</v>
      </c>
      <c r="Z28" s="92">
        <v>20</v>
      </c>
      <c r="AA28" s="92">
        <f t="shared" si="4"/>
        <v>8</v>
      </c>
      <c r="AB28" s="92"/>
    </row>
    <row r="29" spans="1:28" x14ac:dyDescent="0.25">
      <c r="A29" s="95">
        <v>45447</v>
      </c>
      <c r="B29" s="72" t="s">
        <v>200</v>
      </c>
      <c r="C29" s="72" t="s">
        <v>8</v>
      </c>
      <c r="D29" s="72" t="s">
        <v>17</v>
      </c>
      <c r="E29" s="72" t="s">
        <v>82</v>
      </c>
      <c r="F29" s="72">
        <v>1</v>
      </c>
      <c r="G29" s="73">
        <f t="shared" si="7"/>
        <v>50</v>
      </c>
      <c r="H29" s="73">
        <f t="shared" si="0"/>
        <v>50</v>
      </c>
      <c r="I29" s="73">
        <f t="shared" si="1"/>
        <v>48.805</v>
      </c>
      <c r="J29" s="72" t="s">
        <v>78</v>
      </c>
      <c r="K29" s="74"/>
      <c r="M29" s="99"/>
      <c r="N29" s="80" t="e">
        <f t="shared" si="2"/>
        <v>#N/A</v>
      </c>
      <c r="O29" s="76"/>
      <c r="P29" s="81"/>
      <c r="S29" s="50" t="s">
        <v>31</v>
      </c>
      <c r="T29" s="52">
        <v>15</v>
      </c>
      <c r="U29" s="52">
        <f t="shared" si="3"/>
        <v>6</v>
      </c>
      <c r="Y29" s="91" t="s">
        <v>137</v>
      </c>
      <c r="Z29" s="92">
        <v>19.521999999999998</v>
      </c>
      <c r="AA29" s="92">
        <f t="shared" si="4"/>
        <v>7.8087999999999997</v>
      </c>
      <c r="AB29" s="92"/>
    </row>
    <row r="30" spans="1:28" x14ac:dyDescent="0.25">
      <c r="A30" s="95">
        <v>45447</v>
      </c>
      <c r="B30" s="72" t="s">
        <v>604</v>
      </c>
      <c r="C30" s="72" t="s">
        <v>8</v>
      </c>
      <c r="D30" s="72" t="s">
        <v>18</v>
      </c>
      <c r="E30" s="72" t="s">
        <v>82</v>
      </c>
      <c r="F30" s="72">
        <v>1</v>
      </c>
      <c r="G30" s="73">
        <f t="shared" si="7"/>
        <v>40</v>
      </c>
      <c r="H30" s="73">
        <f t="shared" si="0"/>
        <v>40</v>
      </c>
      <c r="I30" s="73">
        <f t="shared" si="1"/>
        <v>40</v>
      </c>
      <c r="J30" s="72" t="s">
        <v>333</v>
      </c>
      <c r="K30" s="74"/>
      <c r="M30" s="99"/>
      <c r="N30" s="80" t="e">
        <f t="shared" si="2"/>
        <v>#N/A</v>
      </c>
      <c r="O30" s="76"/>
      <c r="P30" s="81"/>
      <c r="S30" s="50" t="s">
        <v>25</v>
      </c>
      <c r="T30" s="52">
        <v>30</v>
      </c>
      <c r="U30" s="52">
        <f t="shared" si="3"/>
        <v>12</v>
      </c>
      <c r="Y30" s="91" t="s">
        <v>139</v>
      </c>
      <c r="Z30" s="92">
        <v>19.001999999999999</v>
      </c>
      <c r="AA30" s="92">
        <f t="shared" si="4"/>
        <v>7.6007999999999996</v>
      </c>
      <c r="AB30" s="92"/>
    </row>
    <row r="31" spans="1:28" x14ac:dyDescent="0.25">
      <c r="A31" s="95">
        <v>45447</v>
      </c>
      <c r="B31" s="72" t="s">
        <v>276</v>
      </c>
      <c r="C31" s="72" t="s">
        <v>8</v>
      </c>
      <c r="D31" s="72" t="s">
        <v>40</v>
      </c>
      <c r="E31" s="72" t="s">
        <v>82</v>
      </c>
      <c r="F31" s="72">
        <v>1</v>
      </c>
      <c r="G31" s="73">
        <f t="shared" si="7"/>
        <v>45</v>
      </c>
      <c r="H31" s="73">
        <f t="shared" si="0"/>
        <v>45</v>
      </c>
      <c r="I31" s="73">
        <f t="shared" si="1"/>
        <v>42.7545</v>
      </c>
      <c r="J31" s="72" t="s">
        <v>86</v>
      </c>
      <c r="K31" s="74"/>
      <c r="M31" s="99"/>
      <c r="N31" s="80" t="e">
        <f t="shared" si="2"/>
        <v>#N/A</v>
      </c>
      <c r="O31" s="76"/>
      <c r="P31" s="81"/>
      <c r="S31" s="50" t="s">
        <v>131</v>
      </c>
      <c r="T31" s="52">
        <v>30</v>
      </c>
      <c r="U31" s="52">
        <f t="shared" ref="U31:U64" si="8">T31*0.1</f>
        <v>3</v>
      </c>
      <c r="Y31" s="91" t="s">
        <v>141</v>
      </c>
      <c r="Z31" s="92">
        <v>40</v>
      </c>
      <c r="AA31" s="92">
        <f t="shared" si="4"/>
        <v>16</v>
      </c>
    </row>
    <row r="32" spans="1:28" x14ac:dyDescent="0.25">
      <c r="A32" s="95">
        <v>45447</v>
      </c>
      <c r="B32" s="72" t="s">
        <v>204</v>
      </c>
      <c r="C32" s="72" t="s">
        <v>8</v>
      </c>
      <c r="D32" s="72" t="s">
        <v>17</v>
      </c>
      <c r="E32" s="72" t="s">
        <v>82</v>
      </c>
      <c r="F32" s="72">
        <v>1</v>
      </c>
      <c r="G32" s="73">
        <f t="shared" si="7"/>
        <v>50</v>
      </c>
      <c r="H32" s="73">
        <f t="shared" si="0"/>
        <v>50</v>
      </c>
      <c r="I32" s="73">
        <f t="shared" si="1"/>
        <v>50</v>
      </c>
      <c r="J32" s="72" t="s">
        <v>79</v>
      </c>
      <c r="K32" s="74"/>
      <c r="M32" s="99"/>
      <c r="N32" s="80" t="e">
        <f t="shared" si="2"/>
        <v>#N/A</v>
      </c>
      <c r="O32" s="76"/>
      <c r="P32" s="81"/>
      <c r="S32" s="50" t="s">
        <v>64</v>
      </c>
      <c r="T32" s="52">
        <v>30</v>
      </c>
      <c r="U32" s="52">
        <f t="shared" si="8"/>
        <v>3</v>
      </c>
      <c r="Y32" s="91" t="s">
        <v>144</v>
      </c>
      <c r="Z32" s="92">
        <v>40</v>
      </c>
      <c r="AA32" s="92">
        <f t="shared" si="4"/>
        <v>16</v>
      </c>
    </row>
    <row r="33" spans="1:27" x14ac:dyDescent="0.25">
      <c r="A33" s="95">
        <v>45448</v>
      </c>
      <c r="B33" s="72" t="s">
        <v>605</v>
      </c>
      <c r="C33" s="72" t="s">
        <v>10</v>
      </c>
      <c r="D33" s="72" t="s">
        <v>18</v>
      </c>
      <c r="E33" s="72" t="s">
        <v>56</v>
      </c>
      <c r="F33" s="72">
        <v>1</v>
      </c>
      <c r="G33" s="73">
        <f t="shared" si="7"/>
        <v>40</v>
      </c>
      <c r="H33" s="73">
        <f t="shared" si="0"/>
        <v>40</v>
      </c>
      <c r="I33" s="73">
        <f t="shared" si="1"/>
        <v>40</v>
      </c>
      <c r="J33" s="72" t="s">
        <v>83</v>
      </c>
      <c r="K33" s="74"/>
      <c r="M33" s="99" t="s">
        <v>18</v>
      </c>
      <c r="N33" s="80">
        <f t="shared" si="2"/>
        <v>16</v>
      </c>
      <c r="O33" s="76">
        <f>N33*F33</f>
        <v>16</v>
      </c>
      <c r="P33" s="81" t="s">
        <v>56</v>
      </c>
      <c r="S33" s="50" t="s">
        <v>97</v>
      </c>
      <c r="T33" s="52">
        <v>30</v>
      </c>
      <c r="U33" s="52">
        <f t="shared" si="8"/>
        <v>3</v>
      </c>
      <c r="Y33" s="91" t="s">
        <v>146</v>
      </c>
      <c r="Z33" s="92">
        <v>39.043999999999997</v>
      </c>
      <c r="AA33" s="92">
        <f t="shared" si="4"/>
        <v>15.617599999999999</v>
      </c>
    </row>
    <row r="34" spans="1:27" x14ac:dyDescent="0.25">
      <c r="A34" s="95">
        <v>45448</v>
      </c>
      <c r="B34" s="72" t="s">
        <v>606</v>
      </c>
      <c r="C34" s="72" t="s">
        <v>10</v>
      </c>
      <c r="D34" s="72" t="s">
        <v>18</v>
      </c>
      <c r="E34" s="72" t="s">
        <v>56</v>
      </c>
      <c r="F34" s="72">
        <v>1</v>
      </c>
      <c r="G34" s="73">
        <f t="shared" si="7"/>
        <v>40</v>
      </c>
      <c r="H34" s="73">
        <f t="shared" si="0"/>
        <v>40</v>
      </c>
      <c r="I34" s="73">
        <f t="shared" si="1"/>
        <v>39.043999999999997</v>
      </c>
      <c r="J34" s="72" t="s">
        <v>78</v>
      </c>
      <c r="K34" s="74"/>
      <c r="M34" s="99" t="s">
        <v>18</v>
      </c>
      <c r="N34" s="80">
        <f t="shared" si="2"/>
        <v>16</v>
      </c>
      <c r="O34" s="76">
        <f>N34*F34</f>
        <v>16</v>
      </c>
      <c r="P34" s="81" t="s">
        <v>56</v>
      </c>
      <c r="S34" s="50" t="s">
        <v>603</v>
      </c>
      <c r="T34" s="52">
        <v>35</v>
      </c>
      <c r="U34" s="52">
        <f t="shared" si="8"/>
        <v>3.5</v>
      </c>
      <c r="Y34" s="91" t="s">
        <v>148</v>
      </c>
      <c r="Z34" s="92">
        <v>38.003999999999998</v>
      </c>
      <c r="AA34" s="92">
        <f t="shared" si="4"/>
        <v>15.201599999999999</v>
      </c>
    </row>
    <row r="35" spans="1:27" x14ac:dyDescent="0.25">
      <c r="A35" s="95">
        <v>45448</v>
      </c>
      <c r="B35" s="72" t="s">
        <v>344</v>
      </c>
      <c r="C35" s="72" t="s">
        <v>8</v>
      </c>
      <c r="D35" s="72" t="s">
        <v>18</v>
      </c>
      <c r="E35" s="72" t="s">
        <v>56</v>
      </c>
      <c r="F35" s="72">
        <v>1</v>
      </c>
      <c r="G35" s="73">
        <f t="shared" si="7"/>
        <v>40</v>
      </c>
      <c r="H35" s="73">
        <f t="shared" ref="H35:H66" si="9">F35*G35</f>
        <v>40</v>
      </c>
      <c r="I35" s="73">
        <f t="shared" si="1"/>
        <v>38.003999999999998</v>
      </c>
      <c r="J35" s="72" t="s">
        <v>86</v>
      </c>
      <c r="K35" s="74"/>
      <c r="M35" s="99" t="s">
        <v>18</v>
      </c>
      <c r="N35" s="80">
        <f t="shared" si="2"/>
        <v>16</v>
      </c>
      <c r="O35" s="76">
        <f>N35*F35</f>
        <v>16</v>
      </c>
      <c r="P35" s="81" t="s">
        <v>56</v>
      </c>
      <c r="S35" s="50" t="s">
        <v>607</v>
      </c>
      <c r="T35" s="52">
        <v>35</v>
      </c>
      <c r="U35" s="52">
        <f t="shared" si="8"/>
        <v>3.5</v>
      </c>
      <c r="Y35" s="91" t="s">
        <v>150</v>
      </c>
      <c r="Z35" s="92">
        <v>30</v>
      </c>
      <c r="AA35" s="92">
        <f t="shared" ref="AA35:AA66" si="10">Z35*0.4</f>
        <v>12</v>
      </c>
    </row>
    <row r="36" spans="1:27" x14ac:dyDescent="0.25">
      <c r="A36" s="95">
        <v>45448</v>
      </c>
      <c r="B36" s="72" t="s">
        <v>289</v>
      </c>
      <c r="C36" s="72" t="s">
        <v>8</v>
      </c>
      <c r="D36" s="72" t="s">
        <v>15</v>
      </c>
      <c r="E36" s="72" t="s">
        <v>82</v>
      </c>
      <c r="F36" s="72">
        <v>1</v>
      </c>
      <c r="G36" s="73">
        <f t="shared" si="7"/>
        <v>70</v>
      </c>
      <c r="H36" s="73">
        <f t="shared" si="9"/>
        <v>70</v>
      </c>
      <c r="I36" s="73">
        <f t="shared" si="1"/>
        <v>68.326999999999998</v>
      </c>
      <c r="J36" s="72" t="s">
        <v>78</v>
      </c>
      <c r="K36" s="74"/>
      <c r="M36" s="99"/>
      <c r="N36" s="80" t="e">
        <f t="shared" si="2"/>
        <v>#N/A</v>
      </c>
      <c r="O36" s="76"/>
      <c r="P36" s="81"/>
      <c r="S36" s="50" t="s">
        <v>608</v>
      </c>
      <c r="T36" s="52">
        <v>35</v>
      </c>
      <c r="U36" s="52">
        <f t="shared" si="8"/>
        <v>3.5</v>
      </c>
      <c r="Y36" s="91" t="s">
        <v>153</v>
      </c>
      <c r="Z36" s="92">
        <v>30</v>
      </c>
      <c r="AA36" s="92">
        <f t="shared" si="10"/>
        <v>12</v>
      </c>
    </row>
    <row r="37" spans="1:27" x14ac:dyDescent="0.25">
      <c r="A37" s="95">
        <v>45448</v>
      </c>
      <c r="B37" s="72" t="s">
        <v>609</v>
      </c>
      <c r="C37" s="72" t="s">
        <v>8</v>
      </c>
      <c r="D37" s="72" t="s">
        <v>16</v>
      </c>
      <c r="E37" s="72" t="s">
        <v>82</v>
      </c>
      <c r="F37" s="72">
        <v>1</v>
      </c>
      <c r="G37" s="73">
        <f t="shared" si="7"/>
        <v>80</v>
      </c>
      <c r="H37" s="73">
        <f t="shared" si="9"/>
        <v>80</v>
      </c>
      <c r="I37" s="73">
        <f t="shared" si="1"/>
        <v>80</v>
      </c>
      <c r="J37" s="72" t="s">
        <v>83</v>
      </c>
      <c r="K37" s="74"/>
      <c r="M37" s="99"/>
      <c r="N37" s="80" t="e">
        <f t="shared" si="2"/>
        <v>#N/A</v>
      </c>
      <c r="O37" s="76"/>
      <c r="P37" s="81"/>
      <c r="S37" s="50" t="s">
        <v>39</v>
      </c>
      <c r="T37" s="52">
        <v>10</v>
      </c>
      <c r="U37" s="52">
        <f t="shared" si="8"/>
        <v>1</v>
      </c>
      <c r="Y37" s="91" t="s">
        <v>154</v>
      </c>
      <c r="Z37" s="92">
        <v>29.283000000000001</v>
      </c>
      <c r="AA37" s="92">
        <f t="shared" si="10"/>
        <v>11.713200000000001</v>
      </c>
    </row>
    <row r="38" spans="1:27" x14ac:dyDescent="0.25">
      <c r="A38" s="95">
        <v>45448</v>
      </c>
      <c r="B38" s="72" t="s">
        <v>194</v>
      </c>
      <c r="C38" s="72" t="s">
        <v>8</v>
      </c>
      <c r="D38" s="72" t="s">
        <v>18</v>
      </c>
      <c r="E38" s="72" t="s">
        <v>82</v>
      </c>
      <c r="F38" s="72">
        <v>2</v>
      </c>
      <c r="G38" s="73">
        <f t="shared" si="7"/>
        <v>40</v>
      </c>
      <c r="H38" s="73">
        <f t="shared" si="9"/>
        <v>80</v>
      </c>
      <c r="I38" s="73">
        <f t="shared" si="1"/>
        <v>80</v>
      </c>
      <c r="J38" s="72" t="s">
        <v>333</v>
      </c>
      <c r="K38" s="74"/>
      <c r="M38" s="99"/>
      <c r="N38" s="80" t="e">
        <f t="shared" si="2"/>
        <v>#N/A</v>
      </c>
      <c r="O38" s="76"/>
      <c r="P38" s="81"/>
      <c r="S38" s="50" t="s">
        <v>63</v>
      </c>
      <c r="T38" s="52">
        <v>20</v>
      </c>
      <c r="U38" s="52">
        <f t="shared" si="8"/>
        <v>2</v>
      </c>
      <c r="Y38" s="91" t="s">
        <v>156</v>
      </c>
      <c r="Z38" s="92">
        <v>28.503</v>
      </c>
      <c r="AA38" s="92">
        <f t="shared" si="10"/>
        <v>11.401200000000001</v>
      </c>
    </row>
    <row r="39" spans="1:27" x14ac:dyDescent="0.25">
      <c r="A39" s="95">
        <v>45448</v>
      </c>
      <c r="B39" s="72" t="s">
        <v>194</v>
      </c>
      <c r="C39" s="72" t="s">
        <v>8</v>
      </c>
      <c r="D39" s="72" t="s">
        <v>39</v>
      </c>
      <c r="E39" s="72" t="s">
        <v>82</v>
      </c>
      <c r="F39" s="72">
        <v>1</v>
      </c>
      <c r="G39" s="73">
        <f t="shared" si="7"/>
        <v>10</v>
      </c>
      <c r="H39" s="73">
        <f t="shared" si="9"/>
        <v>10</v>
      </c>
      <c r="I39" s="73">
        <f t="shared" si="1"/>
        <v>10</v>
      </c>
      <c r="J39" s="72" t="s">
        <v>83</v>
      </c>
      <c r="K39" s="74"/>
      <c r="M39" s="99"/>
      <c r="N39" s="80" t="e">
        <f t="shared" si="2"/>
        <v>#N/A</v>
      </c>
      <c r="O39" s="76"/>
      <c r="P39" s="81"/>
      <c r="S39" s="50" t="s">
        <v>34</v>
      </c>
      <c r="T39" s="52">
        <v>10</v>
      </c>
      <c r="U39" s="52">
        <f t="shared" si="8"/>
        <v>1</v>
      </c>
      <c r="Y39" s="91" t="s">
        <v>158</v>
      </c>
      <c r="Z39" s="92">
        <v>60</v>
      </c>
      <c r="AA39" s="92">
        <f t="shared" si="10"/>
        <v>24</v>
      </c>
    </row>
    <row r="40" spans="1:27" x14ac:dyDescent="0.25">
      <c r="A40" s="95">
        <v>45448</v>
      </c>
      <c r="B40" s="72" t="s">
        <v>194</v>
      </c>
      <c r="C40" s="72" t="s">
        <v>8</v>
      </c>
      <c r="D40" s="72" t="s">
        <v>37</v>
      </c>
      <c r="E40" s="72" t="s">
        <v>82</v>
      </c>
      <c r="F40" s="72">
        <v>1</v>
      </c>
      <c r="G40" s="73">
        <f t="shared" si="7"/>
        <v>7</v>
      </c>
      <c r="H40" s="73">
        <f t="shared" si="9"/>
        <v>7</v>
      </c>
      <c r="I40" s="73">
        <f t="shared" si="1"/>
        <v>7</v>
      </c>
      <c r="J40" s="72" t="s">
        <v>333</v>
      </c>
      <c r="K40" s="74"/>
      <c r="M40" s="99"/>
      <c r="N40" s="80" t="e">
        <f t="shared" si="2"/>
        <v>#N/A</v>
      </c>
      <c r="O40" s="76"/>
      <c r="P40" s="81"/>
      <c r="S40" s="50" t="s">
        <v>36</v>
      </c>
      <c r="T40" s="52">
        <v>35</v>
      </c>
      <c r="U40" s="52">
        <f t="shared" si="8"/>
        <v>3.5</v>
      </c>
      <c r="Y40" s="91" t="s">
        <v>161</v>
      </c>
      <c r="Z40" s="92">
        <v>60</v>
      </c>
      <c r="AA40" s="92">
        <f t="shared" si="10"/>
        <v>24</v>
      </c>
    </row>
    <row r="41" spans="1:27" x14ac:dyDescent="0.25">
      <c r="A41" s="95">
        <v>45448</v>
      </c>
      <c r="B41" s="72" t="s">
        <v>522</v>
      </c>
      <c r="C41" s="72" t="s">
        <v>8</v>
      </c>
      <c r="D41" s="72" t="s">
        <v>16</v>
      </c>
      <c r="E41" s="72" t="s">
        <v>82</v>
      </c>
      <c r="F41" s="72">
        <v>1</v>
      </c>
      <c r="G41" s="73">
        <f t="shared" si="7"/>
        <v>80</v>
      </c>
      <c r="H41" s="73">
        <f t="shared" si="9"/>
        <v>80</v>
      </c>
      <c r="I41" s="73">
        <f t="shared" si="1"/>
        <v>80</v>
      </c>
      <c r="J41" s="72" t="s">
        <v>83</v>
      </c>
      <c r="K41" s="74"/>
      <c r="M41" s="99"/>
      <c r="N41" s="80" t="e">
        <f t="shared" si="2"/>
        <v>#N/A</v>
      </c>
      <c r="O41" s="76"/>
      <c r="P41" s="81"/>
      <c r="S41" s="50" t="s">
        <v>143</v>
      </c>
      <c r="T41" s="52">
        <v>35</v>
      </c>
      <c r="U41" s="52">
        <f t="shared" si="8"/>
        <v>3.5</v>
      </c>
      <c r="Y41" s="91" t="s">
        <v>163</v>
      </c>
      <c r="Z41" s="92">
        <v>58.566000000000003</v>
      </c>
      <c r="AA41" s="92">
        <f t="shared" si="10"/>
        <v>23.426400000000001</v>
      </c>
    </row>
    <row r="42" spans="1:27" x14ac:dyDescent="0.25">
      <c r="A42" s="95">
        <v>45448</v>
      </c>
      <c r="B42" s="72" t="s">
        <v>198</v>
      </c>
      <c r="C42" s="72" t="s">
        <v>8</v>
      </c>
      <c r="D42" s="72" t="s">
        <v>16</v>
      </c>
      <c r="E42" s="72" t="s">
        <v>82</v>
      </c>
      <c r="F42" s="72">
        <v>1</v>
      </c>
      <c r="G42" s="73">
        <f t="shared" si="7"/>
        <v>80</v>
      </c>
      <c r="H42" s="73">
        <f t="shared" si="9"/>
        <v>80</v>
      </c>
      <c r="I42" s="73">
        <f t="shared" si="1"/>
        <v>80</v>
      </c>
      <c r="J42" s="72" t="s">
        <v>333</v>
      </c>
      <c r="K42" s="74"/>
      <c r="M42" s="99"/>
      <c r="N42" s="80" t="e">
        <f t="shared" si="2"/>
        <v>#N/A</v>
      </c>
      <c r="O42" s="76"/>
      <c r="P42" s="81"/>
      <c r="S42" s="50" t="s">
        <v>33</v>
      </c>
      <c r="T42" s="52">
        <v>35</v>
      </c>
      <c r="U42" s="52">
        <f t="shared" si="8"/>
        <v>3.5</v>
      </c>
      <c r="Y42" s="91" t="s">
        <v>165</v>
      </c>
      <c r="Z42" s="92">
        <v>57.006</v>
      </c>
      <c r="AA42" s="92">
        <f t="shared" si="10"/>
        <v>22.802400000000002</v>
      </c>
    </row>
    <row r="43" spans="1:27" x14ac:dyDescent="0.25">
      <c r="A43" s="95">
        <v>45448</v>
      </c>
      <c r="B43" s="72" t="s">
        <v>610</v>
      </c>
      <c r="C43" s="72" t="s">
        <v>8</v>
      </c>
      <c r="D43" s="72" t="s">
        <v>175</v>
      </c>
      <c r="E43" s="72" t="s">
        <v>82</v>
      </c>
      <c r="F43" s="72">
        <v>1</v>
      </c>
      <c r="G43" s="73">
        <f t="shared" si="7"/>
        <v>40</v>
      </c>
      <c r="H43" s="73">
        <f t="shared" si="9"/>
        <v>40</v>
      </c>
      <c r="I43" s="73">
        <f t="shared" si="1"/>
        <v>40</v>
      </c>
      <c r="J43" s="72" t="s">
        <v>83</v>
      </c>
      <c r="K43" s="74"/>
      <c r="M43" s="99"/>
      <c r="N43" s="80" t="e">
        <f t="shared" si="2"/>
        <v>#N/A</v>
      </c>
      <c r="O43" s="76"/>
      <c r="P43" s="81"/>
      <c r="S43" s="50" t="s">
        <v>26</v>
      </c>
      <c r="T43" s="52">
        <v>35</v>
      </c>
      <c r="U43" s="52">
        <f t="shared" si="8"/>
        <v>3.5</v>
      </c>
      <c r="Y43" s="91" t="s">
        <v>167</v>
      </c>
      <c r="Z43" s="92">
        <v>15</v>
      </c>
      <c r="AA43" s="92">
        <f t="shared" si="10"/>
        <v>6</v>
      </c>
    </row>
    <row r="44" spans="1:27" x14ac:dyDescent="0.25">
      <c r="A44" s="95">
        <v>45448</v>
      </c>
      <c r="B44" s="72" t="s">
        <v>324</v>
      </c>
      <c r="C44" s="72" t="s">
        <v>8</v>
      </c>
      <c r="D44" s="72" t="s">
        <v>17</v>
      </c>
      <c r="E44" s="72" t="s">
        <v>82</v>
      </c>
      <c r="F44" s="72">
        <v>1</v>
      </c>
      <c r="G44" s="73">
        <f t="shared" si="7"/>
        <v>50</v>
      </c>
      <c r="H44" s="73">
        <f t="shared" si="9"/>
        <v>50</v>
      </c>
      <c r="I44" s="73">
        <f t="shared" si="1"/>
        <v>48.805</v>
      </c>
      <c r="J44" s="72" t="s">
        <v>78</v>
      </c>
      <c r="K44" s="74"/>
      <c r="M44" s="99"/>
      <c r="N44" s="80" t="e">
        <f t="shared" si="2"/>
        <v>#N/A</v>
      </c>
      <c r="O44" s="76"/>
      <c r="P44" s="81"/>
      <c r="S44" s="50" t="s">
        <v>61</v>
      </c>
      <c r="T44" s="52">
        <v>35</v>
      </c>
      <c r="U44" s="52">
        <f t="shared" si="8"/>
        <v>3.5</v>
      </c>
      <c r="Y44" s="91" t="s">
        <v>169</v>
      </c>
      <c r="Z44" s="92">
        <v>15</v>
      </c>
      <c r="AA44" s="92">
        <f t="shared" si="10"/>
        <v>6</v>
      </c>
    </row>
    <row r="45" spans="1:27" x14ac:dyDescent="0.25">
      <c r="A45" s="95">
        <v>45448</v>
      </c>
      <c r="B45" s="72" t="s">
        <v>611</v>
      </c>
      <c r="C45" s="72" t="s">
        <v>9</v>
      </c>
      <c r="D45" s="72" t="s">
        <v>40</v>
      </c>
      <c r="E45" s="72" t="s">
        <v>56</v>
      </c>
      <c r="F45" s="72">
        <v>1</v>
      </c>
      <c r="G45" s="73">
        <f t="shared" si="7"/>
        <v>45</v>
      </c>
      <c r="H45" s="73">
        <f t="shared" si="9"/>
        <v>45</v>
      </c>
      <c r="I45" s="73">
        <f t="shared" si="1"/>
        <v>45</v>
      </c>
      <c r="J45" s="72" t="s">
        <v>83</v>
      </c>
      <c r="K45" s="74"/>
      <c r="M45" s="99" t="s">
        <v>40</v>
      </c>
      <c r="N45" s="80">
        <f t="shared" si="2"/>
        <v>18</v>
      </c>
      <c r="O45" s="76">
        <f t="shared" ref="O45:O50" si="11">N45*F45</f>
        <v>18</v>
      </c>
      <c r="P45" s="81" t="s">
        <v>56</v>
      </c>
      <c r="S45" s="50" t="s">
        <v>152</v>
      </c>
      <c r="T45" s="52">
        <v>60</v>
      </c>
      <c r="U45" s="52">
        <f t="shared" si="8"/>
        <v>6</v>
      </c>
      <c r="Y45" s="91" t="s">
        <v>171</v>
      </c>
      <c r="Z45" s="92">
        <v>14.641500000000001</v>
      </c>
      <c r="AA45" s="92">
        <f t="shared" si="10"/>
        <v>5.8566000000000003</v>
      </c>
    </row>
    <row r="46" spans="1:27" x14ac:dyDescent="0.25">
      <c r="A46" s="95">
        <v>45449</v>
      </c>
      <c r="B46" s="72" t="s">
        <v>612</v>
      </c>
      <c r="C46" s="72" t="s">
        <v>8</v>
      </c>
      <c r="D46" s="72" t="s">
        <v>17</v>
      </c>
      <c r="E46" s="72" t="s">
        <v>56</v>
      </c>
      <c r="F46" s="72">
        <v>1</v>
      </c>
      <c r="G46" s="73">
        <f t="shared" si="7"/>
        <v>50</v>
      </c>
      <c r="H46" s="73">
        <f t="shared" si="9"/>
        <v>50</v>
      </c>
      <c r="I46" s="73">
        <f t="shared" si="1"/>
        <v>47.505000000000003</v>
      </c>
      <c r="J46" s="72" t="s">
        <v>86</v>
      </c>
      <c r="K46" s="74"/>
      <c r="M46" s="99" t="s">
        <v>17</v>
      </c>
      <c r="N46" s="80">
        <f>H46*0.4</f>
        <v>20</v>
      </c>
      <c r="O46" s="76">
        <f t="shared" si="11"/>
        <v>20</v>
      </c>
      <c r="P46" s="81" t="s">
        <v>56</v>
      </c>
      <c r="S46" s="50" t="s">
        <v>62</v>
      </c>
      <c r="T46" s="52">
        <v>15</v>
      </c>
      <c r="U46" s="52">
        <f t="shared" si="8"/>
        <v>1.5</v>
      </c>
      <c r="Y46" s="91" t="s">
        <v>173</v>
      </c>
      <c r="Z46" s="92">
        <v>14.2515</v>
      </c>
      <c r="AA46" s="92">
        <f t="shared" si="10"/>
        <v>5.7006000000000006</v>
      </c>
    </row>
    <row r="47" spans="1:27" x14ac:dyDescent="0.25">
      <c r="A47" s="95">
        <v>45449</v>
      </c>
      <c r="B47" s="72" t="s">
        <v>524</v>
      </c>
      <c r="C47" s="72" t="s">
        <v>8</v>
      </c>
      <c r="D47" s="72" t="s">
        <v>112</v>
      </c>
      <c r="E47" s="72" t="s">
        <v>56</v>
      </c>
      <c r="F47" s="72">
        <v>1</v>
      </c>
      <c r="G47" s="73">
        <f t="shared" si="7"/>
        <v>75</v>
      </c>
      <c r="H47" s="73">
        <f t="shared" si="9"/>
        <v>75</v>
      </c>
      <c r="I47" s="73">
        <f t="shared" si="1"/>
        <v>75</v>
      </c>
      <c r="J47" s="72" t="s">
        <v>83</v>
      </c>
      <c r="K47" s="74"/>
      <c r="M47" s="99" t="s">
        <v>112</v>
      </c>
      <c r="N47" s="80">
        <f t="shared" ref="N47:N76" si="12">VLOOKUP(M47,$S$3:$U$64,3,0)</f>
        <v>30</v>
      </c>
      <c r="O47" s="76">
        <f t="shared" si="11"/>
        <v>30</v>
      </c>
      <c r="P47" s="81" t="s">
        <v>56</v>
      </c>
      <c r="S47" s="50" t="s">
        <v>47</v>
      </c>
      <c r="T47" s="52">
        <v>65</v>
      </c>
      <c r="U47" s="52">
        <f t="shared" si="8"/>
        <v>6.5</v>
      </c>
      <c r="Y47" s="91" t="s">
        <v>176</v>
      </c>
      <c r="Z47" s="92">
        <v>70</v>
      </c>
      <c r="AA47" s="92">
        <f t="shared" si="10"/>
        <v>28</v>
      </c>
    </row>
    <row r="48" spans="1:27" x14ac:dyDescent="0.25">
      <c r="A48" s="95">
        <v>45449</v>
      </c>
      <c r="B48" s="72" t="s">
        <v>528</v>
      </c>
      <c r="C48" s="72" t="s">
        <v>9</v>
      </c>
      <c r="D48" s="72" t="s">
        <v>18</v>
      </c>
      <c r="E48" s="72" t="s">
        <v>56</v>
      </c>
      <c r="F48" s="72">
        <v>1</v>
      </c>
      <c r="G48" s="73">
        <f t="shared" si="7"/>
        <v>40</v>
      </c>
      <c r="H48" s="73">
        <f t="shared" si="9"/>
        <v>40</v>
      </c>
      <c r="I48" s="73">
        <f t="shared" si="1"/>
        <v>39.043999999999997</v>
      </c>
      <c r="J48" s="72" t="s">
        <v>78</v>
      </c>
      <c r="K48" s="74"/>
      <c r="M48" s="99" t="s">
        <v>18</v>
      </c>
      <c r="N48" s="80">
        <f t="shared" si="12"/>
        <v>16</v>
      </c>
      <c r="O48" s="76">
        <f t="shared" si="11"/>
        <v>16</v>
      </c>
      <c r="P48" s="81" t="s">
        <v>56</v>
      </c>
      <c r="S48" s="50" t="s">
        <v>57</v>
      </c>
      <c r="T48" s="52">
        <v>40</v>
      </c>
      <c r="U48" s="52">
        <f t="shared" si="8"/>
        <v>4</v>
      </c>
      <c r="Y48" s="91" t="s">
        <v>177</v>
      </c>
      <c r="Z48" s="92">
        <v>70</v>
      </c>
      <c r="AA48" s="92">
        <f t="shared" si="10"/>
        <v>28</v>
      </c>
    </row>
    <row r="49" spans="1:27" x14ac:dyDescent="0.25">
      <c r="A49" s="95">
        <v>45449</v>
      </c>
      <c r="B49" s="72" t="s">
        <v>524</v>
      </c>
      <c r="C49" s="72" t="s">
        <v>8</v>
      </c>
      <c r="D49" s="72" t="s">
        <v>34</v>
      </c>
      <c r="E49" s="72" t="s">
        <v>56</v>
      </c>
      <c r="F49" s="72">
        <v>1</v>
      </c>
      <c r="G49" s="73">
        <f t="shared" si="7"/>
        <v>10</v>
      </c>
      <c r="H49" s="73">
        <f t="shared" si="9"/>
        <v>10</v>
      </c>
      <c r="I49" s="73">
        <f t="shared" si="1"/>
        <v>10</v>
      </c>
      <c r="J49" s="72" t="s">
        <v>83</v>
      </c>
      <c r="K49" s="74"/>
      <c r="M49" s="99" t="s">
        <v>34</v>
      </c>
      <c r="N49" s="80">
        <f t="shared" si="12"/>
        <v>1</v>
      </c>
      <c r="O49" s="76">
        <f t="shared" si="11"/>
        <v>1</v>
      </c>
      <c r="P49" s="81" t="s">
        <v>56</v>
      </c>
      <c r="S49" s="50" t="s">
        <v>59</v>
      </c>
      <c r="T49" s="52"/>
      <c r="U49" s="52">
        <f t="shared" si="8"/>
        <v>0</v>
      </c>
      <c r="Y49" s="91" t="s">
        <v>180</v>
      </c>
      <c r="Z49" s="92">
        <v>68.326999999999998</v>
      </c>
      <c r="AA49" s="92">
        <f t="shared" si="10"/>
        <v>27.3308</v>
      </c>
    </row>
    <row r="50" spans="1:27" x14ac:dyDescent="0.25">
      <c r="A50" s="95">
        <v>45449</v>
      </c>
      <c r="B50" s="72" t="s">
        <v>613</v>
      </c>
      <c r="C50" s="72" t="s">
        <v>10</v>
      </c>
      <c r="D50" s="72" t="s">
        <v>42</v>
      </c>
      <c r="E50" s="72" t="s">
        <v>56</v>
      </c>
      <c r="F50" s="72">
        <v>1</v>
      </c>
      <c r="G50" s="73">
        <f t="shared" si="7"/>
        <v>20</v>
      </c>
      <c r="H50" s="73">
        <f t="shared" si="9"/>
        <v>20</v>
      </c>
      <c r="I50" s="73">
        <f t="shared" si="1"/>
        <v>20</v>
      </c>
      <c r="J50" s="72" t="s">
        <v>79</v>
      </c>
      <c r="K50" s="74"/>
      <c r="M50" s="99" t="s">
        <v>42</v>
      </c>
      <c r="N50" s="80">
        <f t="shared" si="12"/>
        <v>8</v>
      </c>
      <c r="O50" s="76">
        <f t="shared" si="11"/>
        <v>8</v>
      </c>
      <c r="P50" s="81" t="s">
        <v>56</v>
      </c>
      <c r="S50" s="50" t="s">
        <v>160</v>
      </c>
      <c r="T50" s="52">
        <v>12</v>
      </c>
      <c r="U50" s="52">
        <f t="shared" si="8"/>
        <v>1.2000000000000002</v>
      </c>
      <c r="Y50" s="91" t="s">
        <v>181</v>
      </c>
      <c r="Z50" s="92">
        <v>66.507000000000005</v>
      </c>
      <c r="AA50" s="92">
        <f t="shared" si="10"/>
        <v>26.602800000000002</v>
      </c>
    </row>
    <row r="51" spans="1:27" x14ac:dyDescent="0.25">
      <c r="A51" s="95">
        <v>45449</v>
      </c>
      <c r="B51" s="72" t="s">
        <v>294</v>
      </c>
      <c r="C51" s="72" t="s">
        <v>8</v>
      </c>
      <c r="D51" s="72" t="s">
        <v>40</v>
      </c>
      <c r="E51" s="72" t="s">
        <v>82</v>
      </c>
      <c r="F51" s="72">
        <v>1</v>
      </c>
      <c r="G51" s="73">
        <f t="shared" si="7"/>
        <v>45</v>
      </c>
      <c r="H51" s="73">
        <f t="shared" si="9"/>
        <v>45</v>
      </c>
      <c r="I51" s="73">
        <f t="shared" si="1"/>
        <v>45</v>
      </c>
      <c r="J51" s="72" t="s">
        <v>333</v>
      </c>
      <c r="K51" s="74"/>
      <c r="M51" s="99"/>
      <c r="N51" s="80" t="e">
        <f t="shared" si="12"/>
        <v>#N/A</v>
      </c>
      <c r="O51" s="76"/>
      <c r="P51" s="81"/>
      <c r="S51" s="50" t="s">
        <v>162</v>
      </c>
      <c r="T51" s="52">
        <v>8</v>
      </c>
      <c r="U51" s="52">
        <f t="shared" si="8"/>
        <v>0.8</v>
      </c>
      <c r="Y51" s="91" t="s">
        <v>184</v>
      </c>
      <c r="Z51" s="92">
        <v>75</v>
      </c>
      <c r="AA51" s="92">
        <f t="shared" si="10"/>
        <v>30</v>
      </c>
    </row>
    <row r="52" spans="1:27" x14ac:dyDescent="0.25">
      <c r="A52" s="95">
        <v>45449</v>
      </c>
      <c r="B52" s="72" t="s">
        <v>498</v>
      </c>
      <c r="C52" s="72" t="s">
        <v>96</v>
      </c>
      <c r="D52" s="72" t="s">
        <v>15</v>
      </c>
      <c r="E52" s="72" t="s">
        <v>82</v>
      </c>
      <c r="F52" s="72">
        <v>1</v>
      </c>
      <c r="G52" s="73">
        <f t="shared" si="7"/>
        <v>70</v>
      </c>
      <c r="H52" s="73">
        <f t="shared" si="9"/>
        <v>70</v>
      </c>
      <c r="I52" s="73">
        <f t="shared" si="1"/>
        <v>70</v>
      </c>
      <c r="J52" s="72" t="s">
        <v>333</v>
      </c>
      <c r="K52" s="74"/>
      <c r="M52" s="99"/>
      <c r="N52" s="80" t="e">
        <f t="shared" si="12"/>
        <v>#N/A</v>
      </c>
      <c r="O52" s="76"/>
      <c r="P52" s="81"/>
      <c r="S52" s="50" t="s">
        <v>41</v>
      </c>
      <c r="T52" s="52">
        <v>7</v>
      </c>
      <c r="U52" s="52">
        <f t="shared" si="8"/>
        <v>0.70000000000000007</v>
      </c>
      <c r="Y52" s="91" t="s">
        <v>186</v>
      </c>
      <c r="Z52" s="92">
        <v>75</v>
      </c>
      <c r="AA52" s="92">
        <f t="shared" si="10"/>
        <v>30</v>
      </c>
    </row>
    <row r="53" spans="1:27" x14ac:dyDescent="0.25">
      <c r="A53" s="95">
        <v>45449</v>
      </c>
      <c r="B53" s="72" t="s">
        <v>504</v>
      </c>
      <c r="C53" s="72" t="s">
        <v>96</v>
      </c>
      <c r="D53" s="72" t="s">
        <v>18</v>
      </c>
      <c r="E53" s="72" t="s">
        <v>82</v>
      </c>
      <c r="F53" s="72">
        <v>1</v>
      </c>
      <c r="G53" s="73">
        <f t="shared" si="7"/>
        <v>40</v>
      </c>
      <c r="H53" s="73">
        <f t="shared" si="9"/>
        <v>40</v>
      </c>
      <c r="I53" s="73">
        <f t="shared" si="1"/>
        <v>40</v>
      </c>
      <c r="J53" s="72" t="s">
        <v>79</v>
      </c>
      <c r="K53" s="74"/>
      <c r="M53" s="99"/>
      <c r="N53" s="80" t="e">
        <f t="shared" si="12"/>
        <v>#N/A</v>
      </c>
      <c r="O53" s="76"/>
      <c r="P53" s="81"/>
      <c r="S53" s="50" t="s">
        <v>38</v>
      </c>
      <c r="T53" s="52">
        <v>6</v>
      </c>
      <c r="U53" s="52">
        <f t="shared" si="8"/>
        <v>0.60000000000000009</v>
      </c>
      <c r="Y53" s="91" t="s">
        <v>187</v>
      </c>
      <c r="Z53" s="92">
        <v>73.207499999999996</v>
      </c>
      <c r="AA53" s="92">
        <f t="shared" si="10"/>
        <v>29.283000000000001</v>
      </c>
    </row>
    <row r="54" spans="1:27" x14ac:dyDescent="0.25">
      <c r="A54" s="95">
        <v>45449</v>
      </c>
      <c r="B54" s="72" t="s">
        <v>547</v>
      </c>
      <c r="C54" s="72" t="s">
        <v>96</v>
      </c>
      <c r="D54" s="72" t="s">
        <v>18</v>
      </c>
      <c r="E54" s="72" t="s">
        <v>82</v>
      </c>
      <c r="F54" s="72">
        <v>1</v>
      </c>
      <c r="G54" s="73">
        <f t="shared" si="7"/>
        <v>40</v>
      </c>
      <c r="H54" s="73">
        <f t="shared" si="9"/>
        <v>40</v>
      </c>
      <c r="I54" s="73">
        <f t="shared" si="1"/>
        <v>40</v>
      </c>
      <c r="J54" s="72" t="s">
        <v>79</v>
      </c>
      <c r="K54" s="74"/>
      <c r="M54" s="99"/>
      <c r="N54" s="80" t="e">
        <f t="shared" si="12"/>
        <v>#N/A</v>
      </c>
      <c r="O54" s="76"/>
      <c r="P54" s="81"/>
      <c r="S54" s="50" t="s">
        <v>29</v>
      </c>
      <c r="T54" s="52">
        <v>7</v>
      </c>
      <c r="U54" s="52">
        <f t="shared" si="8"/>
        <v>0.70000000000000007</v>
      </c>
      <c r="Y54" s="91" t="s">
        <v>188</v>
      </c>
      <c r="Z54" s="92">
        <v>71.257499999999993</v>
      </c>
      <c r="AA54" s="92">
        <f t="shared" si="10"/>
        <v>28.503</v>
      </c>
    </row>
    <row r="55" spans="1:27" x14ac:dyDescent="0.25">
      <c r="A55" s="95">
        <v>45449</v>
      </c>
      <c r="B55" s="72" t="s">
        <v>174</v>
      </c>
      <c r="C55" s="72" t="s">
        <v>8</v>
      </c>
      <c r="D55" s="72" t="s">
        <v>18</v>
      </c>
      <c r="E55" s="72" t="s">
        <v>56</v>
      </c>
      <c r="F55" s="72">
        <v>1</v>
      </c>
      <c r="G55" s="73">
        <f t="shared" si="7"/>
        <v>40</v>
      </c>
      <c r="H55" s="73">
        <f t="shared" si="9"/>
        <v>40</v>
      </c>
      <c r="I55" s="73">
        <f t="shared" si="1"/>
        <v>40</v>
      </c>
      <c r="J55" s="72" t="s">
        <v>83</v>
      </c>
      <c r="K55" s="74"/>
      <c r="M55" s="99" t="s">
        <v>18</v>
      </c>
      <c r="N55" s="80">
        <f t="shared" si="12"/>
        <v>16</v>
      </c>
      <c r="O55" s="76">
        <f>N55*F55</f>
        <v>16</v>
      </c>
      <c r="P55" s="81" t="s">
        <v>56</v>
      </c>
      <c r="S55" s="50" t="s">
        <v>170</v>
      </c>
      <c r="T55" s="52">
        <v>5</v>
      </c>
      <c r="U55" s="52">
        <f t="shared" si="8"/>
        <v>0.5</v>
      </c>
      <c r="Y55" s="91" t="s">
        <v>190</v>
      </c>
      <c r="Z55" s="92">
        <v>55</v>
      </c>
      <c r="AA55" s="92">
        <f t="shared" si="10"/>
        <v>22</v>
      </c>
    </row>
    <row r="56" spans="1:27" x14ac:dyDescent="0.25">
      <c r="A56" s="95">
        <v>45450</v>
      </c>
      <c r="B56" s="72" t="s">
        <v>538</v>
      </c>
      <c r="C56" s="72" t="s">
        <v>8</v>
      </c>
      <c r="D56" s="72" t="s">
        <v>175</v>
      </c>
      <c r="E56" s="72" t="s">
        <v>82</v>
      </c>
      <c r="F56" s="72">
        <v>1</v>
      </c>
      <c r="G56" s="73">
        <f t="shared" si="7"/>
        <v>40</v>
      </c>
      <c r="H56" s="73">
        <f t="shared" si="9"/>
        <v>40</v>
      </c>
      <c r="I56" s="73">
        <f t="shared" si="1"/>
        <v>40</v>
      </c>
      <c r="J56" s="72" t="s">
        <v>333</v>
      </c>
      <c r="K56" s="74"/>
      <c r="M56" s="99"/>
      <c r="N56" s="80" t="e">
        <f t="shared" si="12"/>
        <v>#N/A</v>
      </c>
      <c r="O56" s="76"/>
      <c r="P56" s="81"/>
      <c r="S56" s="50" t="s">
        <v>48</v>
      </c>
      <c r="T56" s="52">
        <v>10</v>
      </c>
      <c r="U56" s="52">
        <f t="shared" si="8"/>
        <v>1</v>
      </c>
      <c r="Y56" s="91" t="s">
        <v>192</v>
      </c>
      <c r="Z56" s="92">
        <v>55</v>
      </c>
      <c r="AA56" s="92">
        <f t="shared" si="10"/>
        <v>22</v>
      </c>
    </row>
    <row r="57" spans="1:27" x14ac:dyDescent="0.25">
      <c r="A57" s="95">
        <v>45450</v>
      </c>
      <c r="B57" s="72" t="s">
        <v>562</v>
      </c>
      <c r="C57" s="72" t="s">
        <v>8</v>
      </c>
      <c r="D57" s="72" t="s">
        <v>30</v>
      </c>
      <c r="E57" s="72" t="s">
        <v>82</v>
      </c>
      <c r="F57" s="72">
        <v>1</v>
      </c>
      <c r="G57" s="73">
        <f t="shared" si="7"/>
        <v>90</v>
      </c>
      <c r="H57" s="73">
        <f t="shared" si="9"/>
        <v>90</v>
      </c>
      <c r="I57" s="73">
        <f t="shared" si="1"/>
        <v>85.509</v>
      </c>
      <c r="J57" s="72" t="s">
        <v>86</v>
      </c>
      <c r="K57" s="74"/>
      <c r="M57" s="99"/>
      <c r="N57" s="80" t="e">
        <f t="shared" si="12"/>
        <v>#N/A</v>
      </c>
      <c r="O57" s="76"/>
      <c r="P57" s="81"/>
      <c r="S57" s="50" t="s">
        <v>44</v>
      </c>
      <c r="T57" s="52">
        <v>5</v>
      </c>
      <c r="U57" s="52">
        <f t="shared" si="8"/>
        <v>0.5</v>
      </c>
      <c r="Y57" s="91" t="s">
        <v>193</v>
      </c>
      <c r="Z57" s="92">
        <v>53.685499999999998</v>
      </c>
      <c r="AA57" s="92">
        <f t="shared" si="10"/>
        <v>21.4742</v>
      </c>
    </row>
    <row r="58" spans="1:27" x14ac:dyDescent="0.25">
      <c r="A58" s="95">
        <v>45450</v>
      </c>
      <c r="B58" s="72" t="s">
        <v>459</v>
      </c>
      <c r="C58" s="72" t="s">
        <v>8</v>
      </c>
      <c r="D58" s="72" t="s">
        <v>18</v>
      </c>
      <c r="E58" s="72" t="s">
        <v>82</v>
      </c>
      <c r="F58" s="72">
        <v>1</v>
      </c>
      <c r="G58" s="73">
        <f t="shared" si="7"/>
        <v>40</v>
      </c>
      <c r="H58" s="73">
        <f t="shared" si="9"/>
        <v>40</v>
      </c>
      <c r="I58" s="73">
        <f t="shared" si="1"/>
        <v>40</v>
      </c>
      <c r="J58" s="72" t="s">
        <v>83</v>
      </c>
      <c r="K58" s="74"/>
      <c r="M58" s="99"/>
      <c r="N58" s="80" t="e">
        <f t="shared" si="12"/>
        <v>#N/A</v>
      </c>
      <c r="O58" s="76"/>
      <c r="P58" s="81"/>
      <c r="S58" s="50" t="s">
        <v>37</v>
      </c>
      <c r="T58" s="52">
        <v>7</v>
      </c>
      <c r="U58" s="52">
        <f t="shared" si="8"/>
        <v>0.70000000000000007</v>
      </c>
      <c r="Y58" s="91" t="s">
        <v>195</v>
      </c>
      <c r="Z58" s="92">
        <v>52.255499999999998</v>
      </c>
      <c r="AA58" s="92">
        <f t="shared" si="10"/>
        <v>20.902200000000001</v>
      </c>
    </row>
    <row r="59" spans="1:27" x14ac:dyDescent="0.25">
      <c r="A59" s="95">
        <v>45450</v>
      </c>
      <c r="B59" s="72" t="s">
        <v>614</v>
      </c>
      <c r="C59" s="72" t="s">
        <v>8</v>
      </c>
      <c r="D59" s="72" t="s">
        <v>45</v>
      </c>
      <c r="E59" s="72" t="s">
        <v>82</v>
      </c>
      <c r="F59" s="72">
        <v>1</v>
      </c>
      <c r="G59" s="73">
        <f t="shared" si="7"/>
        <v>3.5</v>
      </c>
      <c r="H59" s="73">
        <f t="shared" si="9"/>
        <v>3.5</v>
      </c>
      <c r="I59" s="73">
        <f t="shared" si="1"/>
        <v>3.5</v>
      </c>
      <c r="J59" s="72" t="s">
        <v>333</v>
      </c>
      <c r="K59" s="74"/>
      <c r="M59" s="99"/>
      <c r="N59" s="80" t="e">
        <f t="shared" si="12"/>
        <v>#N/A</v>
      </c>
      <c r="O59" s="76"/>
      <c r="P59" s="81"/>
      <c r="S59" s="50" t="s">
        <v>179</v>
      </c>
      <c r="T59" s="52">
        <v>3.5</v>
      </c>
      <c r="U59" s="52">
        <f t="shared" si="8"/>
        <v>0.35000000000000003</v>
      </c>
      <c r="Y59" s="91" t="s">
        <v>197</v>
      </c>
      <c r="Z59" s="92">
        <v>100</v>
      </c>
      <c r="AA59" s="92">
        <f t="shared" si="10"/>
        <v>40</v>
      </c>
    </row>
    <row r="60" spans="1:27" x14ac:dyDescent="0.25">
      <c r="A60" s="95">
        <v>45450</v>
      </c>
      <c r="B60" s="72" t="s">
        <v>344</v>
      </c>
      <c r="C60" s="72" t="s">
        <v>10</v>
      </c>
      <c r="D60" s="72" t="s">
        <v>18</v>
      </c>
      <c r="E60" s="72" t="s">
        <v>56</v>
      </c>
      <c r="F60" s="72">
        <v>1</v>
      </c>
      <c r="G60" s="73">
        <f t="shared" si="7"/>
        <v>40</v>
      </c>
      <c r="H60" s="73">
        <f t="shared" si="9"/>
        <v>40</v>
      </c>
      <c r="I60" s="73">
        <f t="shared" si="1"/>
        <v>40</v>
      </c>
      <c r="J60" s="72" t="s">
        <v>83</v>
      </c>
      <c r="K60" s="74"/>
      <c r="M60" s="99" t="s">
        <v>18</v>
      </c>
      <c r="N60" s="80">
        <f t="shared" si="12"/>
        <v>16</v>
      </c>
      <c r="O60" s="76">
        <f>N60*F60</f>
        <v>16</v>
      </c>
      <c r="P60" s="81" t="s">
        <v>56</v>
      </c>
      <c r="S60" s="50" t="s">
        <v>46</v>
      </c>
      <c r="T60" s="52">
        <v>5</v>
      </c>
      <c r="U60" s="52">
        <f t="shared" si="8"/>
        <v>0.5</v>
      </c>
      <c r="Y60" s="91" t="s">
        <v>199</v>
      </c>
      <c r="Z60" s="92">
        <v>100</v>
      </c>
      <c r="AA60" s="92">
        <f t="shared" si="10"/>
        <v>40</v>
      </c>
    </row>
    <row r="61" spans="1:27" x14ac:dyDescent="0.25">
      <c r="A61" s="95">
        <v>45450</v>
      </c>
      <c r="B61" s="72" t="s">
        <v>414</v>
      </c>
      <c r="C61" s="72" t="s">
        <v>10</v>
      </c>
      <c r="D61" s="72" t="s">
        <v>18</v>
      </c>
      <c r="E61" s="72" t="s">
        <v>56</v>
      </c>
      <c r="F61" s="72">
        <v>1</v>
      </c>
      <c r="G61" s="73">
        <f t="shared" si="7"/>
        <v>40</v>
      </c>
      <c r="H61" s="73">
        <f t="shared" si="9"/>
        <v>40</v>
      </c>
      <c r="I61" s="73">
        <f t="shared" si="1"/>
        <v>39.043999999999997</v>
      </c>
      <c r="J61" s="72" t="s">
        <v>78</v>
      </c>
      <c r="K61" s="74"/>
      <c r="M61" s="99" t="s">
        <v>18</v>
      </c>
      <c r="N61" s="80">
        <f t="shared" si="12"/>
        <v>16</v>
      </c>
      <c r="O61" s="76">
        <f>N61*F61</f>
        <v>16</v>
      </c>
      <c r="P61" s="81" t="s">
        <v>56</v>
      </c>
      <c r="S61" s="50" t="s">
        <v>183</v>
      </c>
      <c r="T61" s="52">
        <v>7</v>
      </c>
      <c r="U61" s="52">
        <f t="shared" si="8"/>
        <v>0.70000000000000007</v>
      </c>
      <c r="Y61" s="91" t="s">
        <v>201</v>
      </c>
      <c r="Z61" s="92">
        <v>97.61</v>
      </c>
      <c r="AA61" s="92">
        <f t="shared" si="10"/>
        <v>39.044000000000004</v>
      </c>
    </row>
    <row r="62" spans="1:27" x14ac:dyDescent="0.25">
      <c r="A62" s="95">
        <v>45450</v>
      </c>
      <c r="B62" s="72" t="s">
        <v>414</v>
      </c>
      <c r="C62" s="72" t="s">
        <v>10</v>
      </c>
      <c r="D62" s="72" t="s">
        <v>34</v>
      </c>
      <c r="E62" s="72" t="s">
        <v>56</v>
      </c>
      <c r="F62" s="72">
        <v>1</v>
      </c>
      <c r="G62" s="73">
        <f t="shared" si="7"/>
        <v>10</v>
      </c>
      <c r="H62" s="73">
        <f t="shared" si="9"/>
        <v>10</v>
      </c>
      <c r="I62" s="73">
        <f t="shared" si="1"/>
        <v>9.7609999999999992</v>
      </c>
      <c r="J62" s="72" t="s">
        <v>78</v>
      </c>
      <c r="K62" s="74"/>
      <c r="M62" s="99" t="s">
        <v>34</v>
      </c>
      <c r="N62" s="80">
        <f t="shared" si="12"/>
        <v>1</v>
      </c>
      <c r="O62" s="76">
        <f>N62*F62</f>
        <v>1</v>
      </c>
      <c r="P62" s="81" t="s">
        <v>56</v>
      </c>
      <c r="S62" s="50" t="s">
        <v>35</v>
      </c>
      <c r="T62" s="52">
        <v>7</v>
      </c>
      <c r="U62" s="52">
        <f t="shared" si="8"/>
        <v>0.70000000000000007</v>
      </c>
      <c r="Y62" s="91" t="s">
        <v>203</v>
      </c>
      <c r="Z62" s="92">
        <v>95.01</v>
      </c>
      <c r="AA62" s="92">
        <f t="shared" si="10"/>
        <v>38.004000000000005</v>
      </c>
    </row>
    <row r="63" spans="1:27" x14ac:dyDescent="0.25">
      <c r="A63" s="95">
        <v>45450</v>
      </c>
      <c r="B63" s="72" t="s">
        <v>516</v>
      </c>
      <c r="C63" s="72" t="s">
        <v>96</v>
      </c>
      <c r="D63" s="72" t="s">
        <v>40</v>
      </c>
      <c r="E63" s="72" t="s">
        <v>82</v>
      </c>
      <c r="F63" s="72">
        <v>1</v>
      </c>
      <c r="G63" s="73">
        <f t="shared" si="7"/>
        <v>45</v>
      </c>
      <c r="H63" s="73">
        <f t="shared" si="9"/>
        <v>45</v>
      </c>
      <c r="I63" s="73">
        <f t="shared" si="1"/>
        <v>45</v>
      </c>
      <c r="J63" s="72" t="s">
        <v>333</v>
      </c>
      <c r="K63" s="74"/>
      <c r="M63" s="99"/>
      <c r="N63" s="80" t="e">
        <f t="shared" si="12"/>
        <v>#N/A</v>
      </c>
      <c r="O63" s="76"/>
      <c r="P63" s="81"/>
      <c r="S63" s="50" t="s">
        <v>155</v>
      </c>
      <c r="T63" s="52">
        <v>3.5</v>
      </c>
      <c r="U63" s="52">
        <f t="shared" si="8"/>
        <v>0.35000000000000003</v>
      </c>
      <c r="Y63" s="91" t="s">
        <v>205</v>
      </c>
      <c r="Z63" s="92">
        <v>80</v>
      </c>
      <c r="AA63" s="92">
        <f t="shared" si="10"/>
        <v>32</v>
      </c>
    </row>
    <row r="64" spans="1:27" x14ac:dyDescent="0.25">
      <c r="A64" s="95">
        <v>45450</v>
      </c>
      <c r="B64" s="72" t="s">
        <v>574</v>
      </c>
      <c r="C64" s="72" t="s">
        <v>96</v>
      </c>
      <c r="D64" s="72" t="s">
        <v>17</v>
      </c>
      <c r="E64" s="72" t="s">
        <v>82</v>
      </c>
      <c r="F64" s="72">
        <v>1</v>
      </c>
      <c r="G64" s="73">
        <f t="shared" si="7"/>
        <v>50</v>
      </c>
      <c r="H64" s="73">
        <f t="shared" si="9"/>
        <v>50</v>
      </c>
      <c r="I64" s="73">
        <f t="shared" si="1"/>
        <v>48.805</v>
      </c>
      <c r="J64" s="72" t="s">
        <v>78</v>
      </c>
      <c r="K64" s="74"/>
      <c r="M64" s="99"/>
      <c r="N64" s="80" t="e">
        <f t="shared" si="12"/>
        <v>#N/A</v>
      </c>
      <c r="O64" s="76"/>
      <c r="P64" s="81"/>
      <c r="S64" s="50" t="s">
        <v>45</v>
      </c>
      <c r="T64" s="52">
        <v>3.5</v>
      </c>
      <c r="U64" s="52">
        <f t="shared" si="8"/>
        <v>0.35000000000000003</v>
      </c>
      <c r="Y64" s="91" t="s">
        <v>207</v>
      </c>
      <c r="Z64" s="92">
        <v>80</v>
      </c>
      <c r="AA64" s="92">
        <f t="shared" si="10"/>
        <v>32</v>
      </c>
    </row>
    <row r="65" spans="1:27" x14ac:dyDescent="0.25">
      <c r="A65" s="95">
        <v>45450</v>
      </c>
      <c r="B65" s="72" t="s">
        <v>574</v>
      </c>
      <c r="C65" s="72" t="s">
        <v>96</v>
      </c>
      <c r="D65" s="72" t="s">
        <v>23</v>
      </c>
      <c r="E65" s="72" t="s">
        <v>82</v>
      </c>
      <c r="F65" s="72">
        <v>1</v>
      </c>
      <c r="G65" s="73">
        <f t="shared" si="7"/>
        <v>5</v>
      </c>
      <c r="H65" s="73">
        <f t="shared" si="9"/>
        <v>5</v>
      </c>
      <c r="I65" s="73">
        <f t="shared" si="1"/>
        <v>4.8804999999999996</v>
      </c>
      <c r="J65" s="72" t="s">
        <v>78</v>
      </c>
      <c r="K65" s="74"/>
      <c r="M65" s="99"/>
      <c r="N65" s="80" t="e">
        <f t="shared" si="12"/>
        <v>#N/A</v>
      </c>
      <c r="O65" s="76"/>
      <c r="P65" s="81"/>
      <c r="Y65" s="91" t="s">
        <v>208</v>
      </c>
      <c r="Z65" s="92">
        <v>78.087999999999994</v>
      </c>
      <c r="AA65" s="92">
        <f t="shared" si="10"/>
        <v>31.235199999999999</v>
      </c>
    </row>
    <row r="66" spans="1:27" x14ac:dyDescent="0.25">
      <c r="A66" s="95">
        <v>45450</v>
      </c>
      <c r="B66" s="72" t="s">
        <v>264</v>
      </c>
      <c r="C66" s="72" t="s">
        <v>96</v>
      </c>
      <c r="D66" s="72" t="s">
        <v>18</v>
      </c>
      <c r="E66" s="72" t="s">
        <v>82</v>
      </c>
      <c r="F66" s="72">
        <v>1</v>
      </c>
      <c r="G66" s="73">
        <v>35</v>
      </c>
      <c r="H66" s="73">
        <f t="shared" si="9"/>
        <v>35</v>
      </c>
      <c r="I66" s="73">
        <f t="shared" si="1"/>
        <v>33.253500000000003</v>
      </c>
      <c r="J66" s="72" t="s">
        <v>86</v>
      </c>
      <c r="K66" s="74"/>
      <c r="M66" s="99"/>
      <c r="N66" s="80" t="e">
        <f t="shared" si="12"/>
        <v>#N/A</v>
      </c>
      <c r="O66" s="76"/>
      <c r="P66" s="81"/>
      <c r="Y66" s="91" t="s">
        <v>209</v>
      </c>
      <c r="Z66" s="92">
        <v>76.007999999999996</v>
      </c>
      <c r="AA66" s="92">
        <f t="shared" si="10"/>
        <v>30.403199999999998</v>
      </c>
    </row>
    <row r="67" spans="1:27" x14ac:dyDescent="0.25">
      <c r="A67" s="95">
        <v>45450</v>
      </c>
      <c r="B67" s="72" t="s">
        <v>615</v>
      </c>
      <c r="C67" s="72" t="s">
        <v>8</v>
      </c>
      <c r="D67" s="72" t="s">
        <v>18</v>
      </c>
      <c r="E67" s="72" t="s">
        <v>82</v>
      </c>
      <c r="F67" s="72">
        <v>1</v>
      </c>
      <c r="G67" s="73">
        <f t="shared" ref="G67:G95" si="13">VLOOKUP(D67,$S$3:$T$64,2,0)</f>
        <v>40</v>
      </c>
      <c r="H67" s="73">
        <f t="shared" ref="H67:H98" si="14">F67*G67</f>
        <v>40</v>
      </c>
      <c r="I67" s="73">
        <f t="shared" ref="I67:I130" si="15">IF(J67="Cartão de Debito",H67-(H67*$AC$5),IF(J67="Cartão de Credito",H67-(H67*$AC$6), IF(J67="Pix",H67-(H67*$AC$7), IF(J67="Dinheiro (R$)", H67-(H67*$AC$8)))))</f>
        <v>40</v>
      </c>
      <c r="J67" s="72" t="s">
        <v>83</v>
      </c>
      <c r="K67" s="74"/>
      <c r="M67" s="99"/>
      <c r="N67" s="80" t="e">
        <f t="shared" si="12"/>
        <v>#N/A</v>
      </c>
      <c r="O67" s="76"/>
      <c r="P67" s="81"/>
      <c r="Y67" s="91" t="s">
        <v>211</v>
      </c>
      <c r="Z67" s="92">
        <v>130</v>
      </c>
      <c r="AA67" s="92">
        <f t="shared" ref="AA67:AA74" si="16">Z67*0.4</f>
        <v>52</v>
      </c>
    </row>
    <row r="68" spans="1:27" x14ac:dyDescent="0.25">
      <c r="A68" s="95">
        <v>45450</v>
      </c>
      <c r="B68" s="72" t="s">
        <v>616</v>
      </c>
      <c r="C68" s="72" t="s">
        <v>8</v>
      </c>
      <c r="D68" s="72" t="s">
        <v>24</v>
      </c>
      <c r="E68" s="72" t="s">
        <v>82</v>
      </c>
      <c r="F68" s="72">
        <v>1</v>
      </c>
      <c r="G68" s="73">
        <f t="shared" si="13"/>
        <v>10</v>
      </c>
      <c r="H68" s="73">
        <f t="shared" si="14"/>
        <v>10</v>
      </c>
      <c r="I68" s="73">
        <f t="shared" si="15"/>
        <v>10</v>
      </c>
      <c r="J68" s="72" t="s">
        <v>83</v>
      </c>
      <c r="K68" s="74"/>
      <c r="M68" s="99"/>
      <c r="N68" s="80" t="e">
        <f t="shared" si="12"/>
        <v>#N/A</v>
      </c>
      <c r="O68" s="76"/>
      <c r="P68" s="81"/>
      <c r="Y68" s="91" t="s">
        <v>213</v>
      </c>
      <c r="Z68" s="92">
        <v>130</v>
      </c>
      <c r="AA68" s="92">
        <f t="shared" si="16"/>
        <v>52</v>
      </c>
    </row>
    <row r="69" spans="1:27" x14ac:dyDescent="0.25">
      <c r="A69" s="95">
        <v>45450</v>
      </c>
      <c r="B69" s="72" t="s">
        <v>617</v>
      </c>
      <c r="C69" s="72" t="s">
        <v>10</v>
      </c>
      <c r="D69" s="72" t="s">
        <v>17</v>
      </c>
      <c r="E69" s="72" t="s">
        <v>56</v>
      </c>
      <c r="F69" s="72">
        <v>1</v>
      </c>
      <c r="G69" s="73">
        <f t="shared" si="13"/>
        <v>50</v>
      </c>
      <c r="H69" s="73">
        <f t="shared" si="14"/>
        <v>50</v>
      </c>
      <c r="I69" s="73">
        <f t="shared" si="15"/>
        <v>50</v>
      </c>
      <c r="J69" s="72" t="s">
        <v>333</v>
      </c>
      <c r="K69" s="74"/>
      <c r="M69" s="99" t="s">
        <v>17</v>
      </c>
      <c r="N69" s="80">
        <f t="shared" si="12"/>
        <v>20</v>
      </c>
      <c r="O69" s="76">
        <f>N69*F69</f>
        <v>20</v>
      </c>
      <c r="P69" s="81" t="s">
        <v>56</v>
      </c>
      <c r="Y69" s="91" t="s">
        <v>214</v>
      </c>
      <c r="Z69" s="92">
        <v>126.893</v>
      </c>
      <c r="AA69" s="92">
        <f t="shared" si="16"/>
        <v>50.757200000000005</v>
      </c>
    </row>
    <row r="70" spans="1:27" x14ac:dyDescent="0.25">
      <c r="A70" s="95">
        <v>45450</v>
      </c>
      <c r="B70" s="72" t="s">
        <v>617</v>
      </c>
      <c r="C70" s="72" t="s">
        <v>10</v>
      </c>
      <c r="D70" s="72" t="s">
        <v>23</v>
      </c>
      <c r="E70" s="72" t="s">
        <v>56</v>
      </c>
      <c r="F70" s="72">
        <v>1</v>
      </c>
      <c r="G70" s="73">
        <f t="shared" si="13"/>
        <v>5</v>
      </c>
      <c r="H70" s="73">
        <f t="shared" si="14"/>
        <v>5</v>
      </c>
      <c r="I70" s="73">
        <f t="shared" si="15"/>
        <v>5</v>
      </c>
      <c r="J70" s="72" t="s">
        <v>333</v>
      </c>
      <c r="K70" s="74"/>
      <c r="M70" s="99" t="s">
        <v>23</v>
      </c>
      <c r="N70" s="80">
        <f t="shared" si="12"/>
        <v>2</v>
      </c>
      <c r="O70" s="76">
        <f>N70*F70</f>
        <v>2</v>
      </c>
      <c r="P70" s="81" t="s">
        <v>56</v>
      </c>
      <c r="Y70" s="91" t="s">
        <v>208</v>
      </c>
      <c r="Z70" s="92">
        <v>78.087999999999994</v>
      </c>
      <c r="AA70" s="92">
        <f t="shared" si="16"/>
        <v>31.235199999999999</v>
      </c>
    </row>
    <row r="71" spans="1:27" x14ac:dyDescent="0.25">
      <c r="A71" s="95">
        <v>45450</v>
      </c>
      <c r="B71" s="72" t="s">
        <v>545</v>
      </c>
      <c r="C71" s="72" t="s">
        <v>9</v>
      </c>
      <c r="D71" s="72" t="s">
        <v>40</v>
      </c>
      <c r="E71" s="72" t="s">
        <v>56</v>
      </c>
      <c r="F71" s="72">
        <v>1</v>
      </c>
      <c r="G71" s="73">
        <f t="shared" si="13"/>
        <v>45</v>
      </c>
      <c r="H71" s="73">
        <f t="shared" si="14"/>
        <v>45</v>
      </c>
      <c r="I71" s="73">
        <f t="shared" si="15"/>
        <v>42.7545</v>
      </c>
      <c r="J71" s="72" t="s">
        <v>86</v>
      </c>
      <c r="K71" s="74"/>
      <c r="M71" s="99" t="s">
        <v>40</v>
      </c>
      <c r="N71" s="80">
        <f t="shared" si="12"/>
        <v>18</v>
      </c>
      <c r="O71" s="76">
        <f>N71*F71</f>
        <v>18</v>
      </c>
      <c r="P71" s="81" t="s">
        <v>56</v>
      </c>
      <c r="Y71" s="91" t="s">
        <v>219</v>
      </c>
      <c r="Z71" s="92">
        <v>90</v>
      </c>
      <c r="AA71" s="92">
        <f t="shared" si="16"/>
        <v>36</v>
      </c>
    </row>
    <row r="72" spans="1:27" x14ac:dyDescent="0.25">
      <c r="A72" s="95">
        <v>45451</v>
      </c>
      <c r="B72" s="72" t="s">
        <v>618</v>
      </c>
      <c r="C72" s="72" t="s">
        <v>10</v>
      </c>
      <c r="D72" s="72" t="s">
        <v>18</v>
      </c>
      <c r="E72" s="72" t="s">
        <v>56</v>
      </c>
      <c r="F72" s="72">
        <v>1</v>
      </c>
      <c r="G72" s="73">
        <f t="shared" si="13"/>
        <v>40</v>
      </c>
      <c r="H72" s="73">
        <f t="shared" si="14"/>
        <v>40</v>
      </c>
      <c r="I72" s="73">
        <f t="shared" si="15"/>
        <v>39.043999999999997</v>
      </c>
      <c r="J72" s="72" t="s">
        <v>78</v>
      </c>
      <c r="K72" s="74"/>
      <c r="M72" s="99" t="s">
        <v>18</v>
      </c>
      <c r="N72" s="80">
        <f t="shared" si="12"/>
        <v>16</v>
      </c>
      <c r="O72" s="76">
        <f>N72*F72</f>
        <v>16</v>
      </c>
      <c r="P72" s="81" t="s">
        <v>56</v>
      </c>
      <c r="Y72" s="91" t="s">
        <v>221</v>
      </c>
      <c r="Z72" s="92">
        <v>90</v>
      </c>
      <c r="AA72" s="92">
        <f t="shared" si="16"/>
        <v>36</v>
      </c>
    </row>
    <row r="73" spans="1:27" x14ac:dyDescent="0.25">
      <c r="A73" s="95">
        <v>45451</v>
      </c>
      <c r="B73" s="72" t="s">
        <v>618</v>
      </c>
      <c r="C73" s="72" t="s">
        <v>10</v>
      </c>
      <c r="D73" s="72" t="s">
        <v>63</v>
      </c>
      <c r="E73" s="72" t="s">
        <v>56</v>
      </c>
      <c r="F73" s="72">
        <v>1</v>
      </c>
      <c r="G73" s="73">
        <f t="shared" si="13"/>
        <v>20</v>
      </c>
      <c r="H73" s="73">
        <f t="shared" si="14"/>
        <v>20</v>
      </c>
      <c r="I73" s="73">
        <f t="shared" si="15"/>
        <v>19.521999999999998</v>
      </c>
      <c r="J73" s="72" t="s">
        <v>78</v>
      </c>
      <c r="K73" s="74"/>
      <c r="M73" s="99" t="s">
        <v>63</v>
      </c>
      <c r="N73" s="80">
        <f t="shared" si="12"/>
        <v>2</v>
      </c>
      <c r="O73" s="76">
        <f>N73*F73</f>
        <v>2</v>
      </c>
      <c r="P73" s="81" t="s">
        <v>56</v>
      </c>
      <c r="Y73" s="91" t="s">
        <v>222</v>
      </c>
      <c r="Z73" s="92">
        <v>87.849000000000004</v>
      </c>
      <c r="AA73" s="92">
        <f t="shared" si="16"/>
        <v>35.139600000000002</v>
      </c>
    </row>
    <row r="74" spans="1:27" x14ac:dyDescent="0.25">
      <c r="A74" s="95">
        <v>45451</v>
      </c>
      <c r="B74" s="72" t="s">
        <v>591</v>
      </c>
      <c r="C74" s="72" t="s">
        <v>8</v>
      </c>
      <c r="D74" s="72" t="s">
        <v>18</v>
      </c>
      <c r="E74" s="72" t="s">
        <v>82</v>
      </c>
      <c r="F74" s="72">
        <v>1</v>
      </c>
      <c r="G74" s="73">
        <f t="shared" si="13"/>
        <v>40</v>
      </c>
      <c r="H74" s="73">
        <f t="shared" si="14"/>
        <v>40</v>
      </c>
      <c r="I74" s="73">
        <f t="shared" si="15"/>
        <v>39.043999999999997</v>
      </c>
      <c r="J74" s="72" t="s">
        <v>78</v>
      </c>
      <c r="K74" s="74"/>
      <c r="M74" s="99"/>
      <c r="N74" s="80" t="e">
        <f t="shared" si="12"/>
        <v>#N/A</v>
      </c>
      <c r="O74" s="76"/>
      <c r="P74" s="81"/>
      <c r="Y74" s="91" t="s">
        <v>224</v>
      </c>
      <c r="Z74" s="92">
        <v>85.509</v>
      </c>
      <c r="AA74" s="92">
        <f t="shared" si="16"/>
        <v>34.203600000000002</v>
      </c>
    </row>
    <row r="75" spans="1:27" x14ac:dyDescent="0.25">
      <c r="A75" s="95">
        <v>45451</v>
      </c>
      <c r="B75" s="72" t="s">
        <v>619</v>
      </c>
      <c r="C75" s="72" t="s">
        <v>8</v>
      </c>
      <c r="D75" s="72" t="s">
        <v>17</v>
      </c>
      <c r="E75" s="72" t="s">
        <v>82</v>
      </c>
      <c r="F75" s="72">
        <v>1</v>
      </c>
      <c r="G75" s="73">
        <f t="shared" si="13"/>
        <v>50</v>
      </c>
      <c r="H75" s="73">
        <f t="shared" si="14"/>
        <v>50</v>
      </c>
      <c r="I75" s="73">
        <f t="shared" si="15"/>
        <v>47.505000000000003</v>
      </c>
      <c r="J75" s="72" t="s">
        <v>86</v>
      </c>
      <c r="K75" s="74"/>
      <c r="M75" s="99"/>
      <c r="N75" s="80" t="e">
        <f t="shared" si="12"/>
        <v>#N/A</v>
      </c>
      <c r="O75" s="76"/>
      <c r="P75" s="81"/>
      <c r="Y75" s="91" t="s">
        <v>226</v>
      </c>
      <c r="Z75" s="92">
        <v>30</v>
      </c>
      <c r="AA75" s="92">
        <f t="shared" ref="AA75:AA118" si="17">Z75*0.1</f>
        <v>3</v>
      </c>
    </row>
    <row r="76" spans="1:27" x14ac:dyDescent="0.25">
      <c r="A76" s="95">
        <v>45451</v>
      </c>
      <c r="B76" s="72" t="s">
        <v>619</v>
      </c>
      <c r="C76" s="72" t="s">
        <v>8</v>
      </c>
      <c r="D76" s="72" t="s">
        <v>38</v>
      </c>
      <c r="E76" s="72" t="s">
        <v>82</v>
      </c>
      <c r="F76" s="72">
        <v>3</v>
      </c>
      <c r="G76" s="73">
        <f t="shared" si="13"/>
        <v>6</v>
      </c>
      <c r="H76" s="73">
        <f t="shared" si="14"/>
        <v>18</v>
      </c>
      <c r="I76" s="73">
        <f t="shared" si="15"/>
        <v>17.101800000000001</v>
      </c>
      <c r="J76" s="72" t="s">
        <v>86</v>
      </c>
      <c r="K76" s="74"/>
      <c r="M76" s="99"/>
      <c r="N76" s="80" t="e">
        <f t="shared" si="12"/>
        <v>#N/A</v>
      </c>
      <c r="O76" s="76"/>
      <c r="P76" s="81"/>
      <c r="Y76" s="91" t="s">
        <v>228</v>
      </c>
      <c r="Z76" s="92">
        <v>30</v>
      </c>
      <c r="AA76" s="92">
        <f t="shared" si="17"/>
        <v>3</v>
      </c>
    </row>
    <row r="77" spans="1:27" x14ac:dyDescent="0.25">
      <c r="A77" s="95">
        <v>45451</v>
      </c>
      <c r="B77" s="72" t="s">
        <v>620</v>
      </c>
      <c r="C77" s="72" t="s">
        <v>8</v>
      </c>
      <c r="D77" s="72" t="s">
        <v>15</v>
      </c>
      <c r="E77" s="72" t="s">
        <v>56</v>
      </c>
      <c r="F77" s="72">
        <v>1</v>
      </c>
      <c r="G77" s="73">
        <f t="shared" si="13"/>
        <v>70</v>
      </c>
      <c r="H77" s="73">
        <f t="shared" si="14"/>
        <v>70</v>
      </c>
      <c r="I77" s="73">
        <f t="shared" si="15"/>
        <v>70</v>
      </c>
      <c r="J77" s="72" t="s">
        <v>79</v>
      </c>
      <c r="K77" s="74"/>
      <c r="M77" s="99" t="s">
        <v>15</v>
      </c>
      <c r="N77" s="80">
        <f>H77*0.4</f>
        <v>28</v>
      </c>
      <c r="O77" s="76">
        <f>N77*F77</f>
        <v>28</v>
      </c>
      <c r="P77" s="81" t="s">
        <v>56</v>
      </c>
      <c r="Y77" s="91" t="s">
        <v>230</v>
      </c>
      <c r="Z77" s="92">
        <v>29.283000000000001</v>
      </c>
      <c r="AA77" s="92">
        <f t="shared" si="17"/>
        <v>2.9283000000000001</v>
      </c>
    </row>
    <row r="78" spans="1:27" x14ac:dyDescent="0.25">
      <c r="A78" s="95">
        <v>45451</v>
      </c>
      <c r="B78" s="72" t="s">
        <v>620</v>
      </c>
      <c r="C78" s="72" t="s">
        <v>8</v>
      </c>
      <c r="D78" s="72" t="s">
        <v>64</v>
      </c>
      <c r="E78" s="72" t="s">
        <v>56</v>
      </c>
      <c r="F78" s="72">
        <v>1</v>
      </c>
      <c r="G78" s="73">
        <f t="shared" si="13"/>
        <v>30</v>
      </c>
      <c r="H78" s="73">
        <f t="shared" si="14"/>
        <v>30</v>
      </c>
      <c r="I78" s="73">
        <f t="shared" si="15"/>
        <v>30</v>
      </c>
      <c r="J78" s="72" t="s">
        <v>79</v>
      </c>
      <c r="K78" s="74"/>
      <c r="M78" s="99" t="s">
        <v>64</v>
      </c>
      <c r="N78" s="80">
        <f t="shared" ref="N78:N109" si="18">VLOOKUP(M78,$S$3:$U$64,3,0)</f>
        <v>3</v>
      </c>
      <c r="O78" s="76">
        <f>N78*F78</f>
        <v>3</v>
      </c>
      <c r="P78" s="81" t="s">
        <v>56</v>
      </c>
      <c r="Y78" s="91" t="s">
        <v>231</v>
      </c>
      <c r="Z78" s="92">
        <v>28.503</v>
      </c>
      <c r="AA78" s="92">
        <f t="shared" si="17"/>
        <v>2.8503000000000003</v>
      </c>
    </row>
    <row r="79" spans="1:27" x14ac:dyDescent="0.25">
      <c r="A79" s="95">
        <v>45451</v>
      </c>
      <c r="B79" s="72" t="s">
        <v>210</v>
      </c>
      <c r="C79" s="72" t="s">
        <v>8</v>
      </c>
      <c r="D79" s="72" t="s">
        <v>17</v>
      </c>
      <c r="E79" s="72" t="s">
        <v>56</v>
      </c>
      <c r="F79" s="72">
        <v>1</v>
      </c>
      <c r="G79" s="73">
        <f t="shared" si="13"/>
        <v>50</v>
      </c>
      <c r="H79" s="73">
        <f t="shared" si="14"/>
        <v>50</v>
      </c>
      <c r="I79" s="73">
        <f t="shared" si="15"/>
        <v>50</v>
      </c>
      <c r="J79" s="72" t="s">
        <v>333</v>
      </c>
      <c r="K79" s="74"/>
      <c r="M79" s="99" t="s">
        <v>17</v>
      </c>
      <c r="N79" s="80">
        <f t="shared" si="18"/>
        <v>20</v>
      </c>
      <c r="O79" s="76">
        <f>N79*F79</f>
        <v>20</v>
      </c>
      <c r="P79" s="81" t="s">
        <v>56</v>
      </c>
      <c r="Q79" s="106">
        <f>SUM(O26:O79)</f>
        <v>318.5</v>
      </c>
      <c r="Y79" s="91" t="s">
        <v>232</v>
      </c>
      <c r="Z79" s="92">
        <v>30</v>
      </c>
      <c r="AA79" s="92">
        <f t="shared" si="17"/>
        <v>3</v>
      </c>
    </row>
    <row r="80" spans="1:27" x14ac:dyDescent="0.25">
      <c r="A80" s="95">
        <v>45451</v>
      </c>
      <c r="B80" s="72" t="s">
        <v>328</v>
      </c>
      <c r="C80" s="72" t="s">
        <v>8</v>
      </c>
      <c r="D80" s="72" t="s">
        <v>17</v>
      </c>
      <c r="E80" s="72" t="s">
        <v>82</v>
      </c>
      <c r="F80" s="72">
        <v>1</v>
      </c>
      <c r="G80" s="73">
        <f t="shared" si="13"/>
        <v>50</v>
      </c>
      <c r="H80" s="73">
        <f t="shared" si="14"/>
        <v>50</v>
      </c>
      <c r="I80" s="73">
        <f t="shared" si="15"/>
        <v>50</v>
      </c>
      <c r="J80" s="72" t="s">
        <v>83</v>
      </c>
      <c r="K80" s="74"/>
      <c r="M80" s="99"/>
      <c r="N80" s="80" t="e">
        <f t="shared" si="18"/>
        <v>#N/A</v>
      </c>
      <c r="O80" s="76"/>
      <c r="P80" s="81"/>
      <c r="Y80" s="91" t="s">
        <v>234</v>
      </c>
      <c r="Z80" s="92">
        <v>30</v>
      </c>
      <c r="AA80" s="92">
        <f t="shared" si="17"/>
        <v>3</v>
      </c>
    </row>
    <row r="81" spans="1:27" x14ac:dyDescent="0.25">
      <c r="A81" s="95">
        <v>45451</v>
      </c>
      <c r="B81" s="72" t="s">
        <v>559</v>
      </c>
      <c r="C81" s="72" t="s">
        <v>8</v>
      </c>
      <c r="D81" s="72" t="s">
        <v>17</v>
      </c>
      <c r="E81" s="72" t="s">
        <v>82</v>
      </c>
      <c r="F81" s="72">
        <v>1</v>
      </c>
      <c r="G81" s="73">
        <f t="shared" si="13"/>
        <v>50</v>
      </c>
      <c r="H81" s="73">
        <f t="shared" si="14"/>
        <v>50</v>
      </c>
      <c r="I81" s="73">
        <f t="shared" si="15"/>
        <v>48.805</v>
      </c>
      <c r="J81" s="72" t="s">
        <v>78</v>
      </c>
      <c r="K81" s="74"/>
      <c r="M81" s="99"/>
      <c r="N81" s="80" t="e">
        <f t="shared" si="18"/>
        <v>#N/A</v>
      </c>
      <c r="O81" s="76"/>
      <c r="P81" s="81"/>
      <c r="Y81" s="91" t="s">
        <v>235</v>
      </c>
      <c r="Z81" s="92">
        <v>29.283000000000001</v>
      </c>
      <c r="AA81" s="92">
        <f t="shared" si="17"/>
        <v>2.9283000000000001</v>
      </c>
    </row>
    <row r="82" spans="1:27" x14ac:dyDescent="0.25">
      <c r="A82" s="95">
        <v>45451</v>
      </c>
      <c r="B82" s="72" t="s">
        <v>217</v>
      </c>
      <c r="C82" s="72" t="s">
        <v>96</v>
      </c>
      <c r="D82" s="72" t="s">
        <v>18</v>
      </c>
      <c r="E82" s="72" t="s">
        <v>82</v>
      </c>
      <c r="F82" s="72">
        <v>1</v>
      </c>
      <c r="G82" s="73">
        <f t="shared" si="13"/>
        <v>40</v>
      </c>
      <c r="H82" s="73">
        <f t="shared" si="14"/>
        <v>40</v>
      </c>
      <c r="I82" s="73">
        <f t="shared" si="15"/>
        <v>39.043999999999997</v>
      </c>
      <c r="J82" s="72" t="s">
        <v>78</v>
      </c>
      <c r="K82" s="74"/>
      <c r="M82" s="99"/>
      <c r="N82" s="80" t="e">
        <f t="shared" si="18"/>
        <v>#N/A</v>
      </c>
      <c r="O82" s="76"/>
      <c r="P82" s="81"/>
      <c r="Y82" s="91" t="s">
        <v>237</v>
      </c>
      <c r="Z82" s="92">
        <v>28.503</v>
      </c>
      <c r="AA82" s="92">
        <f t="shared" si="17"/>
        <v>2.8503000000000003</v>
      </c>
    </row>
    <row r="83" spans="1:27" x14ac:dyDescent="0.25">
      <c r="A83" s="95">
        <v>45451</v>
      </c>
      <c r="B83" s="72" t="s">
        <v>482</v>
      </c>
      <c r="C83" s="72" t="s">
        <v>8</v>
      </c>
      <c r="D83" s="72" t="s">
        <v>38</v>
      </c>
      <c r="E83" s="72" t="s">
        <v>82</v>
      </c>
      <c r="F83" s="72">
        <v>1</v>
      </c>
      <c r="G83" s="73">
        <f t="shared" si="13"/>
        <v>6</v>
      </c>
      <c r="H83" s="73">
        <f t="shared" si="14"/>
        <v>6</v>
      </c>
      <c r="I83" s="73">
        <f t="shared" si="15"/>
        <v>5.8566000000000003</v>
      </c>
      <c r="J83" s="72" t="s">
        <v>78</v>
      </c>
      <c r="K83" s="74"/>
      <c r="M83" s="99"/>
      <c r="N83" s="80" t="e">
        <f t="shared" si="18"/>
        <v>#N/A</v>
      </c>
      <c r="O83" s="76"/>
      <c r="P83" s="81"/>
      <c r="Y83" s="91" t="s">
        <v>239</v>
      </c>
      <c r="Z83" s="92">
        <v>30</v>
      </c>
      <c r="AA83" s="92">
        <f t="shared" si="17"/>
        <v>3</v>
      </c>
    </row>
    <row r="84" spans="1:27" x14ac:dyDescent="0.25">
      <c r="A84" s="95">
        <v>45451</v>
      </c>
      <c r="B84" s="72" t="s">
        <v>621</v>
      </c>
      <c r="C84" s="72" t="s">
        <v>8</v>
      </c>
      <c r="D84" s="72" t="s">
        <v>15</v>
      </c>
      <c r="E84" s="72" t="s">
        <v>82</v>
      </c>
      <c r="F84" s="72">
        <v>1</v>
      </c>
      <c r="G84" s="73">
        <f t="shared" si="13"/>
        <v>70</v>
      </c>
      <c r="H84" s="73">
        <f t="shared" si="14"/>
        <v>70</v>
      </c>
      <c r="I84" s="73">
        <f t="shared" si="15"/>
        <v>70</v>
      </c>
      <c r="J84" s="72" t="s">
        <v>83</v>
      </c>
      <c r="K84" s="74"/>
      <c r="M84" s="99"/>
      <c r="N84" s="80" t="e">
        <f t="shared" si="18"/>
        <v>#N/A</v>
      </c>
      <c r="O84" s="76"/>
      <c r="P84" s="81"/>
      <c r="Y84" s="91" t="s">
        <v>241</v>
      </c>
      <c r="Z84" s="92">
        <v>30</v>
      </c>
      <c r="AA84" s="92">
        <f t="shared" si="17"/>
        <v>3</v>
      </c>
    </row>
    <row r="85" spans="1:27" x14ac:dyDescent="0.25">
      <c r="A85" s="95">
        <v>45451</v>
      </c>
      <c r="B85" s="72" t="s">
        <v>621</v>
      </c>
      <c r="C85" s="72" t="s">
        <v>96</v>
      </c>
      <c r="D85" s="72" t="s">
        <v>26</v>
      </c>
      <c r="E85" s="72" t="s">
        <v>82</v>
      </c>
      <c r="F85" s="72">
        <v>1</v>
      </c>
      <c r="G85" s="73">
        <f t="shared" si="13"/>
        <v>35</v>
      </c>
      <c r="H85" s="73">
        <f t="shared" si="14"/>
        <v>35</v>
      </c>
      <c r="I85" s="73">
        <f t="shared" si="15"/>
        <v>35</v>
      </c>
      <c r="J85" s="72" t="s">
        <v>83</v>
      </c>
      <c r="K85" s="74"/>
      <c r="M85" s="99"/>
      <c r="N85" s="80" t="e">
        <f t="shared" si="18"/>
        <v>#N/A</v>
      </c>
      <c r="O85" s="76"/>
      <c r="P85" s="81"/>
      <c r="Y85" s="91" t="s">
        <v>242</v>
      </c>
      <c r="Z85" s="92">
        <v>29.283000000000001</v>
      </c>
      <c r="AA85" s="92">
        <f t="shared" si="17"/>
        <v>2.9283000000000001</v>
      </c>
    </row>
    <row r="86" spans="1:27" x14ac:dyDescent="0.25">
      <c r="A86" s="95">
        <v>45451</v>
      </c>
      <c r="B86" s="72" t="s">
        <v>621</v>
      </c>
      <c r="C86" s="72" t="s">
        <v>96</v>
      </c>
      <c r="D86" s="72" t="s">
        <v>37</v>
      </c>
      <c r="E86" s="72" t="s">
        <v>82</v>
      </c>
      <c r="F86" s="72">
        <v>1</v>
      </c>
      <c r="G86" s="73">
        <f t="shared" si="13"/>
        <v>7</v>
      </c>
      <c r="H86" s="73">
        <f t="shared" si="14"/>
        <v>7</v>
      </c>
      <c r="I86" s="73">
        <f t="shared" si="15"/>
        <v>7</v>
      </c>
      <c r="J86" s="72" t="s">
        <v>83</v>
      </c>
      <c r="K86" s="74"/>
      <c r="M86" s="99"/>
      <c r="N86" s="80" t="e">
        <f t="shared" si="18"/>
        <v>#N/A</v>
      </c>
      <c r="O86" s="76"/>
      <c r="P86" s="81"/>
      <c r="Y86" s="91" t="s">
        <v>243</v>
      </c>
      <c r="Z86" s="92">
        <v>28.503</v>
      </c>
      <c r="AA86" s="92">
        <f t="shared" si="17"/>
        <v>2.8503000000000003</v>
      </c>
    </row>
    <row r="87" spans="1:27" x14ac:dyDescent="0.25">
      <c r="A87" s="95">
        <v>45451</v>
      </c>
      <c r="B87" s="72" t="s">
        <v>204</v>
      </c>
      <c r="C87" s="72" t="s">
        <v>96</v>
      </c>
      <c r="D87" s="72" t="s">
        <v>17</v>
      </c>
      <c r="E87" s="72" t="s">
        <v>82</v>
      </c>
      <c r="F87" s="72">
        <v>1</v>
      </c>
      <c r="G87" s="73">
        <f t="shared" si="13"/>
        <v>50</v>
      </c>
      <c r="H87" s="73">
        <f t="shared" si="14"/>
        <v>50</v>
      </c>
      <c r="I87" s="73">
        <f t="shared" si="15"/>
        <v>50</v>
      </c>
      <c r="J87" s="72" t="s">
        <v>83</v>
      </c>
      <c r="K87" s="74"/>
      <c r="M87" s="99"/>
      <c r="N87" s="80" t="e">
        <f t="shared" si="18"/>
        <v>#N/A</v>
      </c>
      <c r="O87" s="76"/>
      <c r="P87" s="81"/>
      <c r="Y87" s="91" t="s">
        <v>245</v>
      </c>
      <c r="Z87" s="92">
        <v>10</v>
      </c>
      <c r="AA87" s="92">
        <f t="shared" si="17"/>
        <v>1</v>
      </c>
    </row>
    <row r="88" spans="1:27" x14ac:dyDescent="0.25">
      <c r="A88" s="95">
        <v>45454</v>
      </c>
      <c r="B88" s="72" t="s">
        <v>622</v>
      </c>
      <c r="C88" s="72" t="s">
        <v>8</v>
      </c>
      <c r="D88" s="72" t="s">
        <v>18</v>
      </c>
      <c r="E88" s="72" t="s">
        <v>82</v>
      </c>
      <c r="F88" s="72">
        <v>1</v>
      </c>
      <c r="G88" s="73">
        <f t="shared" si="13"/>
        <v>40</v>
      </c>
      <c r="H88" s="73">
        <f t="shared" si="14"/>
        <v>40</v>
      </c>
      <c r="I88" s="73">
        <f t="shared" si="15"/>
        <v>39.043999999999997</v>
      </c>
      <c r="J88" s="72" t="s">
        <v>78</v>
      </c>
      <c r="K88" s="74"/>
      <c r="M88" s="99"/>
      <c r="N88" s="80" t="e">
        <f t="shared" si="18"/>
        <v>#N/A</v>
      </c>
      <c r="O88" s="76"/>
      <c r="P88" s="81"/>
      <c r="Y88" s="91" t="s">
        <v>246</v>
      </c>
      <c r="Z88" s="92">
        <v>10</v>
      </c>
      <c r="AA88" s="92">
        <f t="shared" si="17"/>
        <v>1</v>
      </c>
    </row>
    <row r="89" spans="1:27" x14ac:dyDescent="0.25">
      <c r="A89" s="95">
        <v>45454</v>
      </c>
      <c r="B89" s="72" t="s">
        <v>194</v>
      </c>
      <c r="C89" s="72" t="s">
        <v>8</v>
      </c>
      <c r="D89" s="72" t="s">
        <v>17</v>
      </c>
      <c r="E89" s="72" t="s">
        <v>82</v>
      </c>
      <c r="F89" s="72">
        <v>1</v>
      </c>
      <c r="G89" s="73">
        <f t="shared" si="13"/>
        <v>50</v>
      </c>
      <c r="H89" s="73">
        <f t="shared" si="14"/>
        <v>50</v>
      </c>
      <c r="I89" s="73">
        <f t="shared" si="15"/>
        <v>50</v>
      </c>
      <c r="J89" s="72" t="s">
        <v>83</v>
      </c>
      <c r="K89" s="74"/>
      <c r="M89" s="99"/>
      <c r="N89" s="80" t="e">
        <f t="shared" si="18"/>
        <v>#N/A</v>
      </c>
      <c r="O89" s="76"/>
      <c r="P89" s="81"/>
      <c r="Y89" s="91" t="s">
        <v>248</v>
      </c>
      <c r="Z89" s="92">
        <v>9.7609999999999992</v>
      </c>
      <c r="AA89" s="92">
        <f t="shared" si="17"/>
        <v>0.97609999999999997</v>
      </c>
    </row>
    <row r="90" spans="1:27" x14ac:dyDescent="0.25">
      <c r="A90" s="95">
        <v>45454</v>
      </c>
      <c r="B90" s="72" t="s">
        <v>194</v>
      </c>
      <c r="C90" s="72" t="s">
        <v>8</v>
      </c>
      <c r="D90" s="72" t="s">
        <v>162</v>
      </c>
      <c r="E90" s="72" t="s">
        <v>82</v>
      </c>
      <c r="F90" s="72">
        <v>1</v>
      </c>
      <c r="G90" s="73">
        <f t="shared" si="13"/>
        <v>8</v>
      </c>
      <c r="H90" s="73">
        <f t="shared" si="14"/>
        <v>8</v>
      </c>
      <c r="I90" s="73">
        <f t="shared" si="15"/>
        <v>8</v>
      </c>
      <c r="J90" s="72" t="s">
        <v>333</v>
      </c>
      <c r="K90" s="74"/>
      <c r="M90" s="99"/>
      <c r="N90" s="80" t="e">
        <f t="shared" si="18"/>
        <v>#N/A</v>
      </c>
      <c r="O90" s="76"/>
      <c r="P90" s="81"/>
      <c r="Y90" s="91" t="s">
        <v>249</v>
      </c>
      <c r="Z90" s="92">
        <v>9.5009999999999994</v>
      </c>
      <c r="AA90" s="92">
        <f t="shared" si="17"/>
        <v>0.95009999999999994</v>
      </c>
    </row>
    <row r="91" spans="1:27" x14ac:dyDescent="0.25">
      <c r="A91" s="95">
        <v>45454</v>
      </c>
      <c r="B91" s="72" t="s">
        <v>212</v>
      </c>
      <c r="C91" s="72" t="s">
        <v>8</v>
      </c>
      <c r="D91" s="72" t="s">
        <v>40</v>
      </c>
      <c r="E91" s="72" t="s">
        <v>82</v>
      </c>
      <c r="F91" s="72">
        <v>1</v>
      </c>
      <c r="G91" s="73">
        <f t="shared" si="13"/>
        <v>45</v>
      </c>
      <c r="H91" s="73">
        <f t="shared" si="14"/>
        <v>45</v>
      </c>
      <c r="I91" s="73">
        <f t="shared" si="15"/>
        <v>45</v>
      </c>
      <c r="J91" s="72" t="s">
        <v>333</v>
      </c>
      <c r="K91" s="74"/>
      <c r="M91" s="99"/>
      <c r="N91" s="80" t="e">
        <f t="shared" si="18"/>
        <v>#N/A</v>
      </c>
      <c r="O91" s="76"/>
      <c r="P91" s="81"/>
      <c r="Y91" s="91" t="s">
        <v>250</v>
      </c>
      <c r="Z91" s="92">
        <v>20</v>
      </c>
      <c r="AA91" s="92">
        <f t="shared" si="17"/>
        <v>2</v>
      </c>
    </row>
    <row r="92" spans="1:27" x14ac:dyDescent="0.25">
      <c r="A92" s="95">
        <v>45454</v>
      </c>
      <c r="B92" s="72" t="s">
        <v>623</v>
      </c>
      <c r="C92" s="72" t="s">
        <v>8</v>
      </c>
      <c r="D92" s="72" t="s">
        <v>18</v>
      </c>
      <c r="E92" s="72" t="s">
        <v>82</v>
      </c>
      <c r="F92" s="72">
        <v>1</v>
      </c>
      <c r="G92" s="73">
        <f t="shared" si="13"/>
        <v>40</v>
      </c>
      <c r="H92" s="73">
        <f t="shared" si="14"/>
        <v>40</v>
      </c>
      <c r="I92" s="73">
        <f t="shared" si="15"/>
        <v>40</v>
      </c>
      <c r="J92" s="72" t="s">
        <v>333</v>
      </c>
      <c r="K92" s="74"/>
      <c r="M92" s="99"/>
      <c r="N92" s="80" t="e">
        <f t="shared" si="18"/>
        <v>#N/A</v>
      </c>
      <c r="O92" s="76"/>
      <c r="P92" s="81"/>
      <c r="Y92" s="91" t="s">
        <v>252</v>
      </c>
      <c r="Z92" s="92">
        <v>20</v>
      </c>
      <c r="AA92" s="92">
        <f t="shared" si="17"/>
        <v>2</v>
      </c>
    </row>
    <row r="93" spans="1:27" x14ac:dyDescent="0.25">
      <c r="A93" s="95">
        <v>45454</v>
      </c>
      <c r="B93" s="72" t="s">
        <v>624</v>
      </c>
      <c r="C93" s="72" t="s">
        <v>10</v>
      </c>
      <c r="D93" s="72" t="s">
        <v>13</v>
      </c>
      <c r="E93" s="72" t="s">
        <v>56</v>
      </c>
      <c r="F93" s="72">
        <v>1</v>
      </c>
      <c r="G93" s="73">
        <f t="shared" si="13"/>
        <v>30</v>
      </c>
      <c r="H93" s="73">
        <f t="shared" si="14"/>
        <v>30</v>
      </c>
      <c r="I93" s="73">
        <f t="shared" si="15"/>
        <v>29.283000000000001</v>
      </c>
      <c r="J93" s="72" t="s">
        <v>78</v>
      </c>
      <c r="K93" s="74"/>
      <c r="M93" s="99" t="s">
        <v>13</v>
      </c>
      <c r="N93" s="80">
        <f t="shared" si="18"/>
        <v>12</v>
      </c>
      <c r="O93" s="76">
        <f>N93*F93</f>
        <v>12</v>
      </c>
      <c r="P93" s="81" t="s">
        <v>56</v>
      </c>
      <c r="Y93" s="91" t="s">
        <v>253</v>
      </c>
      <c r="Z93" s="92">
        <v>19.521999999999998</v>
      </c>
      <c r="AA93" s="92">
        <f t="shared" si="17"/>
        <v>1.9521999999999999</v>
      </c>
    </row>
    <row r="94" spans="1:27" x14ac:dyDescent="0.25">
      <c r="A94" s="95">
        <v>45454</v>
      </c>
      <c r="B94" s="72" t="s">
        <v>624</v>
      </c>
      <c r="C94" s="72" t="s">
        <v>10</v>
      </c>
      <c r="D94" s="72" t="s">
        <v>22</v>
      </c>
      <c r="E94" s="72" t="s">
        <v>56</v>
      </c>
      <c r="F94" s="72">
        <v>1</v>
      </c>
      <c r="G94" s="73">
        <f t="shared" si="13"/>
        <v>30</v>
      </c>
      <c r="H94" s="73">
        <f t="shared" si="14"/>
        <v>30</v>
      </c>
      <c r="I94" s="73">
        <f t="shared" si="15"/>
        <v>29.283000000000001</v>
      </c>
      <c r="J94" s="72" t="s">
        <v>78</v>
      </c>
      <c r="K94" s="74"/>
      <c r="M94" s="99" t="s">
        <v>22</v>
      </c>
      <c r="N94" s="80">
        <f t="shared" si="18"/>
        <v>12</v>
      </c>
      <c r="O94" s="76">
        <f>N94*F94</f>
        <v>12</v>
      </c>
      <c r="P94" s="81" t="s">
        <v>56</v>
      </c>
      <c r="Y94" s="91" t="s">
        <v>254</v>
      </c>
      <c r="Z94" s="92">
        <v>19.001999999999999</v>
      </c>
      <c r="AA94" s="92">
        <f t="shared" si="17"/>
        <v>1.9001999999999999</v>
      </c>
    </row>
    <row r="95" spans="1:27" x14ac:dyDescent="0.25">
      <c r="A95" s="95">
        <v>45454</v>
      </c>
      <c r="B95" s="72" t="s">
        <v>204</v>
      </c>
      <c r="C95" s="72" t="s">
        <v>8</v>
      </c>
      <c r="D95" s="72" t="s">
        <v>15</v>
      </c>
      <c r="E95" s="72" t="s">
        <v>82</v>
      </c>
      <c r="F95" s="72">
        <v>1</v>
      </c>
      <c r="G95" s="73">
        <f t="shared" si="13"/>
        <v>70</v>
      </c>
      <c r="H95" s="73">
        <f t="shared" si="14"/>
        <v>70</v>
      </c>
      <c r="I95" s="73">
        <f t="shared" si="15"/>
        <v>68.326999999999998</v>
      </c>
      <c r="J95" s="72" t="s">
        <v>78</v>
      </c>
      <c r="K95" s="74"/>
      <c r="M95" s="99"/>
      <c r="N95" s="80" t="e">
        <f t="shared" si="18"/>
        <v>#N/A</v>
      </c>
      <c r="O95" s="76"/>
      <c r="P95" s="81"/>
      <c r="Y95" s="91" t="s">
        <v>255</v>
      </c>
      <c r="Z95" s="92">
        <v>10</v>
      </c>
      <c r="AA95" s="92">
        <f t="shared" si="17"/>
        <v>1</v>
      </c>
    </row>
    <row r="96" spans="1:27" x14ac:dyDescent="0.25">
      <c r="A96" s="95">
        <v>45454</v>
      </c>
      <c r="B96" s="72" t="s">
        <v>204</v>
      </c>
      <c r="C96" s="72" t="s">
        <v>8</v>
      </c>
      <c r="D96" s="72" t="s">
        <v>131</v>
      </c>
      <c r="E96" s="72" t="s">
        <v>82</v>
      </c>
      <c r="F96" s="72">
        <v>1</v>
      </c>
      <c r="G96" s="73">
        <v>35</v>
      </c>
      <c r="H96" s="73">
        <f t="shared" si="14"/>
        <v>35</v>
      </c>
      <c r="I96" s="73">
        <f t="shared" si="15"/>
        <v>33.253500000000003</v>
      </c>
      <c r="J96" s="72" t="s">
        <v>86</v>
      </c>
      <c r="K96" s="74"/>
      <c r="M96" s="99"/>
      <c r="N96" s="80" t="e">
        <f t="shared" si="18"/>
        <v>#N/A</v>
      </c>
      <c r="O96" s="76"/>
      <c r="P96" s="81"/>
      <c r="Y96" s="91" t="s">
        <v>257</v>
      </c>
      <c r="Z96" s="92">
        <v>10</v>
      </c>
      <c r="AA96" s="92">
        <f t="shared" si="17"/>
        <v>1</v>
      </c>
    </row>
    <row r="97" spans="1:27" x14ac:dyDescent="0.25">
      <c r="A97" s="95">
        <v>45454</v>
      </c>
      <c r="B97" s="72" t="s">
        <v>204</v>
      </c>
      <c r="C97" s="72" t="s">
        <v>8</v>
      </c>
      <c r="D97" s="72" t="s">
        <v>17</v>
      </c>
      <c r="E97" s="72" t="s">
        <v>56</v>
      </c>
      <c r="F97" s="72">
        <v>1</v>
      </c>
      <c r="G97" s="73">
        <f>VLOOKUP(D97,$S$3:$T$64,2,0)</f>
        <v>50</v>
      </c>
      <c r="H97" s="73">
        <f t="shared" si="14"/>
        <v>50</v>
      </c>
      <c r="I97" s="73">
        <f t="shared" si="15"/>
        <v>50</v>
      </c>
      <c r="J97" s="72" t="s">
        <v>83</v>
      </c>
      <c r="K97" s="74"/>
      <c r="M97" s="99" t="s">
        <v>17</v>
      </c>
      <c r="N97" s="80">
        <f t="shared" si="18"/>
        <v>20</v>
      </c>
      <c r="O97" s="76">
        <f>N97*F97</f>
        <v>20</v>
      </c>
      <c r="P97" s="81" t="s">
        <v>56</v>
      </c>
      <c r="Y97" s="91" t="s">
        <v>259</v>
      </c>
      <c r="Z97" s="92">
        <v>9.7609999999999992</v>
      </c>
      <c r="AA97" s="92">
        <f t="shared" si="17"/>
        <v>0.97609999999999997</v>
      </c>
    </row>
    <row r="98" spans="1:27" x14ac:dyDescent="0.25">
      <c r="A98" s="95">
        <v>45455</v>
      </c>
      <c r="B98" s="72" t="s">
        <v>516</v>
      </c>
      <c r="C98" s="72" t="s">
        <v>8</v>
      </c>
      <c r="D98" s="72" t="s">
        <v>16</v>
      </c>
      <c r="E98" s="72" t="s">
        <v>82</v>
      </c>
      <c r="F98" s="72">
        <v>1</v>
      </c>
      <c r="G98" s="73">
        <f>VLOOKUP(D98,$S$3:$T$64,2,0)</f>
        <v>80</v>
      </c>
      <c r="H98" s="73">
        <f t="shared" si="14"/>
        <v>80</v>
      </c>
      <c r="I98" s="73">
        <f t="shared" si="15"/>
        <v>80</v>
      </c>
      <c r="J98" s="72" t="s">
        <v>333</v>
      </c>
      <c r="K98" s="74"/>
      <c r="M98" s="99"/>
      <c r="N98" s="80" t="e">
        <f t="shared" si="18"/>
        <v>#N/A</v>
      </c>
      <c r="O98" s="76"/>
      <c r="P98" s="81"/>
      <c r="Y98" s="91" t="s">
        <v>261</v>
      </c>
      <c r="Z98" s="92">
        <v>9.5009999999999994</v>
      </c>
      <c r="AA98" s="92">
        <f t="shared" si="17"/>
        <v>0.95009999999999994</v>
      </c>
    </row>
    <row r="99" spans="1:27" x14ac:dyDescent="0.25">
      <c r="A99" s="95">
        <v>45455</v>
      </c>
      <c r="B99" s="72" t="s">
        <v>573</v>
      </c>
      <c r="C99" s="72" t="s">
        <v>8</v>
      </c>
      <c r="D99" s="72" t="s">
        <v>175</v>
      </c>
      <c r="E99" s="72" t="s">
        <v>82</v>
      </c>
      <c r="F99" s="72">
        <v>1</v>
      </c>
      <c r="G99" s="73">
        <f>VLOOKUP(D99,$S$3:$T$64,2,0)</f>
        <v>40</v>
      </c>
      <c r="H99" s="73">
        <f t="shared" ref="H99:H105" si="19">F99*G99</f>
        <v>40</v>
      </c>
      <c r="I99" s="73">
        <f t="shared" si="15"/>
        <v>38.003999999999998</v>
      </c>
      <c r="J99" s="72" t="s">
        <v>86</v>
      </c>
      <c r="K99" s="74"/>
      <c r="M99" s="99"/>
      <c r="N99" s="80" t="e">
        <f t="shared" si="18"/>
        <v>#N/A</v>
      </c>
      <c r="O99" s="76"/>
      <c r="P99" s="81"/>
      <c r="Y99" s="91" t="s">
        <v>263</v>
      </c>
      <c r="Z99" s="92">
        <v>35</v>
      </c>
      <c r="AA99" s="92">
        <f t="shared" si="17"/>
        <v>3.5</v>
      </c>
    </row>
    <row r="100" spans="1:27" x14ac:dyDescent="0.25">
      <c r="A100" s="95">
        <v>45455</v>
      </c>
      <c r="B100" s="72" t="s">
        <v>625</v>
      </c>
      <c r="C100" s="72" t="s">
        <v>8</v>
      </c>
      <c r="D100" s="72" t="s">
        <v>15</v>
      </c>
      <c r="E100" s="72" t="s">
        <v>82</v>
      </c>
      <c r="F100" s="72">
        <v>1</v>
      </c>
      <c r="G100" s="73">
        <f>VLOOKUP(D100,$S$3:$T$64,2,0)</f>
        <v>70</v>
      </c>
      <c r="H100" s="73">
        <f t="shared" si="19"/>
        <v>70</v>
      </c>
      <c r="I100" s="73">
        <f t="shared" si="15"/>
        <v>70</v>
      </c>
      <c r="J100" s="72" t="s">
        <v>83</v>
      </c>
      <c r="K100" s="74"/>
      <c r="M100" s="99"/>
      <c r="N100" s="80" t="e">
        <f t="shared" si="18"/>
        <v>#N/A</v>
      </c>
      <c r="O100" s="76"/>
      <c r="P100" s="81"/>
      <c r="Y100" s="91" t="s">
        <v>265</v>
      </c>
      <c r="Z100" s="92">
        <v>35</v>
      </c>
      <c r="AA100" s="92">
        <f t="shared" si="17"/>
        <v>3.5</v>
      </c>
    </row>
    <row r="101" spans="1:27" x14ac:dyDescent="0.25">
      <c r="A101" s="95">
        <v>45455</v>
      </c>
      <c r="B101" s="72" t="s">
        <v>533</v>
      </c>
      <c r="C101" s="72" t="s">
        <v>8</v>
      </c>
      <c r="D101" s="72" t="s">
        <v>18</v>
      </c>
      <c r="E101" s="72" t="s">
        <v>82</v>
      </c>
      <c r="F101" s="72">
        <v>1</v>
      </c>
      <c r="G101" s="73">
        <v>35</v>
      </c>
      <c r="H101" s="73">
        <f t="shared" si="19"/>
        <v>35</v>
      </c>
      <c r="I101" s="73">
        <f t="shared" si="15"/>
        <v>35</v>
      </c>
      <c r="J101" s="72" t="s">
        <v>79</v>
      </c>
      <c r="K101" s="74"/>
      <c r="M101" s="99"/>
      <c r="N101" s="80" t="e">
        <f t="shared" si="18"/>
        <v>#N/A</v>
      </c>
      <c r="O101" s="76"/>
      <c r="P101" s="81"/>
      <c r="Y101" s="91" t="s">
        <v>267</v>
      </c>
      <c r="Z101" s="92">
        <v>34.163499999999999</v>
      </c>
      <c r="AA101" s="92">
        <f t="shared" si="17"/>
        <v>3.41635</v>
      </c>
    </row>
    <row r="102" spans="1:27" x14ac:dyDescent="0.25">
      <c r="A102" s="95">
        <v>45456</v>
      </c>
      <c r="B102" s="72" t="s">
        <v>174</v>
      </c>
      <c r="C102" s="72" t="s">
        <v>8</v>
      </c>
      <c r="D102" s="72" t="s">
        <v>21</v>
      </c>
      <c r="E102" s="72" t="s">
        <v>56</v>
      </c>
      <c r="F102" s="72">
        <v>1</v>
      </c>
      <c r="G102" s="73">
        <f t="shared" ref="G102:G109" si="20">VLOOKUP(D102,$S$3:$T$64,2,0)</f>
        <v>10</v>
      </c>
      <c r="H102" s="73">
        <f t="shared" si="19"/>
        <v>10</v>
      </c>
      <c r="I102" s="73">
        <f t="shared" si="15"/>
        <v>10</v>
      </c>
      <c r="J102" s="72" t="s">
        <v>83</v>
      </c>
      <c r="K102" s="74"/>
      <c r="M102" s="99" t="s">
        <v>21</v>
      </c>
      <c r="N102" s="80">
        <f t="shared" si="18"/>
        <v>4</v>
      </c>
      <c r="O102" s="76">
        <f>N102*F102</f>
        <v>4</v>
      </c>
      <c r="P102" s="81" t="s">
        <v>56</v>
      </c>
      <c r="Y102" s="91" t="s">
        <v>271</v>
      </c>
      <c r="Z102" s="92">
        <v>35</v>
      </c>
      <c r="AA102" s="92">
        <f t="shared" si="17"/>
        <v>3.5</v>
      </c>
    </row>
    <row r="103" spans="1:27" x14ac:dyDescent="0.25">
      <c r="A103" s="95">
        <v>45456</v>
      </c>
      <c r="B103" s="72" t="s">
        <v>626</v>
      </c>
      <c r="C103" s="72" t="s">
        <v>10</v>
      </c>
      <c r="D103" s="72" t="s">
        <v>18</v>
      </c>
      <c r="E103" s="72" t="s">
        <v>56</v>
      </c>
      <c r="F103" s="72">
        <v>1</v>
      </c>
      <c r="G103" s="73">
        <f t="shared" si="20"/>
        <v>40</v>
      </c>
      <c r="H103" s="73">
        <f t="shared" si="19"/>
        <v>40</v>
      </c>
      <c r="I103" s="73">
        <f t="shared" si="15"/>
        <v>40</v>
      </c>
      <c r="J103" s="72" t="s">
        <v>79</v>
      </c>
      <c r="K103" s="74"/>
      <c r="M103" s="99" t="s">
        <v>18</v>
      </c>
      <c r="N103" s="80">
        <f t="shared" si="18"/>
        <v>16</v>
      </c>
      <c r="O103" s="76">
        <f>N103*F103</f>
        <v>16</v>
      </c>
      <c r="P103" s="81" t="s">
        <v>56</v>
      </c>
      <c r="Y103" s="91" t="s">
        <v>273</v>
      </c>
      <c r="Z103" s="92">
        <v>35</v>
      </c>
      <c r="AA103" s="92">
        <f t="shared" si="17"/>
        <v>3.5</v>
      </c>
    </row>
    <row r="104" spans="1:27" x14ac:dyDescent="0.25">
      <c r="A104" s="95">
        <v>45456</v>
      </c>
      <c r="B104" s="72" t="s">
        <v>627</v>
      </c>
      <c r="C104" s="72" t="s">
        <v>10</v>
      </c>
      <c r="D104" s="72" t="s">
        <v>18</v>
      </c>
      <c r="E104" s="72" t="s">
        <v>56</v>
      </c>
      <c r="F104" s="72">
        <v>1</v>
      </c>
      <c r="G104" s="73">
        <f t="shared" si="20"/>
        <v>40</v>
      </c>
      <c r="H104" s="73">
        <f t="shared" si="19"/>
        <v>40</v>
      </c>
      <c r="I104" s="73">
        <f t="shared" si="15"/>
        <v>39.043999999999997</v>
      </c>
      <c r="J104" s="72" t="s">
        <v>78</v>
      </c>
      <c r="K104" s="74"/>
      <c r="M104" s="99" t="s">
        <v>18</v>
      </c>
      <c r="N104" s="80">
        <f t="shared" si="18"/>
        <v>16</v>
      </c>
      <c r="O104" s="76">
        <f>N104*F104</f>
        <v>16</v>
      </c>
      <c r="P104" s="81" t="s">
        <v>56</v>
      </c>
      <c r="Y104" s="91" t="s">
        <v>275</v>
      </c>
      <c r="Z104" s="92">
        <v>34.163499999999999</v>
      </c>
      <c r="AA104" s="92">
        <f t="shared" si="17"/>
        <v>3.41635</v>
      </c>
    </row>
    <row r="105" spans="1:27" x14ac:dyDescent="0.25">
      <c r="A105" s="95">
        <v>45457</v>
      </c>
      <c r="B105" s="72" t="s">
        <v>592</v>
      </c>
      <c r="C105" s="72" t="s">
        <v>10</v>
      </c>
      <c r="D105" s="72" t="s">
        <v>15</v>
      </c>
      <c r="E105" s="72" t="s">
        <v>56</v>
      </c>
      <c r="F105" s="72">
        <v>1</v>
      </c>
      <c r="G105" s="73">
        <f t="shared" si="20"/>
        <v>70</v>
      </c>
      <c r="H105" s="73">
        <f t="shared" si="19"/>
        <v>70</v>
      </c>
      <c r="I105" s="73">
        <f t="shared" si="15"/>
        <v>68.326999999999998</v>
      </c>
      <c r="J105" s="72" t="s">
        <v>78</v>
      </c>
      <c r="K105" s="74"/>
      <c r="M105" s="99" t="s">
        <v>15</v>
      </c>
      <c r="N105" s="80">
        <f t="shared" si="18"/>
        <v>28</v>
      </c>
      <c r="O105" s="76">
        <f>N105*F105</f>
        <v>28</v>
      </c>
      <c r="P105" s="81" t="s">
        <v>56</v>
      </c>
      <c r="Y105" s="91" t="s">
        <v>277</v>
      </c>
      <c r="Z105" s="92">
        <v>33.253500000000003</v>
      </c>
      <c r="AA105" s="92">
        <f t="shared" si="17"/>
        <v>3.3253500000000003</v>
      </c>
    </row>
    <row r="106" spans="1:27" x14ac:dyDescent="0.25">
      <c r="A106" s="95">
        <v>45457</v>
      </c>
      <c r="B106" s="72" t="s">
        <v>628</v>
      </c>
      <c r="C106" s="72" t="s">
        <v>8</v>
      </c>
      <c r="D106" s="72" t="s">
        <v>175</v>
      </c>
      <c r="E106" s="72" t="s">
        <v>82</v>
      </c>
      <c r="F106" s="72">
        <v>2</v>
      </c>
      <c r="G106" s="73">
        <f t="shared" si="20"/>
        <v>40</v>
      </c>
      <c r="H106" s="73">
        <v>75</v>
      </c>
      <c r="I106" s="73">
        <f t="shared" si="15"/>
        <v>75</v>
      </c>
      <c r="J106" s="72" t="s">
        <v>83</v>
      </c>
      <c r="K106" s="74"/>
      <c r="M106" s="99"/>
      <c r="N106" s="80" t="e">
        <f t="shared" si="18"/>
        <v>#N/A</v>
      </c>
      <c r="O106" s="76"/>
      <c r="P106" s="81"/>
      <c r="Y106" s="91" t="s">
        <v>278</v>
      </c>
      <c r="Z106" s="92">
        <v>35</v>
      </c>
      <c r="AA106" s="92">
        <f t="shared" si="17"/>
        <v>3.5</v>
      </c>
    </row>
    <row r="107" spans="1:27" x14ac:dyDescent="0.25">
      <c r="A107" s="95">
        <v>45457</v>
      </c>
      <c r="B107" s="72" t="s">
        <v>561</v>
      </c>
      <c r="C107" s="72" t="s">
        <v>8</v>
      </c>
      <c r="D107" s="72" t="s">
        <v>17</v>
      </c>
      <c r="E107" s="72" t="s">
        <v>82</v>
      </c>
      <c r="F107" s="72">
        <v>1</v>
      </c>
      <c r="G107" s="73">
        <f t="shared" si="20"/>
        <v>50</v>
      </c>
      <c r="H107" s="73">
        <f t="shared" ref="H107:H146" si="21">F107*G107</f>
        <v>50</v>
      </c>
      <c r="I107" s="73">
        <f t="shared" si="15"/>
        <v>47.505000000000003</v>
      </c>
      <c r="J107" s="72" t="s">
        <v>86</v>
      </c>
      <c r="K107" s="74"/>
      <c r="M107" s="99"/>
      <c r="N107" s="80" t="e">
        <f t="shared" si="18"/>
        <v>#N/A</v>
      </c>
      <c r="O107" s="76"/>
      <c r="P107" s="81"/>
      <c r="Y107" s="91" t="s">
        <v>280</v>
      </c>
      <c r="Z107" s="92">
        <v>35</v>
      </c>
      <c r="AA107" s="92">
        <f t="shared" si="17"/>
        <v>3.5</v>
      </c>
    </row>
    <row r="108" spans="1:27" x14ac:dyDescent="0.25">
      <c r="A108" s="95">
        <v>45457</v>
      </c>
      <c r="B108" s="72" t="s">
        <v>561</v>
      </c>
      <c r="C108" s="72" t="s">
        <v>8</v>
      </c>
      <c r="D108" s="72" t="s">
        <v>23</v>
      </c>
      <c r="E108" s="72" t="s">
        <v>82</v>
      </c>
      <c r="F108" s="72">
        <v>1</v>
      </c>
      <c r="G108" s="73">
        <f t="shared" si="20"/>
        <v>5</v>
      </c>
      <c r="H108" s="73">
        <f t="shared" si="21"/>
        <v>5</v>
      </c>
      <c r="I108" s="73">
        <f t="shared" si="15"/>
        <v>4.7504999999999997</v>
      </c>
      <c r="J108" s="72" t="s">
        <v>86</v>
      </c>
      <c r="K108" s="74"/>
      <c r="M108" s="99"/>
      <c r="N108" s="80" t="e">
        <f t="shared" si="18"/>
        <v>#N/A</v>
      </c>
      <c r="O108" s="76"/>
      <c r="P108" s="81"/>
      <c r="Y108" s="91" t="s">
        <v>282</v>
      </c>
      <c r="Z108" s="92">
        <v>34.163499999999999</v>
      </c>
      <c r="AA108" s="92">
        <f t="shared" si="17"/>
        <v>3.41635</v>
      </c>
    </row>
    <row r="109" spans="1:27" x14ac:dyDescent="0.25">
      <c r="A109" s="95">
        <v>45457</v>
      </c>
      <c r="B109" s="72" t="s">
        <v>575</v>
      </c>
      <c r="C109" s="72" t="s">
        <v>8</v>
      </c>
      <c r="D109" s="72" t="s">
        <v>16</v>
      </c>
      <c r="E109" s="72" t="s">
        <v>82</v>
      </c>
      <c r="F109" s="72">
        <v>1</v>
      </c>
      <c r="G109" s="73">
        <f t="shared" si="20"/>
        <v>80</v>
      </c>
      <c r="H109" s="73">
        <f t="shared" si="21"/>
        <v>80</v>
      </c>
      <c r="I109" s="73">
        <f t="shared" si="15"/>
        <v>76.007999999999996</v>
      </c>
      <c r="J109" s="72" t="s">
        <v>86</v>
      </c>
      <c r="K109" s="74"/>
      <c r="M109" s="99"/>
      <c r="N109" s="80" t="e">
        <f t="shared" si="18"/>
        <v>#N/A</v>
      </c>
      <c r="O109" s="76"/>
      <c r="P109" s="81"/>
      <c r="Y109" s="91" t="s">
        <v>285</v>
      </c>
      <c r="Z109" s="92">
        <v>33.253500000000003</v>
      </c>
      <c r="AA109" s="92">
        <f t="shared" si="17"/>
        <v>3.3253500000000003</v>
      </c>
    </row>
    <row r="110" spans="1:27" x14ac:dyDescent="0.25">
      <c r="A110" s="95">
        <v>45457</v>
      </c>
      <c r="B110" s="72" t="s">
        <v>622</v>
      </c>
      <c r="C110" s="72" t="s">
        <v>8</v>
      </c>
      <c r="D110" s="72" t="s">
        <v>17</v>
      </c>
      <c r="E110" s="72" t="s">
        <v>82</v>
      </c>
      <c r="F110" s="72">
        <v>1</v>
      </c>
      <c r="G110" s="73">
        <v>45</v>
      </c>
      <c r="H110" s="73">
        <f t="shared" si="21"/>
        <v>45</v>
      </c>
      <c r="I110" s="73">
        <f t="shared" si="15"/>
        <v>45</v>
      </c>
      <c r="J110" s="72" t="s">
        <v>83</v>
      </c>
      <c r="K110" s="74"/>
      <c r="M110" s="99"/>
      <c r="N110" s="80" t="e">
        <f t="shared" ref="N110:N141" si="22">VLOOKUP(M110,$S$3:$U$64,3,0)</f>
        <v>#N/A</v>
      </c>
      <c r="O110" s="76"/>
      <c r="P110" s="81"/>
      <c r="Y110" s="91" t="s">
        <v>286</v>
      </c>
      <c r="Z110" s="92">
        <v>35</v>
      </c>
      <c r="AA110" s="92">
        <f t="shared" si="17"/>
        <v>3.5</v>
      </c>
    </row>
    <row r="111" spans="1:27" x14ac:dyDescent="0.25">
      <c r="A111" s="95">
        <v>45457</v>
      </c>
      <c r="B111" s="72" t="s">
        <v>475</v>
      </c>
      <c r="C111" s="72" t="s">
        <v>8</v>
      </c>
      <c r="D111" s="72" t="s">
        <v>16</v>
      </c>
      <c r="E111" s="72" t="s">
        <v>56</v>
      </c>
      <c r="F111" s="72">
        <v>1</v>
      </c>
      <c r="G111" s="73">
        <f t="shared" ref="G111:G132" si="23">VLOOKUP(D111,$S$3:$T$64,2,0)</f>
        <v>80</v>
      </c>
      <c r="H111" s="73">
        <f t="shared" si="21"/>
        <v>80</v>
      </c>
      <c r="I111" s="73">
        <f t="shared" si="15"/>
        <v>80</v>
      </c>
      <c r="J111" s="72" t="s">
        <v>333</v>
      </c>
      <c r="K111" s="74"/>
      <c r="M111" s="99" t="s">
        <v>16</v>
      </c>
      <c r="N111" s="80">
        <f t="shared" si="22"/>
        <v>32</v>
      </c>
      <c r="O111" s="76">
        <f>N111*F111</f>
        <v>32</v>
      </c>
      <c r="P111" s="81" t="s">
        <v>56</v>
      </c>
      <c r="Y111" s="91" t="s">
        <v>287</v>
      </c>
      <c r="Z111" s="92">
        <v>35</v>
      </c>
      <c r="AA111" s="92">
        <f t="shared" si="17"/>
        <v>3.5</v>
      </c>
    </row>
    <row r="112" spans="1:27" x14ac:dyDescent="0.25">
      <c r="A112" s="95">
        <v>45457</v>
      </c>
      <c r="B112" s="72" t="s">
        <v>247</v>
      </c>
      <c r="C112" s="72" t="s">
        <v>8</v>
      </c>
      <c r="D112" s="72" t="s">
        <v>16</v>
      </c>
      <c r="E112" s="72" t="s">
        <v>82</v>
      </c>
      <c r="F112" s="72">
        <v>1</v>
      </c>
      <c r="G112" s="73">
        <f t="shared" si="23"/>
        <v>80</v>
      </c>
      <c r="H112" s="73">
        <f t="shared" si="21"/>
        <v>80</v>
      </c>
      <c r="I112" s="73">
        <f t="shared" si="15"/>
        <v>80</v>
      </c>
      <c r="J112" s="72" t="s">
        <v>83</v>
      </c>
      <c r="K112" s="74"/>
      <c r="M112" s="99"/>
      <c r="N112" s="80" t="e">
        <f t="shared" si="22"/>
        <v>#N/A</v>
      </c>
      <c r="O112" s="76"/>
      <c r="P112" s="81"/>
      <c r="Y112" s="91" t="s">
        <v>288</v>
      </c>
      <c r="Z112" s="92">
        <v>34.163499999999999</v>
      </c>
      <c r="AA112" s="92">
        <f t="shared" si="17"/>
        <v>3.41635</v>
      </c>
    </row>
    <row r="113" spans="1:27" x14ac:dyDescent="0.25">
      <c r="A113" s="95">
        <v>45458</v>
      </c>
      <c r="B113" s="72" t="s">
        <v>344</v>
      </c>
      <c r="C113" s="72" t="s">
        <v>9</v>
      </c>
      <c r="D113" s="72" t="s">
        <v>18</v>
      </c>
      <c r="E113" s="72" t="s">
        <v>56</v>
      </c>
      <c r="F113" s="72">
        <v>1</v>
      </c>
      <c r="G113" s="73">
        <f t="shared" si="23"/>
        <v>40</v>
      </c>
      <c r="H113" s="73">
        <f t="shared" si="21"/>
        <v>40</v>
      </c>
      <c r="I113" s="73">
        <f t="shared" si="15"/>
        <v>40</v>
      </c>
      <c r="J113" s="72" t="s">
        <v>333</v>
      </c>
      <c r="K113" s="74"/>
      <c r="M113" s="99" t="s">
        <v>18</v>
      </c>
      <c r="N113" s="80">
        <f t="shared" si="22"/>
        <v>16</v>
      </c>
      <c r="O113" s="76">
        <f>N113*F113</f>
        <v>16</v>
      </c>
      <c r="P113" s="81" t="s">
        <v>56</v>
      </c>
      <c r="Y113" s="91" t="s">
        <v>290</v>
      </c>
      <c r="Z113" s="92">
        <v>33.253500000000003</v>
      </c>
      <c r="AA113" s="92">
        <f t="shared" si="17"/>
        <v>3.3253500000000003</v>
      </c>
    </row>
    <row r="114" spans="1:27" x14ac:dyDescent="0.25">
      <c r="A114" s="95">
        <v>45458</v>
      </c>
      <c r="B114" s="72" t="s">
        <v>344</v>
      </c>
      <c r="C114" s="72" t="s">
        <v>9</v>
      </c>
      <c r="D114" s="72" t="s">
        <v>45</v>
      </c>
      <c r="E114" s="72" t="s">
        <v>56</v>
      </c>
      <c r="F114" s="72">
        <v>1</v>
      </c>
      <c r="G114" s="73">
        <f t="shared" si="23"/>
        <v>3.5</v>
      </c>
      <c r="H114" s="73">
        <f t="shared" si="21"/>
        <v>3.5</v>
      </c>
      <c r="I114" s="73">
        <f t="shared" si="15"/>
        <v>3.5</v>
      </c>
      <c r="J114" s="72" t="s">
        <v>83</v>
      </c>
      <c r="K114" s="74"/>
      <c r="M114" s="99" t="s">
        <v>45</v>
      </c>
      <c r="N114" s="80">
        <f t="shared" si="22"/>
        <v>0.35000000000000003</v>
      </c>
      <c r="O114" s="76">
        <f>N114*F114</f>
        <v>0.35000000000000003</v>
      </c>
      <c r="P114" s="81" t="s">
        <v>56</v>
      </c>
      <c r="Y114" s="91" t="s">
        <v>292</v>
      </c>
      <c r="Z114" s="92">
        <v>60</v>
      </c>
      <c r="AA114" s="92">
        <f t="shared" si="17"/>
        <v>6</v>
      </c>
    </row>
    <row r="115" spans="1:27" x14ac:dyDescent="0.25">
      <c r="A115" s="95">
        <v>45458</v>
      </c>
      <c r="B115" s="72" t="s">
        <v>560</v>
      </c>
      <c r="C115" s="72" t="s">
        <v>9</v>
      </c>
      <c r="D115" s="72" t="s">
        <v>18</v>
      </c>
      <c r="E115" s="72" t="s">
        <v>56</v>
      </c>
      <c r="F115" s="72">
        <v>2</v>
      </c>
      <c r="G115" s="73">
        <f t="shared" si="23"/>
        <v>40</v>
      </c>
      <c r="H115" s="73">
        <f t="shared" si="21"/>
        <v>80</v>
      </c>
      <c r="I115" s="73">
        <f t="shared" si="15"/>
        <v>80</v>
      </c>
      <c r="J115" s="72" t="s">
        <v>79</v>
      </c>
      <c r="K115" s="74"/>
      <c r="M115" s="99" t="s">
        <v>18</v>
      </c>
      <c r="N115" s="80">
        <f t="shared" si="22"/>
        <v>16</v>
      </c>
      <c r="O115" s="76">
        <f>N115*F115</f>
        <v>32</v>
      </c>
      <c r="P115" s="81" t="s">
        <v>56</v>
      </c>
      <c r="Y115" s="91" t="s">
        <v>293</v>
      </c>
      <c r="Z115" s="92">
        <v>60</v>
      </c>
      <c r="AA115" s="92">
        <f t="shared" si="17"/>
        <v>6</v>
      </c>
    </row>
    <row r="116" spans="1:27" x14ac:dyDescent="0.25">
      <c r="A116" s="95">
        <v>45458</v>
      </c>
      <c r="B116" s="72" t="s">
        <v>568</v>
      </c>
      <c r="C116" s="72" t="s">
        <v>8</v>
      </c>
      <c r="D116" s="72" t="s">
        <v>18</v>
      </c>
      <c r="E116" s="72" t="s">
        <v>82</v>
      </c>
      <c r="F116" s="72">
        <v>1</v>
      </c>
      <c r="G116" s="73">
        <f t="shared" si="23"/>
        <v>40</v>
      </c>
      <c r="H116" s="73">
        <f t="shared" si="21"/>
        <v>40</v>
      </c>
      <c r="I116" s="73">
        <f t="shared" si="15"/>
        <v>40</v>
      </c>
      <c r="J116" s="72" t="s">
        <v>333</v>
      </c>
      <c r="K116" s="74"/>
      <c r="M116" s="99"/>
      <c r="N116" s="80" t="e">
        <f t="shared" si="22"/>
        <v>#N/A</v>
      </c>
      <c r="O116" s="76"/>
      <c r="P116" s="81"/>
      <c r="Y116" s="91" t="s">
        <v>295</v>
      </c>
      <c r="Z116" s="92">
        <v>58.566000000000003</v>
      </c>
      <c r="AA116" s="92">
        <f t="shared" si="17"/>
        <v>5.8566000000000003</v>
      </c>
    </row>
    <row r="117" spans="1:27" x14ac:dyDescent="0.25">
      <c r="A117" s="95">
        <v>45458</v>
      </c>
      <c r="B117" s="72" t="s">
        <v>545</v>
      </c>
      <c r="C117" s="72" t="s">
        <v>8</v>
      </c>
      <c r="D117" s="72" t="s">
        <v>16</v>
      </c>
      <c r="E117" s="72" t="s">
        <v>82</v>
      </c>
      <c r="F117" s="72">
        <v>1</v>
      </c>
      <c r="G117" s="73">
        <f t="shared" si="23"/>
        <v>80</v>
      </c>
      <c r="H117" s="73">
        <f t="shared" si="21"/>
        <v>80</v>
      </c>
      <c r="I117" s="73">
        <f t="shared" si="15"/>
        <v>80</v>
      </c>
      <c r="J117" s="72" t="s">
        <v>333</v>
      </c>
      <c r="K117" s="74"/>
      <c r="M117" s="99"/>
      <c r="N117" s="80" t="e">
        <f t="shared" si="22"/>
        <v>#N/A</v>
      </c>
      <c r="O117" s="76"/>
      <c r="P117" s="81"/>
      <c r="Y117" s="91" t="s">
        <v>296</v>
      </c>
      <c r="Z117" s="92">
        <v>57.006</v>
      </c>
      <c r="AA117" s="92">
        <f t="shared" si="17"/>
        <v>5.7006000000000006</v>
      </c>
    </row>
    <row r="118" spans="1:27" x14ac:dyDescent="0.25">
      <c r="A118" s="95">
        <v>45458</v>
      </c>
      <c r="B118" s="72" t="s">
        <v>522</v>
      </c>
      <c r="C118" s="72" t="s">
        <v>8</v>
      </c>
      <c r="D118" s="72" t="s">
        <v>22</v>
      </c>
      <c r="E118" s="72" t="s">
        <v>82</v>
      </c>
      <c r="F118" s="72">
        <v>1</v>
      </c>
      <c r="G118" s="73">
        <f t="shared" si="23"/>
        <v>30</v>
      </c>
      <c r="H118" s="73">
        <f t="shared" si="21"/>
        <v>30</v>
      </c>
      <c r="I118" s="73">
        <f t="shared" si="15"/>
        <v>28.503</v>
      </c>
      <c r="J118" s="72" t="s">
        <v>86</v>
      </c>
      <c r="K118" s="74"/>
      <c r="M118" s="99"/>
      <c r="N118" s="80" t="e">
        <f t="shared" si="22"/>
        <v>#N/A</v>
      </c>
      <c r="O118" s="76"/>
      <c r="P118" s="81"/>
      <c r="Y118" s="91" t="s">
        <v>298</v>
      </c>
      <c r="Z118" s="92">
        <v>6</v>
      </c>
      <c r="AA118" s="92">
        <f t="shared" si="17"/>
        <v>0.60000000000000009</v>
      </c>
    </row>
    <row r="119" spans="1:27" x14ac:dyDescent="0.25">
      <c r="A119" s="95">
        <v>45458</v>
      </c>
      <c r="B119" s="72" t="s">
        <v>522</v>
      </c>
      <c r="C119" s="72" t="s">
        <v>8</v>
      </c>
      <c r="D119" s="72" t="s">
        <v>13</v>
      </c>
      <c r="E119" s="72" t="s">
        <v>82</v>
      </c>
      <c r="F119" s="72">
        <v>1</v>
      </c>
      <c r="G119" s="73">
        <f t="shared" si="23"/>
        <v>30</v>
      </c>
      <c r="H119" s="73">
        <f t="shared" si="21"/>
        <v>30</v>
      </c>
      <c r="I119" s="73">
        <f t="shared" si="15"/>
        <v>28.503</v>
      </c>
      <c r="J119" s="72" t="s">
        <v>86</v>
      </c>
      <c r="K119" s="74"/>
      <c r="M119" s="99"/>
      <c r="N119" s="80" t="e">
        <f t="shared" si="22"/>
        <v>#N/A</v>
      </c>
      <c r="O119" s="76"/>
      <c r="P119" s="81"/>
      <c r="AA119" s="92"/>
    </row>
    <row r="120" spans="1:27" x14ac:dyDescent="0.25">
      <c r="A120" s="95">
        <v>45458</v>
      </c>
      <c r="B120" s="72" t="s">
        <v>240</v>
      </c>
      <c r="C120" s="72" t="s">
        <v>8</v>
      </c>
      <c r="D120" s="72" t="s">
        <v>40</v>
      </c>
      <c r="E120" s="72" t="s">
        <v>82</v>
      </c>
      <c r="F120" s="72">
        <v>1</v>
      </c>
      <c r="G120" s="73">
        <f t="shared" si="23"/>
        <v>45</v>
      </c>
      <c r="H120" s="73">
        <f t="shared" si="21"/>
        <v>45</v>
      </c>
      <c r="I120" s="73">
        <f t="shared" si="15"/>
        <v>43.924500000000002</v>
      </c>
      <c r="J120" s="72" t="s">
        <v>78</v>
      </c>
      <c r="K120" s="74"/>
      <c r="M120" s="99"/>
      <c r="N120" s="80" t="e">
        <f t="shared" si="22"/>
        <v>#N/A</v>
      </c>
      <c r="O120" s="76"/>
      <c r="P120" s="81"/>
      <c r="AA120" s="92"/>
    </row>
    <row r="121" spans="1:27" x14ac:dyDescent="0.25">
      <c r="A121" s="95">
        <v>45458</v>
      </c>
      <c r="B121" s="72" t="s">
        <v>629</v>
      </c>
      <c r="C121" s="72" t="s">
        <v>8</v>
      </c>
      <c r="D121" s="72" t="s">
        <v>17</v>
      </c>
      <c r="E121" s="72" t="s">
        <v>82</v>
      </c>
      <c r="F121" s="72">
        <v>1</v>
      </c>
      <c r="G121" s="73">
        <f t="shared" si="23"/>
        <v>50</v>
      </c>
      <c r="H121" s="73">
        <f t="shared" si="21"/>
        <v>50</v>
      </c>
      <c r="I121" s="73">
        <f t="shared" si="15"/>
        <v>50</v>
      </c>
      <c r="J121" s="72" t="s">
        <v>83</v>
      </c>
      <c r="K121" s="74"/>
      <c r="M121" s="99"/>
      <c r="N121" s="80" t="e">
        <f t="shared" si="22"/>
        <v>#N/A</v>
      </c>
      <c r="O121" s="76"/>
      <c r="P121" s="81"/>
      <c r="AA121" s="92"/>
    </row>
    <row r="122" spans="1:27" x14ac:dyDescent="0.25">
      <c r="A122" s="95">
        <v>45458</v>
      </c>
      <c r="B122" s="72" t="s">
        <v>546</v>
      </c>
      <c r="C122" s="72" t="s">
        <v>8</v>
      </c>
      <c r="D122" s="72" t="s">
        <v>17</v>
      </c>
      <c r="E122" s="72" t="s">
        <v>82</v>
      </c>
      <c r="F122" s="72">
        <v>1</v>
      </c>
      <c r="G122" s="73">
        <f t="shared" si="23"/>
        <v>50</v>
      </c>
      <c r="H122" s="73">
        <f t="shared" si="21"/>
        <v>50</v>
      </c>
      <c r="I122" s="73">
        <f t="shared" si="15"/>
        <v>47.505000000000003</v>
      </c>
      <c r="J122" s="72" t="s">
        <v>86</v>
      </c>
      <c r="K122" s="74"/>
      <c r="M122" s="99"/>
      <c r="N122" s="80" t="e">
        <f t="shared" si="22"/>
        <v>#N/A</v>
      </c>
      <c r="O122" s="76"/>
      <c r="P122" s="81"/>
      <c r="AA122" s="92"/>
    </row>
    <row r="123" spans="1:27" x14ac:dyDescent="0.25">
      <c r="A123" s="95">
        <v>45458</v>
      </c>
      <c r="B123" s="72" t="s">
        <v>629</v>
      </c>
      <c r="C123" s="72" t="s">
        <v>10</v>
      </c>
      <c r="D123" s="72" t="s">
        <v>18</v>
      </c>
      <c r="E123" s="72" t="s">
        <v>56</v>
      </c>
      <c r="F123" s="72">
        <v>1</v>
      </c>
      <c r="G123" s="73">
        <f t="shared" si="23"/>
        <v>40</v>
      </c>
      <c r="H123" s="73">
        <f t="shared" si="21"/>
        <v>40</v>
      </c>
      <c r="I123" s="73">
        <f t="shared" si="15"/>
        <v>39.043999999999997</v>
      </c>
      <c r="J123" s="72" t="s">
        <v>78</v>
      </c>
      <c r="K123" s="74"/>
      <c r="M123" s="72" t="s">
        <v>18</v>
      </c>
      <c r="N123" s="80">
        <f t="shared" si="22"/>
        <v>16</v>
      </c>
      <c r="O123" s="76">
        <f>N123*F123</f>
        <v>16</v>
      </c>
      <c r="P123" s="81" t="s">
        <v>56</v>
      </c>
      <c r="AA123" s="92"/>
    </row>
    <row r="124" spans="1:27" x14ac:dyDescent="0.25">
      <c r="A124" s="95">
        <v>45458</v>
      </c>
      <c r="B124" s="72" t="s">
        <v>198</v>
      </c>
      <c r="C124" s="72" t="s">
        <v>10</v>
      </c>
      <c r="D124" s="72" t="s">
        <v>17</v>
      </c>
      <c r="E124" s="72" t="s">
        <v>56</v>
      </c>
      <c r="F124" s="72">
        <v>1</v>
      </c>
      <c r="G124" s="73">
        <f t="shared" si="23"/>
        <v>50</v>
      </c>
      <c r="H124" s="73">
        <f t="shared" si="21"/>
        <v>50</v>
      </c>
      <c r="I124" s="73">
        <f t="shared" si="15"/>
        <v>50</v>
      </c>
      <c r="J124" s="72" t="s">
        <v>79</v>
      </c>
      <c r="K124" s="74"/>
      <c r="M124" s="72" t="s">
        <v>17</v>
      </c>
      <c r="N124" s="80">
        <f t="shared" si="22"/>
        <v>20</v>
      </c>
      <c r="O124" s="76">
        <f>N124*F124</f>
        <v>20</v>
      </c>
      <c r="P124" s="81" t="s">
        <v>56</v>
      </c>
      <c r="AA124" s="92"/>
    </row>
    <row r="125" spans="1:27" x14ac:dyDescent="0.25">
      <c r="A125" s="95">
        <v>45458</v>
      </c>
      <c r="B125" s="72" t="s">
        <v>579</v>
      </c>
      <c r="C125" s="72" t="s">
        <v>8</v>
      </c>
      <c r="D125" s="72" t="s">
        <v>16</v>
      </c>
      <c r="E125" s="72" t="s">
        <v>56</v>
      </c>
      <c r="F125" s="72">
        <v>1</v>
      </c>
      <c r="G125" s="73">
        <f t="shared" si="23"/>
        <v>80</v>
      </c>
      <c r="H125" s="73">
        <f t="shared" si="21"/>
        <v>80</v>
      </c>
      <c r="I125" s="73">
        <f t="shared" si="15"/>
        <v>78.087999999999994</v>
      </c>
      <c r="J125" s="72" t="s">
        <v>78</v>
      </c>
      <c r="K125" s="74"/>
      <c r="M125" s="72" t="s">
        <v>16</v>
      </c>
      <c r="N125" s="80">
        <f t="shared" si="22"/>
        <v>32</v>
      </c>
      <c r="O125" s="76">
        <f>N125*F125</f>
        <v>32</v>
      </c>
      <c r="P125" s="81" t="s">
        <v>56</v>
      </c>
      <c r="Q125" s="106">
        <f>SUM(O93:O125)</f>
        <v>256.35000000000002</v>
      </c>
      <c r="Y125" s="91" t="s">
        <v>300</v>
      </c>
      <c r="Z125" s="92">
        <v>6</v>
      </c>
      <c r="AA125" s="92">
        <f>Z125*0.1</f>
        <v>0.60000000000000009</v>
      </c>
    </row>
    <row r="126" spans="1:27" x14ac:dyDescent="0.25">
      <c r="A126" s="95">
        <v>45458</v>
      </c>
      <c r="B126" s="72" t="s">
        <v>579</v>
      </c>
      <c r="C126" s="72" t="s">
        <v>8</v>
      </c>
      <c r="D126" s="72" t="s">
        <v>48</v>
      </c>
      <c r="E126" s="72" t="s">
        <v>56</v>
      </c>
      <c r="F126" s="72">
        <v>1</v>
      </c>
      <c r="G126" s="73">
        <f t="shared" si="23"/>
        <v>10</v>
      </c>
      <c r="H126" s="73">
        <f t="shared" si="21"/>
        <v>10</v>
      </c>
      <c r="I126" s="73">
        <f t="shared" si="15"/>
        <v>9.7609999999999992</v>
      </c>
      <c r="J126" s="72" t="s">
        <v>78</v>
      </c>
      <c r="K126" s="74"/>
      <c r="M126" s="99" t="s">
        <v>48</v>
      </c>
      <c r="N126" s="80">
        <f t="shared" si="22"/>
        <v>1</v>
      </c>
      <c r="O126" s="76">
        <f>N126*F126</f>
        <v>1</v>
      </c>
      <c r="P126" s="81" t="s">
        <v>56</v>
      </c>
      <c r="AA126" s="92"/>
    </row>
    <row r="127" spans="1:27" x14ac:dyDescent="0.25">
      <c r="A127" s="95">
        <v>45461</v>
      </c>
      <c r="B127" s="72" t="s">
        <v>612</v>
      </c>
      <c r="C127" s="72" t="s">
        <v>8</v>
      </c>
      <c r="D127" s="72" t="s">
        <v>17</v>
      </c>
      <c r="E127" s="72" t="s">
        <v>82</v>
      </c>
      <c r="F127" s="72">
        <v>1</v>
      </c>
      <c r="G127" s="73">
        <f t="shared" si="23"/>
        <v>50</v>
      </c>
      <c r="H127" s="73">
        <f t="shared" si="21"/>
        <v>50</v>
      </c>
      <c r="I127" s="73">
        <f t="shared" si="15"/>
        <v>50</v>
      </c>
      <c r="J127" s="72" t="s">
        <v>83</v>
      </c>
      <c r="K127" s="74"/>
      <c r="M127" s="99"/>
      <c r="N127" s="80" t="e">
        <f t="shared" si="22"/>
        <v>#N/A</v>
      </c>
      <c r="O127" s="76"/>
      <c r="P127" s="81"/>
      <c r="AA127" s="92"/>
    </row>
    <row r="128" spans="1:27" x14ac:dyDescent="0.25">
      <c r="A128" s="95">
        <v>45461</v>
      </c>
      <c r="B128" s="72" t="s">
        <v>552</v>
      </c>
      <c r="C128" s="72" t="s">
        <v>8</v>
      </c>
      <c r="D128" s="72" t="s">
        <v>22</v>
      </c>
      <c r="E128" s="72" t="s">
        <v>82</v>
      </c>
      <c r="F128" s="72">
        <v>1</v>
      </c>
      <c r="G128" s="73">
        <f t="shared" si="23"/>
        <v>30</v>
      </c>
      <c r="H128" s="73">
        <f t="shared" si="21"/>
        <v>30</v>
      </c>
      <c r="I128" s="73">
        <f t="shared" si="15"/>
        <v>30</v>
      </c>
      <c r="J128" s="72" t="s">
        <v>83</v>
      </c>
      <c r="K128" s="74"/>
      <c r="M128" s="99"/>
      <c r="N128" s="80" t="e">
        <f t="shared" si="22"/>
        <v>#N/A</v>
      </c>
      <c r="O128" s="76"/>
      <c r="P128" s="81"/>
      <c r="AA128" s="92"/>
    </row>
    <row r="129" spans="1:27" x14ac:dyDescent="0.25">
      <c r="A129" s="95">
        <v>45461</v>
      </c>
      <c r="B129" s="72" t="s">
        <v>308</v>
      </c>
      <c r="C129" s="72" t="s">
        <v>10</v>
      </c>
      <c r="D129" s="72" t="s">
        <v>18</v>
      </c>
      <c r="E129" s="72" t="s">
        <v>56</v>
      </c>
      <c r="F129" s="72">
        <v>1</v>
      </c>
      <c r="G129" s="73">
        <f t="shared" si="23"/>
        <v>40</v>
      </c>
      <c r="H129" s="73">
        <f t="shared" si="21"/>
        <v>40</v>
      </c>
      <c r="I129" s="73">
        <f t="shared" si="15"/>
        <v>40</v>
      </c>
      <c r="J129" s="72" t="s">
        <v>79</v>
      </c>
      <c r="K129" s="74"/>
      <c r="M129" s="99" t="s">
        <v>18</v>
      </c>
      <c r="N129" s="80">
        <f t="shared" si="22"/>
        <v>16</v>
      </c>
      <c r="O129" s="76">
        <f>N129*F129</f>
        <v>16</v>
      </c>
      <c r="P129" s="81" t="s">
        <v>56</v>
      </c>
      <c r="AA129" s="92"/>
    </row>
    <row r="130" spans="1:27" x14ac:dyDescent="0.25">
      <c r="A130" s="95">
        <v>45461</v>
      </c>
      <c r="B130" s="72" t="s">
        <v>308</v>
      </c>
      <c r="C130" s="72" t="s">
        <v>10</v>
      </c>
      <c r="D130" s="72" t="s">
        <v>39</v>
      </c>
      <c r="E130" s="72" t="s">
        <v>56</v>
      </c>
      <c r="F130" s="72">
        <v>1</v>
      </c>
      <c r="G130" s="73">
        <f t="shared" si="23"/>
        <v>10</v>
      </c>
      <c r="H130" s="73">
        <f t="shared" si="21"/>
        <v>10</v>
      </c>
      <c r="I130" s="73">
        <f t="shared" si="15"/>
        <v>10</v>
      </c>
      <c r="J130" s="72" t="s">
        <v>79</v>
      </c>
      <c r="K130" s="74"/>
      <c r="M130" s="99" t="s">
        <v>39</v>
      </c>
      <c r="N130" s="80">
        <f t="shared" si="22"/>
        <v>1</v>
      </c>
      <c r="O130" s="76">
        <f>N130*F130</f>
        <v>1</v>
      </c>
      <c r="P130" s="81" t="s">
        <v>56</v>
      </c>
      <c r="AA130" s="92"/>
    </row>
    <row r="131" spans="1:27" x14ac:dyDescent="0.25">
      <c r="A131" s="95">
        <v>45461</v>
      </c>
      <c r="B131" s="72" t="s">
        <v>240</v>
      </c>
      <c r="C131" s="72" t="s">
        <v>8</v>
      </c>
      <c r="D131" s="72" t="s">
        <v>40</v>
      </c>
      <c r="E131" s="72" t="s">
        <v>82</v>
      </c>
      <c r="F131" s="72">
        <v>1</v>
      </c>
      <c r="G131" s="73">
        <f t="shared" si="23"/>
        <v>45</v>
      </c>
      <c r="H131" s="73">
        <f t="shared" si="21"/>
        <v>45</v>
      </c>
      <c r="I131" s="73">
        <f t="shared" ref="I131:I194" si="24">IF(J131="Cartão de Debito",H131-(H131*$AC$5),IF(J131="Cartão de Credito",H131-(H131*$AC$6), IF(J131="Pix",H131-(H131*$AC$7), IF(J131="Dinheiro (R$)", H131-(H131*$AC$8)))))</f>
        <v>45</v>
      </c>
      <c r="J131" s="72" t="s">
        <v>79</v>
      </c>
      <c r="K131" s="74"/>
      <c r="M131" s="99"/>
      <c r="N131" s="80" t="e">
        <f t="shared" si="22"/>
        <v>#N/A</v>
      </c>
      <c r="O131" s="76"/>
      <c r="P131" s="81"/>
      <c r="AA131" s="92"/>
    </row>
    <row r="132" spans="1:27" x14ac:dyDescent="0.25">
      <c r="A132" s="95">
        <v>45461</v>
      </c>
      <c r="B132" s="72" t="s">
        <v>630</v>
      </c>
      <c r="C132" s="72" t="s">
        <v>8</v>
      </c>
      <c r="D132" s="72" t="s">
        <v>18</v>
      </c>
      <c r="E132" s="72" t="s">
        <v>82</v>
      </c>
      <c r="F132" s="72">
        <v>1</v>
      </c>
      <c r="G132" s="73">
        <f t="shared" si="23"/>
        <v>40</v>
      </c>
      <c r="H132" s="73">
        <f t="shared" si="21"/>
        <v>40</v>
      </c>
      <c r="I132" s="73">
        <f t="shared" si="24"/>
        <v>39.043999999999997</v>
      </c>
      <c r="J132" s="72" t="s">
        <v>78</v>
      </c>
      <c r="K132" s="74"/>
      <c r="M132" s="99"/>
      <c r="N132" s="80" t="e">
        <f t="shared" si="22"/>
        <v>#N/A</v>
      </c>
      <c r="O132" s="76"/>
      <c r="P132" s="81"/>
      <c r="AA132" s="92"/>
    </row>
    <row r="133" spans="1:27" x14ac:dyDescent="0.25">
      <c r="A133" s="95">
        <v>45462</v>
      </c>
      <c r="B133" s="72" t="s">
        <v>582</v>
      </c>
      <c r="C133" s="72" t="s">
        <v>8</v>
      </c>
      <c r="D133" s="72" t="s">
        <v>18</v>
      </c>
      <c r="E133" s="72" t="s">
        <v>82</v>
      </c>
      <c r="F133" s="72">
        <v>2</v>
      </c>
      <c r="G133" s="73">
        <v>35</v>
      </c>
      <c r="H133" s="73">
        <f t="shared" si="21"/>
        <v>70</v>
      </c>
      <c r="I133" s="73">
        <f t="shared" si="24"/>
        <v>70</v>
      </c>
      <c r="J133" s="72" t="s">
        <v>83</v>
      </c>
      <c r="K133" s="74"/>
      <c r="M133" s="99"/>
      <c r="N133" s="80" t="e">
        <f t="shared" si="22"/>
        <v>#N/A</v>
      </c>
      <c r="O133" s="76"/>
      <c r="P133" s="81"/>
      <c r="AA133" s="92"/>
    </row>
    <row r="134" spans="1:27" x14ac:dyDescent="0.25">
      <c r="A134" s="95">
        <v>45462</v>
      </c>
      <c r="B134" s="72" t="s">
        <v>582</v>
      </c>
      <c r="C134" s="72" t="s">
        <v>8</v>
      </c>
      <c r="D134" s="72" t="s">
        <v>37</v>
      </c>
      <c r="E134" s="72" t="s">
        <v>82</v>
      </c>
      <c r="F134" s="72">
        <v>1</v>
      </c>
      <c r="G134" s="73">
        <f t="shared" ref="G134:G145" si="25">VLOOKUP(D134,$S$3:$T$64,2,0)</f>
        <v>7</v>
      </c>
      <c r="H134" s="73">
        <f t="shared" si="21"/>
        <v>7</v>
      </c>
      <c r="I134" s="73">
        <f t="shared" si="24"/>
        <v>7</v>
      </c>
      <c r="J134" s="72" t="s">
        <v>83</v>
      </c>
      <c r="K134" s="74"/>
      <c r="M134" s="99"/>
      <c r="N134" s="80" t="e">
        <f t="shared" si="22"/>
        <v>#N/A</v>
      </c>
      <c r="O134" s="76"/>
      <c r="P134" s="81"/>
      <c r="AA134" s="92"/>
    </row>
    <row r="135" spans="1:27" x14ac:dyDescent="0.25">
      <c r="A135" s="95">
        <v>45462</v>
      </c>
      <c r="B135" s="72" t="s">
        <v>631</v>
      </c>
      <c r="C135" s="72" t="s">
        <v>10</v>
      </c>
      <c r="D135" s="72" t="s">
        <v>18</v>
      </c>
      <c r="E135" s="72" t="s">
        <v>56</v>
      </c>
      <c r="F135" s="72">
        <v>1</v>
      </c>
      <c r="G135" s="73">
        <f t="shared" si="25"/>
        <v>40</v>
      </c>
      <c r="H135" s="73">
        <f t="shared" si="21"/>
        <v>40</v>
      </c>
      <c r="I135" s="73">
        <f t="shared" si="24"/>
        <v>39.043999999999997</v>
      </c>
      <c r="J135" s="72" t="s">
        <v>78</v>
      </c>
      <c r="K135" s="74"/>
      <c r="M135" s="99" t="s">
        <v>18</v>
      </c>
      <c r="N135" s="80">
        <f t="shared" si="22"/>
        <v>16</v>
      </c>
      <c r="O135" s="76">
        <f>N135*F135</f>
        <v>16</v>
      </c>
      <c r="P135" s="81" t="s">
        <v>56</v>
      </c>
      <c r="AA135" s="92"/>
    </row>
    <row r="136" spans="1:27" x14ac:dyDescent="0.25">
      <c r="A136" s="95">
        <v>45462</v>
      </c>
      <c r="B136" s="72" t="s">
        <v>632</v>
      </c>
      <c r="C136" s="72" t="s">
        <v>9</v>
      </c>
      <c r="D136" s="72" t="s">
        <v>18</v>
      </c>
      <c r="E136" s="72" t="s">
        <v>56</v>
      </c>
      <c r="F136" s="72">
        <v>1</v>
      </c>
      <c r="G136" s="73">
        <f t="shared" si="25"/>
        <v>40</v>
      </c>
      <c r="H136" s="73">
        <f t="shared" si="21"/>
        <v>40</v>
      </c>
      <c r="I136" s="73">
        <f t="shared" si="24"/>
        <v>40</v>
      </c>
      <c r="J136" s="72" t="s">
        <v>83</v>
      </c>
      <c r="K136" s="74"/>
      <c r="M136" s="99" t="s">
        <v>18</v>
      </c>
      <c r="N136" s="80">
        <f t="shared" si="22"/>
        <v>16</v>
      </c>
      <c r="O136" s="76">
        <f>N136*F136</f>
        <v>16</v>
      </c>
      <c r="P136" s="81" t="s">
        <v>56</v>
      </c>
      <c r="AA136" s="92"/>
    </row>
    <row r="137" spans="1:27" x14ac:dyDescent="0.25">
      <c r="A137" s="95">
        <v>45462</v>
      </c>
      <c r="B137" s="72" t="s">
        <v>632</v>
      </c>
      <c r="C137" s="72" t="s">
        <v>9</v>
      </c>
      <c r="D137" s="72" t="s">
        <v>24</v>
      </c>
      <c r="E137" s="72" t="s">
        <v>56</v>
      </c>
      <c r="F137" s="72">
        <v>1</v>
      </c>
      <c r="G137" s="73">
        <f t="shared" si="25"/>
        <v>10</v>
      </c>
      <c r="H137" s="73">
        <f t="shared" si="21"/>
        <v>10</v>
      </c>
      <c r="I137" s="73">
        <f t="shared" si="24"/>
        <v>10</v>
      </c>
      <c r="J137" s="72" t="s">
        <v>83</v>
      </c>
      <c r="K137" s="74"/>
      <c r="M137" s="99" t="s">
        <v>24</v>
      </c>
      <c r="N137" s="80">
        <f t="shared" si="22"/>
        <v>4</v>
      </c>
      <c r="O137" s="76">
        <f>N137*F137</f>
        <v>4</v>
      </c>
      <c r="P137" s="81" t="s">
        <v>56</v>
      </c>
      <c r="AA137" s="92"/>
    </row>
    <row r="138" spans="1:27" x14ac:dyDescent="0.25">
      <c r="A138" s="95">
        <v>45462</v>
      </c>
      <c r="B138" s="72" t="s">
        <v>632</v>
      </c>
      <c r="C138" s="72" t="s">
        <v>9</v>
      </c>
      <c r="D138" s="72" t="s">
        <v>20</v>
      </c>
      <c r="E138" s="72" t="s">
        <v>56</v>
      </c>
      <c r="F138" s="72">
        <v>1</v>
      </c>
      <c r="G138" s="73">
        <f t="shared" si="25"/>
        <v>15</v>
      </c>
      <c r="H138" s="73">
        <f t="shared" si="21"/>
        <v>15</v>
      </c>
      <c r="I138" s="73">
        <f t="shared" si="24"/>
        <v>15</v>
      </c>
      <c r="J138" s="72" t="s">
        <v>83</v>
      </c>
      <c r="K138" s="74"/>
      <c r="M138" s="99" t="s">
        <v>20</v>
      </c>
      <c r="N138" s="80">
        <f t="shared" si="22"/>
        <v>6</v>
      </c>
      <c r="O138" s="76">
        <f>N138*F138</f>
        <v>6</v>
      </c>
      <c r="P138" s="81" t="s">
        <v>56</v>
      </c>
      <c r="AA138" s="92"/>
    </row>
    <row r="139" spans="1:27" x14ac:dyDescent="0.25">
      <c r="A139" s="95">
        <v>45462</v>
      </c>
      <c r="B139" s="72" t="s">
        <v>594</v>
      </c>
      <c r="C139" s="72" t="s">
        <v>9</v>
      </c>
      <c r="D139" s="72" t="s">
        <v>18</v>
      </c>
      <c r="E139" s="72" t="s">
        <v>56</v>
      </c>
      <c r="F139" s="72">
        <v>1</v>
      </c>
      <c r="G139" s="73">
        <f t="shared" si="25"/>
        <v>40</v>
      </c>
      <c r="H139" s="73">
        <f t="shared" si="21"/>
        <v>40</v>
      </c>
      <c r="I139" s="73">
        <f t="shared" si="24"/>
        <v>40</v>
      </c>
      <c r="J139" s="72" t="s">
        <v>83</v>
      </c>
      <c r="K139" s="74"/>
      <c r="M139" s="99" t="s">
        <v>18</v>
      </c>
      <c r="N139" s="80">
        <f t="shared" si="22"/>
        <v>16</v>
      </c>
      <c r="O139" s="76">
        <f>N139*F139</f>
        <v>16</v>
      </c>
      <c r="P139" s="81" t="s">
        <v>56</v>
      </c>
      <c r="AA139" s="92"/>
    </row>
    <row r="140" spans="1:27" x14ac:dyDescent="0.25">
      <c r="A140" s="95">
        <v>45462</v>
      </c>
      <c r="B140" s="72" t="s">
        <v>633</v>
      </c>
      <c r="C140" s="72" t="s">
        <v>9</v>
      </c>
      <c r="D140" s="72" t="s">
        <v>15</v>
      </c>
      <c r="E140" s="72" t="s">
        <v>82</v>
      </c>
      <c r="F140" s="72">
        <v>1</v>
      </c>
      <c r="G140" s="73">
        <f t="shared" si="25"/>
        <v>70</v>
      </c>
      <c r="H140" s="73">
        <f t="shared" si="21"/>
        <v>70</v>
      </c>
      <c r="I140" s="73">
        <f t="shared" si="24"/>
        <v>66.507000000000005</v>
      </c>
      <c r="J140" s="72" t="s">
        <v>86</v>
      </c>
      <c r="K140" s="74"/>
      <c r="M140" s="99"/>
      <c r="N140" s="80" t="e">
        <f t="shared" si="22"/>
        <v>#N/A</v>
      </c>
      <c r="O140" s="76"/>
      <c r="P140" s="81"/>
      <c r="AA140" s="92"/>
    </row>
    <row r="141" spans="1:27" x14ac:dyDescent="0.25">
      <c r="A141" s="95">
        <v>45462</v>
      </c>
      <c r="B141" s="72" t="s">
        <v>586</v>
      </c>
      <c r="C141" s="72" t="s">
        <v>8</v>
      </c>
      <c r="D141" s="72" t="s">
        <v>18</v>
      </c>
      <c r="E141" s="72" t="s">
        <v>82</v>
      </c>
      <c r="F141" s="72">
        <v>1</v>
      </c>
      <c r="G141" s="73">
        <f t="shared" si="25"/>
        <v>40</v>
      </c>
      <c r="H141" s="73">
        <f t="shared" si="21"/>
        <v>40</v>
      </c>
      <c r="I141" s="73">
        <f t="shared" si="24"/>
        <v>39.043999999999997</v>
      </c>
      <c r="J141" s="72" t="s">
        <v>78</v>
      </c>
      <c r="K141" s="74"/>
      <c r="M141" s="99"/>
      <c r="N141" s="80" t="e">
        <f t="shared" si="22"/>
        <v>#N/A</v>
      </c>
      <c r="O141" s="76"/>
      <c r="P141" s="81"/>
      <c r="AA141" s="92"/>
    </row>
    <row r="142" spans="1:27" x14ac:dyDescent="0.25">
      <c r="A142" s="95">
        <v>45462</v>
      </c>
      <c r="B142" s="72" t="s">
        <v>485</v>
      </c>
      <c r="C142" s="72" t="s">
        <v>8</v>
      </c>
      <c r="D142" s="72" t="s">
        <v>18</v>
      </c>
      <c r="E142" s="72" t="s">
        <v>82</v>
      </c>
      <c r="F142" s="72">
        <v>1</v>
      </c>
      <c r="G142" s="73">
        <f t="shared" si="25"/>
        <v>40</v>
      </c>
      <c r="H142" s="73">
        <f t="shared" si="21"/>
        <v>40</v>
      </c>
      <c r="I142" s="73">
        <f t="shared" si="24"/>
        <v>38.003999999999998</v>
      </c>
      <c r="J142" s="72" t="s">
        <v>86</v>
      </c>
      <c r="K142" s="74"/>
      <c r="M142" s="99"/>
      <c r="N142" s="80" t="e">
        <f t="shared" ref="N142:N145" si="26">VLOOKUP(M142,$S$3:$U$64,3,0)</f>
        <v>#N/A</v>
      </c>
      <c r="O142" s="76"/>
      <c r="P142" s="81"/>
      <c r="AA142" s="92"/>
    </row>
    <row r="143" spans="1:27" x14ac:dyDescent="0.25">
      <c r="A143" s="95">
        <v>45462</v>
      </c>
      <c r="B143" s="72" t="s">
        <v>204</v>
      </c>
      <c r="C143" s="72" t="s">
        <v>8</v>
      </c>
      <c r="D143" s="72" t="s">
        <v>18</v>
      </c>
      <c r="E143" s="72" t="s">
        <v>56</v>
      </c>
      <c r="F143" s="72">
        <v>1</v>
      </c>
      <c r="G143" s="73">
        <f t="shared" si="25"/>
        <v>40</v>
      </c>
      <c r="H143" s="73">
        <f t="shared" si="21"/>
        <v>40</v>
      </c>
      <c r="I143" s="73">
        <f t="shared" si="24"/>
        <v>40</v>
      </c>
      <c r="J143" s="72" t="s">
        <v>79</v>
      </c>
      <c r="K143" s="74"/>
      <c r="M143" s="99" t="s">
        <v>18</v>
      </c>
      <c r="N143" s="80">
        <f t="shared" si="26"/>
        <v>16</v>
      </c>
      <c r="O143" s="76">
        <f>N143*F143</f>
        <v>16</v>
      </c>
      <c r="P143" s="81" t="s">
        <v>56</v>
      </c>
      <c r="AA143" s="92"/>
    </row>
    <row r="144" spans="1:27" x14ac:dyDescent="0.25">
      <c r="A144" s="95">
        <v>45462</v>
      </c>
      <c r="B144" s="72" t="s">
        <v>545</v>
      </c>
      <c r="C144" s="72" t="s">
        <v>8</v>
      </c>
      <c r="D144" s="72" t="s">
        <v>18</v>
      </c>
      <c r="E144" s="72" t="s">
        <v>56</v>
      </c>
      <c r="F144" s="72">
        <v>1</v>
      </c>
      <c r="G144" s="73">
        <f t="shared" si="25"/>
        <v>40</v>
      </c>
      <c r="H144" s="73">
        <f t="shared" si="21"/>
        <v>40</v>
      </c>
      <c r="I144" s="73">
        <f t="shared" si="24"/>
        <v>40</v>
      </c>
      <c r="J144" s="72" t="s">
        <v>83</v>
      </c>
      <c r="K144" s="74"/>
      <c r="M144" s="99" t="s">
        <v>18</v>
      </c>
      <c r="N144" s="80">
        <f t="shared" si="26"/>
        <v>16</v>
      </c>
      <c r="O144" s="76">
        <f>N144*F144</f>
        <v>16</v>
      </c>
      <c r="P144" s="81" t="s">
        <v>56</v>
      </c>
      <c r="AA144" s="92"/>
    </row>
    <row r="145" spans="1:27" x14ac:dyDescent="0.25">
      <c r="A145" s="95">
        <v>45462</v>
      </c>
      <c r="B145" s="72" t="s">
        <v>536</v>
      </c>
      <c r="C145" s="72" t="s">
        <v>8</v>
      </c>
      <c r="D145" s="72" t="s">
        <v>18</v>
      </c>
      <c r="E145" s="72" t="s">
        <v>82</v>
      </c>
      <c r="F145" s="72">
        <v>1</v>
      </c>
      <c r="G145" s="73">
        <f t="shared" si="25"/>
        <v>40</v>
      </c>
      <c r="H145" s="73">
        <f t="shared" si="21"/>
        <v>40</v>
      </c>
      <c r="I145" s="73">
        <f t="shared" si="24"/>
        <v>40</v>
      </c>
      <c r="J145" s="72" t="s">
        <v>79</v>
      </c>
      <c r="K145" s="74"/>
      <c r="M145" s="99"/>
      <c r="N145" s="80" t="e">
        <f t="shared" si="26"/>
        <v>#N/A</v>
      </c>
      <c r="O145" s="76"/>
      <c r="P145" s="81"/>
      <c r="AA145" s="92"/>
    </row>
    <row r="146" spans="1:27" x14ac:dyDescent="0.25">
      <c r="A146" s="95">
        <v>45463</v>
      </c>
      <c r="B146" s="72" t="s">
        <v>634</v>
      </c>
      <c r="C146" s="72" t="s">
        <v>10</v>
      </c>
      <c r="D146" s="72" t="s">
        <v>18</v>
      </c>
      <c r="E146" s="72" t="s">
        <v>56</v>
      </c>
      <c r="F146" s="72">
        <v>1</v>
      </c>
      <c r="G146" s="73">
        <v>35</v>
      </c>
      <c r="H146" s="73">
        <f t="shared" si="21"/>
        <v>35</v>
      </c>
      <c r="I146" s="73">
        <f t="shared" si="24"/>
        <v>34.163499999999999</v>
      </c>
      <c r="J146" s="72" t="s">
        <v>78</v>
      </c>
      <c r="K146" s="74"/>
      <c r="M146" s="99" t="s">
        <v>18</v>
      </c>
      <c r="N146" s="80">
        <f>H146*0.4</f>
        <v>14</v>
      </c>
      <c r="O146" s="76">
        <f>N146*F146</f>
        <v>14</v>
      </c>
      <c r="P146" s="81" t="s">
        <v>56</v>
      </c>
      <c r="AA146" s="92"/>
    </row>
    <row r="147" spans="1:27" x14ac:dyDescent="0.25">
      <c r="A147" s="95">
        <v>45463</v>
      </c>
      <c r="B147" s="72" t="s">
        <v>517</v>
      </c>
      <c r="C147" s="72" t="s">
        <v>8</v>
      </c>
      <c r="D147" s="72" t="s">
        <v>175</v>
      </c>
      <c r="E147" s="72" t="s">
        <v>82</v>
      </c>
      <c r="F147" s="72">
        <v>2</v>
      </c>
      <c r="G147" s="73">
        <f t="shared" ref="G147:G180" si="27">VLOOKUP(D147,$S$3:$T$64,2,0)</f>
        <v>40</v>
      </c>
      <c r="H147" s="73">
        <v>75</v>
      </c>
      <c r="I147" s="73">
        <f t="shared" si="24"/>
        <v>75</v>
      </c>
      <c r="J147" s="72" t="s">
        <v>79</v>
      </c>
      <c r="K147" s="74"/>
      <c r="M147" s="99"/>
      <c r="N147" s="80" t="e">
        <f t="shared" ref="N147:N185" si="28">VLOOKUP(M147,$S$3:$U$64,3,0)</f>
        <v>#N/A</v>
      </c>
      <c r="O147" s="76"/>
      <c r="P147" s="81"/>
      <c r="AA147" s="92"/>
    </row>
    <row r="148" spans="1:27" x14ac:dyDescent="0.25">
      <c r="A148" s="95">
        <v>45463</v>
      </c>
      <c r="B148" s="72" t="s">
        <v>220</v>
      </c>
      <c r="C148" s="72" t="s">
        <v>8</v>
      </c>
      <c r="D148" s="72" t="s">
        <v>15</v>
      </c>
      <c r="E148" s="72" t="s">
        <v>82</v>
      </c>
      <c r="F148" s="72">
        <v>1</v>
      </c>
      <c r="G148" s="73">
        <f t="shared" si="27"/>
        <v>70</v>
      </c>
      <c r="H148" s="73">
        <f t="shared" ref="H148:H211" si="29">F148*G148</f>
        <v>70</v>
      </c>
      <c r="I148" s="73">
        <f t="shared" si="24"/>
        <v>66.507000000000005</v>
      </c>
      <c r="J148" s="72" t="s">
        <v>86</v>
      </c>
      <c r="K148" s="74"/>
      <c r="M148" s="99"/>
      <c r="N148" s="80" t="e">
        <f t="shared" si="28"/>
        <v>#N/A</v>
      </c>
      <c r="O148" s="76"/>
      <c r="P148" s="81"/>
      <c r="Y148" s="91" t="s">
        <v>309</v>
      </c>
      <c r="Z148" s="92">
        <v>6.8327</v>
      </c>
      <c r="AA148" s="92">
        <f t="shared" ref="AA148:AA189" si="30">Z148*0.1</f>
        <v>0.68327000000000004</v>
      </c>
    </row>
    <row r="149" spans="1:27" x14ac:dyDescent="0.25">
      <c r="A149" s="95">
        <v>45463</v>
      </c>
      <c r="B149" s="72" t="s">
        <v>635</v>
      </c>
      <c r="C149" s="72" t="s">
        <v>8</v>
      </c>
      <c r="D149" s="72" t="s">
        <v>18</v>
      </c>
      <c r="E149" s="72" t="s">
        <v>82</v>
      </c>
      <c r="F149" s="72">
        <v>1</v>
      </c>
      <c r="G149" s="73">
        <f t="shared" si="27"/>
        <v>40</v>
      </c>
      <c r="H149" s="73">
        <f t="shared" si="29"/>
        <v>40</v>
      </c>
      <c r="I149" s="73">
        <f t="shared" si="24"/>
        <v>40</v>
      </c>
      <c r="J149" s="72" t="s">
        <v>83</v>
      </c>
      <c r="K149" s="74"/>
      <c r="M149" s="99"/>
      <c r="N149" s="80" t="e">
        <f t="shared" si="28"/>
        <v>#N/A</v>
      </c>
      <c r="O149" s="76"/>
      <c r="P149" s="81"/>
      <c r="Y149" s="91" t="s">
        <v>311</v>
      </c>
      <c r="Z149" s="92">
        <v>6.6506999999999996</v>
      </c>
      <c r="AA149" s="92">
        <f t="shared" si="30"/>
        <v>0.66507000000000005</v>
      </c>
    </row>
    <row r="150" spans="1:27" x14ac:dyDescent="0.25">
      <c r="A150" s="95">
        <v>45463</v>
      </c>
      <c r="B150" s="72" t="s">
        <v>511</v>
      </c>
      <c r="C150" s="72" t="s">
        <v>8</v>
      </c>
      <c r="D150" s="72" t="s">
        <v>13</v>
      </c>
      <c r="E150" s="72" t="s">
        <v>56</v>
      </c>
      <c r="F150" s="72">
        <v>1</v>
      </c>
      <c r="G150" s="73">
        <f t="shared" si="27"/>
        <v>30</v>
      </c>
      <c r="H150" s="73">
        <f t="shared" si="29"/>
        <v>30</v>
      </c>
      <c r="I150" s="73">
        <f t="shared" si="24"/>
        <v>30</v>
      </c>
      <c r="J150" s="72" t="s">
        <v>79</v>
      </c>
      <c r="K150" s="74"/>
      <c r="M150" s="99" t="s">
        <v>13</v>
      </c>
      <c r="N150" s="80">
        <f t="shared" si="28"/>
        <v>12</v>
      </c>
      <c r="O150" s="76">
        <f>N150*F150</f>
        <v>12</v>
      </c>
      <c r="P150" s="81" t="s">
        <v>56</v>
      </c>
      <c r="Q150" s="106">
        <f>SUM(O126:O150)</f>
        <v>134</v>
      </c>
      <c r="Y150" s="91" t="s">
        <v>313</v>
      </c>
      <c r="Z150" s="92">
        <v>5</v>
      </c>
      <c r="AA150" s="92">
        <f t="shared" si="30"/>
        <v>0.5</v>
      </c>
    </row>
    <row r="151" spans="1:27" x14ac:dyDescent="0.25">
      <c r="A151" s="95">
        <v>45463</v>
      </c>
      <c r="B151" s="72" t="s">
        <v>516</v>
      </c>
      <c r="C151" s="72" t="s">
        <v>8</v>
      </c>
      <c r="D151" s="72" t="s">
        <v>18</v>
      </c>
      <c r="E151" s="72" t="s">
        <v>82</v>
      </c>
      <c r="F151" s="72">
        <v>1</v>
      </c>
      <c r="G151" s="73">
        <f t="shared" si="27"/>
        <v>40</v>
      </c>
      <c r="H151" s="73">
        <f t="shared" si="29"/>
        <v>40</v>
      </c>
      <c r="I151" s="73">
        <f t="shared" si="24"/>
        <v>40</v>
      </c>
      <c r="J151" s="72" t="s">
        <v>83</v>
      </c>
      <c r="K151" s="74"/>
      <c r="M151" s="99"/>
      <c r="N151" s="80" t="e">
        <f t="shared" si="28"/>
        <v>#N/A</v>
      </c>
      <c r="O151" s="76"/>
      <c r="P151" s="81"/>
      <c r="Y151" s="91" t="s">
        <v>316</v>
      </c>
      <c r="Z151" s="92">
        <v>5</v>
      </c>
      <c r="AA151" s="92">
        <f t="shared" si="30"/>
        <v>0.5</v>
      </c>
    </row>
    <row r="152" spans="1:27" x14ac:dyDescent="0.25">
      <c r="A152" s="95">
        <v>45463</v>
      </c>
      <c r="B152" s="72" t="s">
        <v>636</v>
      </c>
      <c r="C152" s="72" t="s">
        <v>8</v>
      </c>
      <c r="D152" s="72" t="s">
        <v>17</v>
      </c>
      <c r="E152" s="72" t="s">
        <v>82</v>
      </c>
      <c r="F152" s="72">
        <v>1</v>
      </c>
      <c r="G152" s="73">
        <f t="shared" si="27"/>
        <v>50</v>
      </c>
      <c r="H152" s="73">
        <f t="shared" si="29"/>
        <v>50</v>
      </c>
      <c r="I152" s="73">
        <f t="shared" si="24"/>
        <v>50</v>
      </c>
      <c r="J152" s="72" t="s">
        <v>79</v>
      </c>
      <c r="K152" s="74"/>
      <c r="M152" s="99"/>
      <c r="N152" s="80" t="e">
        <f t="shared" si="28"/>
        <v>#N/A</v>
      </c>
      <c r="O152" s="76"/>
      <c r="P152" s="81"/>
      <c r="Y152" s="91" t="s">
        <v>318</v>
      </c>
      <c r="Z152" s="92">
        <v>4.8804999999999996</v>
      </c>
      <c r="AA152" s="92">
        <f t="shared" si="30"/>
        <v>0.48804999999999998</v>
      </c>
    </row>
    <row r="153" spans="1:27" x14ac:dyDescent="0.25">
      <c r="A153" s="95">
        <v>45464</v>
      </c>
      <c r="B153" s="72" t="s">
        <v>308</v>
      </c>
      <c r="C153" s="72" t="s">
        <v>8</v>
      </c>
      <c r="D153" s="72" t="s">
        <v>18</v>
      </c>
      <c r="E153" s="72" t="s">
        <v>56</v>
      </c>
      <c r="F153" s="72">
        <v>3</v>
      </c>
      <c r="G153" s="73">
        <f t="shared" si="27"/>
        <v>40</v>
      </c>
      <c r="H153" s="73">
        <f t="shared" si="29"/>
        <v>120</v>
      </c>
      <c r="I153" s="73">
        <f t="shared" si="24"/>
        <v>114.012</v>
      </c>
      <c r="J153" s="72" t="s">
        <v>86</v>
      </c>
      <c r="K153" s="74"/>
      <c r="M153" s="99" t="s">
        <v>18</v>
      </c>
      <c r="N153" s="80">
        <f t="shared" si="28"/>
        <v>16</v>
      </c>
      <c r="O153" s="76">
        <f>N153*F153</f>
        <v>48</v>
      </c>
      <c r="P153" s="81" t="s">
        <v>56</v>
      </c>
      <c r="Y153" s="91" t="s">
        <v>320</v>
      </c>
      <c r="Z153" s="92">
        <v>4.7504999999999997</v>
      </c>
      <c r="AA153" s="92">
        <f t="shared" si="30"/>
        <v>0.47504999999999997</v>
      </c>
    </row>
    <row r="154" spans="1:27" x14ac:dyDescent="0.25">
      <c r="A154" s="95">
        <v>45464</v>
      </c>
      <c r="B154" s="72" t="s">
        <v>308</v>
      </c>
      <c r="C154" s="72" t="s">
        <v>8</v>
      </c>
      <c r="D154" s="72" t="s">
        <v>24</v>
      </c>
      <c r="E154" s="72" t="s">
        <v>56</v>
      </c>
      <c r="F154" s="72">
        <v>1</v>
      </c>
      <c r="G154" s="73">
        <f t="shared" si="27"/>
        <v>10</v>
      </c>
      <c r="H154" s="73">
        <f t="shared" si="29"/>
        <v>10</v>
      </c>
      <c r="I154" s="73">
        <f t="shared" si="24"/>
        <v>9.5009999999999994</v>
      </c>
      <c r="J154" s="72" t="s">
        <v>86</v>
      </c>
      <c r="K154" s="74"/>
      <c r="M154" s="99" t="s">
        <v>24</v>
      </c>
      <c r="N154" s="80">
        <f t="shared" si="28"/>
        <v>4</v>
      </c>
      <c r="O154" s="76">
        <f>N154*F154</f>
        <v>4</v>
      </c>
      <c r="P154" s="81" t="s">
        <v>56</v>
      </c>
      <c r="Y154" s="91" t="s">
        <v>321</v>
      </c>
      <c r="Z154" s="92">
        <v>10</v>
      </c>
      <c r="AA154" s="92">
        <f t="shared" si="30"/>
        <v>1</v>
      </c>
    </row>
    <row r="155" spans="1:27" x14ac:dyDescent="0.25">
      <c r="A155" s="95">
        <v>45464</v>
      </c>
      <c r="B155" s="72" t="s">
        <v>459</v>
      </c>
      <c r="C155" s="72" t="s">
        <v>8</v>
      </c>
      <c r="D155" s="72" t="s">
        <v>18</v>
      </c>
      <c r="E155" s="72" t="s">
        <v>56</v>
      </c>
      <c r="F155" s="72">
        <v>1</v>
      </c>
      <c r="G155" s="73">
        <f t="shared" si="27"/>
        <v>40</v>
      </c>
      <c r="H155" s="73">
        <f t="shared" si="29"/>
        <v>40</v>
      </c>
      <c r="I155" s="73">
        <f t="shared" si="24"/>
        <v>40</v>
      </c>
      <c r="J155" s="72" t="s">
        <v>83</v>
      </c>
      <c r="K155" s="74"/>
      <c r="M155" s="99" t="s">
        <v>18</v>
      </c>
      <c r="N155" s="80">
        <f t="shared" si="28"/>
        <v>16</v>
      </c>
      <c r="O155" s="76">
        <f>N155*F155</f>
        <v>16</v>
      </c>
      <c r="P155" s="81" t="s">
        <v>56</v>
      </c>
      <c r="Y155" s="91" t="s">
        <v>323</v>
      </c>
      <c r="Z155" s="92">
        <v>10</v>
      </c>
      <c r="AA155" s="92">
        <f t="shared" si="30"/>
        <v>1</v>
      </c>
    </row>
    <row r="156" spans="1:27" x14ac:dyDescent="0.25">
      <c r="A156" s="95">
        <v>45464</v>
      </c>
      <c r="B156" s="72" t="s">
        <v>637</v>
      </c>
      <c r="C156" s="72" t="s">
        <v>8</v>
      </c>
      <c r="D156" s="72" t="s">
        <v>18</v>
      </c>
      <c r="E156" s="72" t="s">
        <v>82</v>
      </c>
      <c r="F156" s="72">
        <v>1</v>
      </c>
      <c r="G156" s="73">
        <f t="shared" si="27"/>
        <v>40</v>
      </c>
      <c r="H156" s="73">
        <f t="shared" si="29"/>
        <v>40</v>
      </c>
      <c r="I156" s="73">
        <f t="shared" si="24"/>
        <v>40</v>
      </c>
      <c r="J156" s="72" t="s">
        <v>83</v>
      </c>
      <c r="K156" s="74"/>
      <c r="M156" s="99"/>
      <c r="N156" s="80" t="e">
        <f t="shared" si="28"/>
        <v>#N/A</v>
      </c>
      <c r="O156" s="76"/>
      <c r="P156" s="81"/>
      <c r="Y156" s="91" t="s">
        <v>325</v>
      </c>
      <c r="Z156" s="92">
        <v>9.7609999999999992</v>
      </c>
      <c r="AA156" s="92">
        <f t="shared" si="30"/>
        <v>0.97609999999999997</v>
      </c>
    </row>
    <row r="157" spans="1:27" x14ac:dyDescent="0.25">
      <c r="A157" s="95">
        <v>45464</v>
      </c>
      <c r="B157" s="72" t="s">
        <v>638</v>
      </c>
      <c r="C157" s="72" t="s">
        <v>8</v>
      </c>
      <c r="D157" s="72" t="s">
        <v>18</v>
      </c>
      <c r="E157" s="72" t="s">
        <v>82</v>
      </c>
      <c r="F157" s="72">
        <v>1</v>
      </c>
      <c r="G157" s="73">
        <f t="shared" si="27"/>
        <v>40</v>
      </c>
      <c r="H157" s="73">
        <f t="shared" si="29"/>
        <v>40</v>
      </c>
      <c r="I157" s="73">
        <f t="shared" si="24"/>
        <v>40</v>
      </c>
      <c r="J157" s="72" t="s">
        <v>83</v>
      </c>
      <c r="K157" s="74"/>
      <c r="M157" s="99"/>
      <c r="N157" s="80" t="e">
        <f t="shared" si="28"/>
        <v>#N/A</v>
      </c>
      <c r="O157" s="76"/>
      <c r="P157" s="81"/>
      <c r="Y157" s="91" t="s">
        <v>326</v>
      </c>
      <c r="Z157" s="92">
        <v>9.5009999999999994</v>
      </c>
      <c r="AA157" s="92">
        <f t="shared" si="30"/>
        <v>0.95009999999999994</v>
      </c>
    </row>
    <row r="158" spans="1:27" x14ac:dyDescent="0.25">
      <c r="A158" s="95">
        <v>45464</v>
      </c>
      <c r="B158" s="72" t="s">
        <v>561</v>
      </c>
      <c r="C158" s="72" t="s">
        <v>8</v>
      </c>
      <c r="D158" s="72" t="s">
        <v>18</v>
      </c>
      <c r="E158" s="72" t="s">
        <v>82</v>
      </c>
      <c r="F158" s="72">
        <v>1</v>
      </c>
      <c r="G158" s="73">
        <f t="shared" si="27"/>
        <v>40</v>
      </c>
      <c r="H158" s="73">
        <f t="shared" si="29"/>
        <v>40</v>
      </c>
      <c r="I158" s="73">
        <f t="shared" si="24"/>
        <v>40</v>
      </c>
      <c r="J158" s="72" t="s">
        <v>83</v>
      </c>
      <c r="K158" s="74"/>
      <c r="M158" s="99"/>
      <c r="N158" s="80" t="e">
        <f t="shared" si="28"/>
        <v>#N/A</v>
      </c>
      <c r="O158" s="76"/>
      <c r="P158" s="81"/>
      <c r="Y158" s="91" t="s">
        <v>327</v>
      </c>
      <c r="Z158" s="92">
        <v>5</v>
      </c>
      <c r="AA158" s="92">
        <f t="shared" si="30"/>
        <v>0.5</v>
      </c>
    </row>
    <row r="159" spans="1:27" x14ac:dyDescent="0.25">
      <c r="A159" s="95">
        <v>45464</v>
      </c>
      <c r="B159" s="72" t="s">
        <v>561</v>
      </c>
      <c r="C159" s="72" t="s">
        <v>8</v>
      </c>
      <c r="D159" s="72" t="s">
        <v>37</v>
      </c>
      <c r="E159" s="72" t="s">
        <v>82</v>
      </c>
      <c r="F159" s="72">
        <v>1</v>
      </c>
      <c r="G159" s="73">
        <f t="shared" si="27"/>
        <v>7</v>
      </c>
      <c r="H159" s="73">
        <f t="shared" si="29"/>
        <v>7</v>
      </c>
      <c r="I159" s="73">
        <f t="shared" si="24"/>
        <v>7</v>
      </c>
      <c r="J159" s="72" t="s">
        <v>83</v>
      </c>
      <c r="K159" s="74"/>
      <c r="M159" s="99"/>
      <c r="N159" s="80" t="e">
        <f t="shared" si="28"/>
        <v>#N/A</v>
      </c>
      <c r="O159" s="76"/>
      <c r="P159" s="81"/>
      <c r="Y159" s="91" t="s">
        <v>329</v>
      </c>
      <c r="Z159" s="92">
        <v>5</v>
      </c>
      <c r="AA159" s="92">
        <f t="shared" si="30"/>
        <v>0.5</v>
      </c>
    </row>
    <row r="160" spans="1:27" x14ac:dyDescent="0.25">
      <c r="A160" s="95">
        <v>45464</v>
      </c>
      <c r="B160" s="72" t="s">
        <v>581</v>
      </c>
      <c r="C160" s="72" t="s">
        <v>8</v>
      </c>
      <c r="D160" s="72" t="s">
        <v>18</v>
      </c>
      <c r="E160" s="72" t="s">
        <v>56</v>
      </c>
      <c r="F160" s="72">
        <v>1</v>
      </c>
      <c r="G160" s="73">
        <f t="shared" si="27"/>
        <v>40</v>
      </c>
      <c r="H160" s="73">
        <f t="shared" si="29"/>
        <v>40</v>
      </c>
      <c r="I160" s="73">
        <f t="shared" si="24"/>
        <v>39.043999999999997</v>
      </c>
      <c r="J160" s="72" t="s">
        <v>78</v>
      </c>
      <c r="K160" s="74"/>
      <c r="M160" s="99" t="s">
        <v>18</v>
      </c>
      <c r="N160" s="80">
        <f t="shared" si="28"/>
        <v>16</v>
      </c>
      <c r="O160" s="76">
        <f>N160*F160</f>
        <v>16</v>
      </c>
      <c r="P160" s="81" t="s">
        <v>56</v>
      </c>
      <c r="Y160" s="91" t="s">
        <v>330</v>
      </c>
      <c r="Z160" s="92">
        <v>4.8804999999999996</v>
      </c>
      <c r="AA160" s="92">
        <f t="shared" si="30"/>
        <v>0.48804999999999998</v>
      </c>
    </row>
    <row r="161" spans="1:27" x14ac:dyDescent="0.25">
      <c r="A161" s="95">
        <v>45464</v>
      </c>
      <c r="B161" s="72" t="s">
        <v>639</v>
      </c>
      <c r="C161" s="72" t="s">
        <v>8</v>
      </c>
      <c r="D161" s="72" t="s">
        <v>18</v>
      </c>
      <c r="E161" s="72" t="s">
        <v>82</v>
      </c>
      <c r="F161" s="72">
        <v>1</v>
      </c>
      <c r="G161" s="73">
        <f t="shared" si="27"/>
        <v>40</v>
      </c>
      <c r="H161" s="73">
        <f t="shared" si="29"/>
        <v>40</v>
      </c>
      <c r="I161" s="73">
        <f t="shared" si="24"/>
        <v>40</v>
      </c>
      <c r="J161" s="72" t="s">
        <v>333</v>
      </c>
      <c r="K161" s="74"/>
      <c r="M161" s="99"/>
      <c r="N161" s="80" t="e">
        <f t="shared" si="28"/>
        <v>#N/A</v>
      </c>
      <c r="O161" s="76"/>
      <c r="P161" s="81"/>
      <c r="Y161" s="91" t="s">
        <v>331</v>
      </c>
      <c r="Z161" s="92">
        <v>4.7504999999999997</v>
      </c>
      <c r="AA161" s="92">
        <f t="shared" si="30"/>
        <v>0.47504999999999997</v>
      </c>
    </row>
    <row r="162" spans="1:27" x14ac:dyDescent="0.25">
      <c r="A162" s="95">
        <v>45465</v>
      </c>
      <c r="B162" s="72" t="s">
        <v>174</v>
      </c>
      <c r="C162" s="72" t="s">
        <v>8</v>
      </c>
      <c r="D162" s="72" t="s">
        <v>18</v>
      </c>
      <c r="E162" s="72" t="s">
        <v>56</v>
      </c>
      <c r="F162" s="72">
        <v>1</v>
      </c>
      <c r="G162" s="73">
        <f t="shared" si="27"/>
        <v>40</v>
      </c>
      <c r="H162" s="73">
        <f t="shared" si="29"/>
        <v>40</v>
      </c>
      <c r="I162" s="73">
        <f t="shared" si="24"/>
        <v>40</v>
      </c>
      <c r="J162" s="72" t="s">
        <v>83</v>
      </c>
      <c r="K162" s="74"/>
      <c r="M162" s="99" t="s">
        <v>18</v>
      </c>
      <c r="N162" s="80">
        <f t="shared" si="28"/>
        <v>16</v>
      </c>
      <c r="O162" s="76">
        <f t="shared" ref="O162:O169" si="31">N162*F162</f>
        <v>16</v>
      </c>
      <c r="P162" s="81" t="s">
        <v>56</v>
      </c>
      <c r="Y162" s="91" t="s">
        <v>334</v>
      </c>
      <c r="Z162" s="92">
        <v>7</v>
      </c>
      <c r="AA162" s="92">
        <f t="shared" si="30"/>
        <v>0.70000000000000007</v>
      </c>
    </row>
    <row r="163" spans="1:27" x14ac:dyDescent="0.25">
      <c r="A163" s="95">
        <v>45465</v>
      </c>
      <c r="B163" s="72" t="s">
        <v>640</v>
      </c>
      <c r="C163" s="72" t="s">
        <v>10</v>
      </c>
      <c r="D163" s="72" t="s">
        <v>18</v>
      </c>
      <c r="E163" s="72" t="s">
        <v>56</v>
      </c>
      <c r="F163" s="72">
        <v>1</v>
      </c>
      <c r="G163" s="73">
        <f t="shared" si="27"/>
        <v>40</v>
      </c>
      <c r="H163" s="73">
        <f t="shared" si="29"/>
        <v>40</v>
      </c>
      <c r="I163" s="73">
        <f t="shared" si="24"/>
        <v>38.003999999999998</v>
      </c>
      <c r="J163" s="72" t="s">
        <v>86</v>
      </c>
      <c r="K163" s="74"/>
      <c r="M163" s="99" t="s">
        <v>18</v>
      </c>
      <c r="N163" s="80">
        <f t="shared" si="28"/>
        <v>16</v>
      </c>
      <c r="O163" s="76">
        <f t="shared" si="31"/>
        <v>16</v>
      </c>
      <c r="P163" s="81" t="s">
        <v>56</v>
      </c>
      <c r="Y163" s="91" t="s">
        <v>335</v>
      </c>
      <c r="Z163" s="92">
        <v>7</v>
      </c>
      <c r="AA163" s="92">
        <f t="shared" si="30"/>
        <v>0.70000000000000007</v>
      </c>
    </row>
    <row r="164" spans="1:27" x14ac:dyDescent="0.25">
      <c r="A164" s="95">
        <v>45465</v>
      </c>
      <c r="B164" s="72" t="s">
        <v>640</v>
      </c>
      <c r="C164" s="72" t="s">
        <v>10</v>
      </c>
      <c r="D164" s="72" t="s">
        <v>603</v>
      </c>
      <c r="E164" s="72" t="s">
        <v>56</v>
      </c>
      <c r="F164" s="72">
        <v>1</v>
      </c>
      <c r="G164" s="73">
        <f t="shared" si="27"/>
        <v>35</v>
      </c>
      <c r="H164" s="73">
        <f t="shared" si="29"/>
        <v>35</v>
      </c>
      <c r="I164" s="73">
        <f t="shared" si="24"/>
        <v>33.253500000000003</v>
      </c>
      <c r="J164" s="72" t="s">
        <v>86</v>
      </c>
      <c r="K164" s="74"/>
      <c r="M164" s="99" t="s">
        <v>603</v>
      </c>
      <c r="N164" s="80">
        <f t="shared" si="28"/>
        <v>3.5</v>
      </c>
      <c r="O164" s="76">
        <f t="shared" si="31"/>
        <v>3.5</v>
      </c>
      <c r="P164" s="81" t="s">
        <v>56</v>
      </c>
      <c r="Y164" s="91" t="s">
        <v>337</v>
      </c>
      <c r="Z164" s="92">
        <v>6.8327</v>
      </c>
      <c r="AA164" s="92">
        <f t="shared" si="30"/>
        <v>0.68327000000000004</v>
      </c>
    </row>
    <row r="165" spans="1:27" x14ac:dyDescent="0.25">
      <c r="A165" s="95">
        <v>45465</v>
      </c>
      <c r="B165" s="72" t="s">
        <v>640</v>
      </c>
      <c r="C165" s="72" t="s">
        <v>10</v>
      </c>
      <c r="D165" s="72" t="s">
        <v>34</v>
      </c>
      <c r="E165" s="72" t="s">
        <v>56</v>
      </c>
      <c r="F165" s="72">
        <v>1</v>
      </c>
      <c r="G165" s="73">
        <f t="shared" si="27"/>
        <v>10</v>
      </c>
      <c r="H165" s="73">
        <f t="shared" si="29"/>
        <v>10</v>
      </c>
      <c r="I165" s="73">
        <f t="shared" si="24"/>
        <v>9.5009999999999994</v>
      </c>
      <c r="J165" s="72" t="s">
        <v>86</v>
      </c>
      <c r="K165" s="74"/>
      <c r="M165" s="99" t="s">
        <v>34</v>
      </c>
      <c r="N165" s="80">
        <f t="shared" si="28"/>
        <v>1</v>
      </c>
      <c r="O165" s="76">
        <f t="shared" si="31"/>
        <v>1</v>
      </c>
      <c r="P165" s="81" t="s">
        <v>56</v>
      </c>
      <c r="Y165" s="91" t="s">
        <v>339</v>
      </c>
      <c r="Z165" s="92">
        <v>6.6506999999999996</v>
      </c>
      <c r="AA165" s="92">
        <f t="shared" si="30"/>
        <v>0.66507000000000005</v>
      </c>
    </row>
    <row r="166" spans="1:27" x14ac:dyDescent="0.25">
      <c r="A166" s="95">
        <v>45465</v>
      </c>
      <c r="B166" s="72" t="s">
        <v>640</v>
      </c>
      <c r="C166" s="72" t="s">
        <v>10</v>
      </c>
      <c r="D166" s="72" t="s">
        <v>61</v>
      </c>
      <c r="E166" s="72" t="s">
        <v>56</v>
      </c>
      <c r="F166" s="72">
        <v>1</v>
      </c>
      <c r="G166" s="73">
        <f t="shared" si="27"/>
        <v>35</v>
      </c>
      <c r="H166" s="73">
        <f t="shared" si="29"/>
        <v>35</v>
      </c>
      <c r="I166" s="73">
        <f t="shared" si="24"/>
        <v>33.253500000000003</v>
      </c>
      <c r="J166" s="72" t="s">
        <v>86</v>
      </c>
      <c r="K166" s="74"/>
      <c r="M166" s="99" t="s">
        <v>61</v>
      </c>
      <c r="N166" s="80">
        <f t="shared" si="28"/>
        <v>3.5</v>
      </c>
      <c r="O166" s="76">
        <f t="shared" si="31"/>
        <v>3.5</v>
      </c>
      <c r="P166" s="81" t="s">
        <v>56</v>
      </c>
      <c r="Y166" s="91" t="s">
        <v>341</v>
      </c>
      <c r="Z166" s="92">
        <v>3.5</v>
      </c>
      <c r="AA166" s="92">
        <f t="shared" si="30"/>
        <v>0.35000000000000003</v>
      </c>
    </row>
    <row r="167" spans="1:27" x14ac:dyDescent="0.25">
      <c r="A167" s="95">
        <v>45465</v>
      </c>
      <c r="B167" s="72" t="s">
        <v>602</v>
      </c>
      <c r="C167" s="72" t="s">
        <v>8</v>
      </c>
      <c r="D167" s="72" t="s">
        <v>16</v>
      </c>
      <c r="E167" s="72" t="s">
        <v>56</v>
      </c>
      <c r="F167" s="72">
        <v>1</v>
      </c>
      <c r="G167" s="73">
        <f t="shared" si="27"/>
        <v>80</v>
      </c>
      <c r="H167" s="73">
        <f t="shared" si="29"/>
        <v>80</v>
      </c>
      <c r="I167" s="73">
        <f t="shared" si="24"/>
        <v>80</v>
      </c>
      <c r="J167" s="72" t="s">
        <v>83</v>
      </c>
      <c r="K167" s="74"/>
      <c r="M167" s="99" t="s">
        <v>16</v>
      </c>
      <c r="N167" s="80">
        <f t="shared" si="28"/>
        <v>32</v>
      </c>
      <c r="O167" s="76">
        <f t="shared" si="31"/>
        <v>32</v>
      </c>
      <c r="P167" s="81" t="s">
        <v>56</v>
      </c>
      <c r="Y167" s="91" t="s">
        <v>343</v>
      </c>
      <c r="Z167" s="92">
        <v>3.5</v>
      </c>
      <c r="AA167" s="92">
        <f t="shared" si="30"/>
        <v>0.35000000000000003</v>
      </c>
    </row>
    <row r="168" spans="1:27" x14ac:dyDescent="0.25">
      <c r="A168" s="95">
        <v>45465</v>
      </c>
      <c r="B168" s="72" t="s">
        <v>641</v>
      </c>
      <c r="C168" s="72" t="s">
        <v>10</v>
      </c>
      <c r="D168" s="72" t="s">
        <v>19</v>
      </c>
      <c r="E168" s="72" t="s">
        <v>56</v>
      </c>
      <c r="F168" s="72">
        <v>1</v>
      </c>
      <c r="G168" s="73">
        <f t="shared" si="27"/>
        <v>40</v>
      </c>
      <c r="H168" s="73">
        <f t="shared" si="29"/>
        <v>40</v>
      </c>
      <c r="I168" s="73">
        <f t="shared" si="24"/>
        <v>40</v>
      </c>
      <c r="J168" s="72" t="s">
        <v>83</v>
      </c>
      <c r="K168" s="74"/>
      <c r="M168" s="99" t="s">
        <v>19</v>
      </c>
      <c r="N168" s="80">
        <f t="shared" si="28"/>
        <v>16</v>
      </c>
      <c r="O168" s="76">
        <f t="shared" si="31"/>
        <v>16</v>
      </c>
      <c r="P168" s="81" t="s">
        <v>56</v>
      </c>
      <c r="Y168" s="91" t="s">
        <v>345</v>
      </c>
      <c r="Z168" s="92">
        <v>3.41635</v>
      </c>
      <c r="AA168" s="92">
        <f t="shared" si="30"/>
        <v>0.34163500000000002</v>
      </c>
    </row>
    <row r="169" spans="1:27" x14ac:dyDescent="0.25">
      <c r="A169" s="95">
        <v>45465</v>
      </c>
      <c r="B169" s="72" t="s">
        <v>641</v>
      </c>
      <c r="C169" s="72" t="s">
        <v>10</v>
      </c>
      <c r="D169" s="72" t="s">
        <v>38</v>
      </c>
      <c r="E169" s="72" t="s">
        <v>56</v>
      </c>
      <c r="F169" s="72">
        <v>4</v>
      </c>
      <c r="G169" s="73">
        <f t="shared" si="27"/>
        <v>6</v>
      </c>
      <c r="H169" s="73">
        <f t="shared" si="29"/>
        <v>24</v>
      </c>
      <c r="I169" s="73">
        <f t="shared" si="24"/>
        <v>24</v>
      </c>
      <c r="J169" s="72" t="s">
        <v>83</v>
      </c>
      <c r="K169" s="74"/>
      <c r="M169" s="99" t="s">
        <v>38</v>
      </c>
      <c r="N169" s="80">
        <f t="shared" si="28"/>
        <v>0.60000000000000009</v>
      </c>
      <c r="O169" s="76">
        <f t="shared" si="31"/>
        <v>2.4000000000000004</v>
      </c>
      <c r="P169" s="81" t="s">
        <v>56</v>
      </c>
      <c r="Y169" s="91" t="s">
        <v>347</v>
      </c>
      <c r="Z169" s="92">
        <v>3.3253499999999998</v>
      </c>
      <c r="AA169" s="92">
        <f t="shared" si="30"/>
        <v>0.33253500000000003</v>
      </c>
    </row>
    <row r="170" spans="1:27" x14ac:dyDescent="0.25">
      <c r="A170" s="95">
        <v>45465</v>
      </c>
      <c r="B170" s="72" t="s">
        <v>204</v>
      </c>
      <c r="C170" s="72" t="s">
        <v>8</v>
      </c>
      <c r="D170" s="72" t="s">
        <v>18</v>
      </c>
      <c r="E170" s="72" t="s">
        <v>82</v>
      </c>
      <c r="F170" s="72">
        <v>1</v>
      </c>
      <c r="G170" s="73">
        <f t="shared" si="27"/>
        <v>40</v>
      </c>
      <c r="H170" s="73">
        <f t="shared" si="29"/>
        <v>40</v>
      </c>
      <c r="I170" s="73">
        <f t="shared" si="24"/>
        <v>38.003999999999998</v>
      </c>
      <c r="J170" s="72" t="s">
        <v>86</v>
      </c>
      <c r="K170" s="74"/>
      <c r="M170" s="99"/>
      <c r="N170" s="80" t="e">
        <f t="shared" si="28"/>
        <v>#N/A</v>
      </c>
      <c r="O170" s="76"/>
      <c r="P170" s="81"/>
      <c r="Y170" s="91" t="s">
        <v>348</v>
      </c>
      <c r="Z170" s="92">
        <v>5</v>
      </c>
      <c r="AA170" s="92">
        <f t="shared" si="30"/>
        <v>0.5</v>
      </c>
    </row>
    <row r="171" spans="1:27" x14ac:dyDescent="0.25">
      <c r="A171" s="95">
        <v>45465</v>
      </c>
      <c r="B171" s="72" t="s">
        <v>621</v>
      </c>
      <c r="C171" s="72" t="s">
        <v>8</v>
      </c>
      <c r="D171" s="72" t="s">
        <v>15</v>
      </c>
      <c r="E171" s="72" t="s">
        <v>82</v>
      </c>
      <c r="F171" s="72">
        <v>1</v>
      </c>
      <c r="G171" s="73">
        <f t="shared" si="27"/>
        <v>70</v>
      </c>
      <c r="H171" s="73">
        <f t="shared" si="29"/>
        <v>70</v>
      </c>
      <c r="I171" s="73">
        <f t="shared" si="24"/>
        <v>66.507000000000005</v>
      </c>
      <c r="J171" s="72" t="s">
        <v>86</v>
      </c>
      <c r="K171" s="74"/>
      <c r="M171" s="99"/>
      <c r="N171" s="80" t="e">
        <f t="shared" si="28"/>
        <v>#N/A</v>
      </c>
      <c r="O171" s="76"/>
      <c r="P171" s="81"/>
      <c r="Y171" s="91" t="s">
        <v>349</v>
      </c>
      <c r="Z171" s="92">
        <v>5</v>
      </c>
      <c r="AA171" s="92">
        <f t="shared" si="30"/>
        <v>0.5</v>
      </c>
    </row>
    <row r="172" spans="1:27" x14ac:dyDescent="0.25">
      <c r="A172" s="95">
        <v>45465</v>
      </c>
      <c r="B172" s="72" t="s">
        <v>324</v>
      </c>
      <c r="C172" s="72" t="s">
        <v>8</v>
      </c>
      <c r="D172" s="72" t="s">
        <v>17</v>
      </c>
      <c r="E172" s="72" t="s">
        <v>82</v>
      </c>
      <c r="F172" s="72">
        <v>1</v>
      </c>
      <c r="G172" s="73">
        <f t="shared" si="27"/>
        <v>50</v>
      </c>
      <c r="H172" s="73">
        <f t="shared" si="29"/>
        <v>50</v>
      </c>
      <c r="I172" s="73">
        <f t="shared" si="24"/>
        <v>47.505000000000003</v>
      </c>
      <c r="J172" s="72" t="s">
        <v>86</v>
      </c>
      <c r="K172" s="74"/>
      <c r="M172" s="99"/>
      <c r="N172" s="80" t="e">
        <f t="shared" si="28"/>
        <v>#N/A</v>
      </c>
      <c r="O172" s="76"/>
      <c r="P172" s="81"/>
      <c r="Y172" s="91" t="s">
        <v>351</v>
      </c>
      <c r="Z172" s="92">
        <v>4.8804999999999996</v>
      </c>
      <c r="AA172" s="92">
        <f t="shared" si="30"/>
        <v>0.48804999999999998</v>
      </c>
    </row>
    <row r="173" spans="1:27" x14ac:dyDescent="0.25">
      <c r="A173" s="95">
        <v>45465</v>
      </c>
      <c r="B173" s="72" t="s">
        <v>324</v>
      </c>
      <c r="C173" s="72" t="s">
        <v>8</v>
      </c>
      <c r="D173" s="72" t="s">
        <v>104</v>
      </c>
      <c r="E173" s="72" t="s">
        <v>82</v>
      </c>
      <c r="F173" s="72">
        <v>1</v>
      </c>
      <c r="G173" s="73">
        <f t="shared" si="27"/>
        <v>60</v>
      </c>
      <c r="H173" s="73">
        <f t="shared" si="29"/>
        <v>60</v>
      </c>
      <c r="I173" s="73">
        <f t="shared" si="24"/>
        <v>57.006</v>
      </c>
      <c r="J173" s="72" t="s">
        <v>86</v>
      </c>
      <c r="K173" s="74"/>
      <c r="M173" s="99"/>
      <c r="N173" s="80" t="e">
        <f t="shared" si="28"/>
        <v>#N/A</v>
      </c>
      <c r="O173" s="76"/>
      <c r="P173" s="81"/>
      <c r="Y173" s="91" t="s">
        <v>352</v>
      </c>
      <c r="Z173" s="92">
        <v>4.7504999999999997</v>
      </c>
      <c r="AA173" s="92">
        <f t="shared" si="30"/>
        <v>0.47504999999999997</v>
      </c>
    </row>
    <row r="174" spans="1:27" x14ac:dyDescent="0.25">
      <c r="A174" s="95">
        <v>45465</v>
      </c>
      <c r="B174" s="72" t="s">
        <v>324</v>
      </c>
      <c r="C174" s="72" t="s">
        <v>8</v>
      </c>
      <c r="D174" s="72" t="s">
        <v>155</v>
      </c>
      <c r="E174" s="72" t="s">
        <v>82</v>
      </c>
      <c r="F174" s="72">
        <v>1</v>
      </c>
      <c r="G174" s="73">
        <f t="shared" si="27"/>
        <v>3.5</v>
      </c>
      <c r="H174" s="73">
        <f t="shared" si="29"/>
        <v>3.5</v>
      </c>
      <c r="I174" s="73">
        <f t="shared" si="24"/>
        <v>3.3253499999999998</v>
      </c>
      <c r="J174" s="72" t="s">
        <v>86</v>
      </c>
      <c r="K174" s="74"/>
      <c r="M174" s="99"/>
      <c r="N174" s="80" t="e">
        <f t="shared" si="28"/>
        <v>#N/A</v>
      </c>
      <c r="O174" s="76"/>
      <c r="P174" s="81"/>
      <c r="Y174" s="91" t="s">
        <v>353</v>
      </c>
      <c r="Z174" s="92">
        <v>7</v>
      </c>
      <c r="AA174" s="92">
        <f t="shared" si="30"/>
        <v>0.70000000000000007</v>
      </c>
    </row>
    <row r="175" spans="1:27" x14ac:dyDescent="0.25">
      <c r="A175" s="95">
        <v>45465</v>
      </c>
      <c r="B175" s="72" t="s">
        <v>308</v>
      </c>
      <c r="C175" s="72" t="s">
        <v>8</v>
      </c>
      <c r="D175" s="72" t="s">
        <v>17</v>
      </c>
      <c r="E175" s="72" t="s">
        <v>82</v>
      </c>
      <c r="F175" s="72">
        <v>1</v>
      </c>
      <c r="G175" s="73">
        <f t="shared" si="27"/>
        <v>50</v>
      </c>
      <c r="H175" s="73">
        <f t="shared" si="29"/>
        <v>50</v>
      </c>
      <c r="I175" s="73">
        <f t="shared" si="24"/>
        <v>48.805</v>
      </c>
      <c r="J175" s="72" t="s">
        <v>78</v>
      </c>
      <c r="K175" s="74"/>
      <c r="M175" s="99"/>
      <c r="N175" s="80" t="e">
        <f t="shared" si="28"/>
        <v>#N/A</v>
      </c>
      <c r="O175" s="76"/>
      <c r="P175" s="81"/>
      <c r="Y175" s="91" t="s">
        <v>355</v>
      </c>
      <c r="Z175" s="92">
        <v>7</v>
      </c>
      <c r="AA175" s="92">
        <f t="shared" si="30"/>
        <v>0.70000000000000007</v>
      </c>
    </row>
    <row r="176" spans="1:27" x14ac:dyDescent="0.25">
      <c r="A176" s="95">
        <v>45465</v>
      </c>
      <c r="B176" s="72" t="s">
        <v>194</v>
      </c>
      <c r="C176" s="72" t="s">
        <v>8</v>
      </c>
      <c r="D176" s="72" t="s">
        <v>13</v>
      </c>
      <c r="E176" s="72" t="s">
        <v>56</v>
      </c>
      <c r="F176" s="72">
        <v>1</v>
      </c>
      <c r="G176" s="73">
        <f t="shared" si="27"/>
        <v>30</v>
      </c>
      <c r="H176" s="73">
        <f t="shared" si="29"/>
        <v>30</v>
      </c>
      <c r="I176" s="73">
        <f t="shared" si="24"/>
        <v>30</v>
      </c>
      <c r="J176" s="72" t="s">
        <v>83</v>
      </c>
      <c r="K176" s="74"/>
      <c r="M176" s="72" t="s">
        <v>13</v>
      </c>
      <c r="N176" s="80">
        <f t="shared" si="28"/>
        <v>12</v>
      </c>
      <c r="O176" s="76">
        <f>N176*F176</f>
        <v>12</v>
      </c>
      <c r="P176" s="81" t="s">
        <v>56</v>
      </c>
      <c r="Y176" s="91" t="s">
        <v>357</v>
      </c>
      <c r="Z176" s="92">
        <v>6.8327</v>
      </c>
      <c r="AA176" s="92">
        <f t="shared" si="30"/>
        <v>0.68327000000000004</v>
      </c>
    </row>
    <row r="177" spans="1:28" x14ac:dyDescent="0.25">
      <c r="A177" s="95">
        <v>45465</v>
      </c>
      <c r="B177" s="72" t="s">
        <v>194</v>
      </c>
      <c r="C177" s="72" t="s">
        <v>8</v>
      </c>
      <c r="D177" s="72" t="s">
        <v>24</v>
      </c>
      <c r="E177" s="72" t="s">
        <v>56</v>
      </c>
      <c r="F177" s="72">
        <v>1</v>
      </c>
      <c r="G177" s="73">
        <f t="shared" si="27"/>
        <v>10</v>
      </c>
      <c r="H177" s="73">
        <f t="shared" si="29"/>
        <v>10</v>
      </c>
      <c r="I177" s="73">
        <f t="shared" si="24"/>
        <v>10</v>
      </c>
      <c r="J177" s="72" t="s">
        <v>83</v>
      </c>
      <c r="K177" s="74"/>
      <c r="M177" s="72" t="s">
        <v>24</v>
      </c>
      <c r="N177" s="80">
        <f t="shared" si="28"/>
        <v>4</v>
      </c>
      <c r="O177" s="76">
        <f>N177*F177</f>
        <v>4</v>
      </c>
      <c r="P177" s="81" t="s">
        <v>56</v>
      </c>
      <c r="Y177" s="91" t="s">
        <v>359</v>
      </c>
      <c r="Z177" s="92">
        <v>6.6506999999999996</v>
      </c>
      <c r="AA177" s="92">
        <f t="shared" si="30"/>
        <v>0.66507000000000005</v>
      </c>
    </row>
    <row r="178" spans="1:28" x14ac:dyDescent="0.25">
      <c r="A178" s="95">
        <v>45465</v>
      </c>
      <c r="B178" s="72" t="s">
        <v>194</v>
      </c>
      <c r="C178" s="72" t="s">
        <v>8</v>
      </c>
      <c r="D178" s="72" t="s">
        <v>37</v>
      </c>
      <c r="E178" s="72" t="s">
        <v>56</v>
      </c>
      <c r="F178" s="72">
        <v>1</v>
      </c>
      <c r="G178" s="73">
        <f t="shared" si="27"/>
        <v>7</v>
      </c>
      <c r="H178" s="73">
        <f t="shared" si="29"/>
        <v>7</v>
      </c>
      <c r="I178" s="73">
        <f t="shared" si="24"/>
        <v>7</v>
      </c>
      <c r="J178" s="72" t="s">
        <v>83</v>
      </c>
      <c r="K178" s="74"/>
      <c r="M178" s="72" t="s">
        <v>37</v>
      </c>
      <c r="N178" s="80">
        <f t="shared" si="28"/>
        <v>0.70000000000000007</v>
      </c>
      <c r="O178" s="76">
        <f>N178*F178</f>
        <v>0.70000000000000007</v>
      </c>
      <c r="P178" s="81" t="s">
        <v>56</v>
      </c>
      <c r="Y178" s="91" t="s">
        <v>361</v>
      </c>
      <c r="Z178" s="92">
        <v>7</v>
      </c>
      <c r="AA178" s="92">
        <f t="shared" si="30"/>
        <v>0.70000000000000007</v>
      </c>
    </row>
    <row r="179" spans="1:28" x14ac:dyDescent="0.25">
      <c r="A179" s="95">
        <v>45465</v>
      </c>
      <c r="B179" s="72" t="s">
        <v>251</v>
      </c>
      <c r="C179" s="72" t="s">
        <v>8</v>
      </c>
      <c r="D179" s="72" t="s">
        <v>17</v>
      </c>
      <c r="E179" s="72" t="s">
        <v>82</v>
      </c>
      <c r="F179" s="72">
        <v>1</v>
      </c>
      <c r="G179" s="73">
        <f t="shared" si="27"/>
        <v>50</v>
      </c>
      <c r="H179" s="73">
        <f t="shared" si="29"/>
        <v>50</v>
      </c>
      <c r="I179" s="73">
        <f t="shared" si="24"/>
        <v>50</v>
      </c>
      <c r="J179" s="72" t="s">
        <v>83</v>
      </c>
      <c r="K179" s="74"/>
      <c r="M179" s="99"/>
      <c r="N179" s="80" t="e">
        <f t="shared" si="28"/>
        <v>#N/A</v>
      </c>
      <c r="O179" s="76"/>
      <c r="P179" s="81"/>
      <c r="Y179" s="91" t="s">
        <v>363</v>
      </c>
      <c r="Z179" s="92">
        <v>7</v>
      </c>
      <c r="AA179" s="92">
        <f t="shared" si="30"/>
        <v>0.70000000000000007</v>
      </c>
    </row>
    <row r="180" spans="1:28" x14ac:dyDescent="0.25">
      <c r="A180" s="95">
        <v>45465</v>
      </c>
      <c r="B180" s="72" t="s">
        <v>251</v>
      </c>
      <c r="C180" s="72" t="s">
        <v>8</v>
      </c>
      <c r="D180" s="72" t="s">
        <v>23</v>
      </c>
      <c r="E180" s="72" t="s">
        <v>82</v>
      </c>
      <c r="F180" s="72">
        <v>1</v>
      </c>
      <c r="G180" s="73">
        <f t="shared" si="27"/>
        <v>5</v>
      </c>
      <c r="H180" s="73">
        <f t="shared" si="29"/>
        <v>5</v>
      </c>
      <c r="I180" s="73">
        <f t="shared" si="24"/>
        <v>5</v>
      </c>
      <c r="J180" s="72" t="s">
        <v>83</v>
      </c>
      <c r="K180" s="74"/>
      <c r="M180" s="99"/>
      <c r="N180" s="80" t="e">
        <f t="shared" si="28"/>
        <v>#N/A</v>
      </c>
      <c r="O180" s="76"/>
      <c r="P180" s="81"/>
      <c r="Y180" s="91" t="s">
        <v>365</v>
      </c>
      <c r="Z180" s="92">
        <v>6.8327</v>
      </c>
      <c r="AA180" s="92">
        <f t="shared" si="30"/>
        <v>0.68327000000000004</v>
      </c>
    </row>
    <row r="181" spans="1:28" x14ac:dyDescent="0.25">
      <c r="A181" s="95">
        <v>45465</v>
      </c>
      <c r="B181" s="72" t="s">
        <v>308</v>
      </c>
      <c r="C181" s="72" t="s">
        <v>8</v>
      </c>
      <c r="D181" s="72" t="s">
        <v>29</v>
      </c>
      <c r="E181" s="72" t="s">
        <v>82</v>
      </c>
      <c r="F181" s="72">
        <v>2</v>
      </c>
      <c r="G181" s="73">
        <v>5</v>
      </c>
      <c r="H181" s="73">
        <f t="shared" si="29"/>
        <v>10</v>
      </c>
      <c r="I181" s="73">
        <f t="shared" si="24"/>
        <v>9.7609999999999992</v>
      </c>
      <c r="J181" s="72" t="s">
        <v>78</v>
      </c>
      <c r="K181" s="74"/>
      <c r="M181" s="99"/>
      <c r="N181" s="80" t="e">
        <f t="shared" si="28"/>
        <v>#N/A</v>
      </c>
      <c r="O181" s="76"/>
      <c r="P181" s="81"/>
      <c r="Y181" s="91" t="s">
        <v>367</v>
      </c>
      <c r="Z181" s="92">
        <v>6.6506999999999996</v>
      </c>
      <c r="AA181" s="92">
        <f t="shared" si="30"/>
        <v>0.66507000000000005</v>
      </c>
    </row>
    <row r="182" spans="1:28" x14ac:dyDescent="0.25">
      <c r="A182" s="95">
        <v>45465</v>
      </c>
      <c r="B182" s="72" t="s">
        <v>642</v>
      </c>
      <c r="C182" s="72" t="s">
        <v>8</v>
      </c>
      <c r="D182" s="72" t="s">
        <v>18</v>
      </c>
      <c r="E182" s="72" t="s">
        <v>56</v>
      </c>
      <c r="F182" s="72">
        <v>2</v>
      </c>
      <c r="G182" s="73">
        <f>VLOOKUP(D182,$S$3:$T$64,2,0)</f>
        <v>40</v>
      </c>
      <c r="H182" s="73">
        <f t="shared" si="29"/>
        <v>80</v>
      </c>
      <c r="I182" s="73">
        <f t="shared" si="24"/>
        <v>78.087999999999994</v>
      </c>
      <c r="J182" s="72" t="s">
        <v>78</v>
      </c>
      <c r="K182" s="74"/>
      <c r="M182" s="99" t="s">
        <v>18</v>
      </c>
      <c r="N182" s="80">
        <f t="shared" si="28"/>
        <v>16</v>
      </c>
      <c r="O182" s="76">
        <f>N182*F182</f>
        <v>32</v>
      </c>
      <c r="P182" s="81" t="s">
        <v>56</v>
      </c>
      <c r="Y182" s="91" t="s">
        <v>368</v>
      </c>
      <c r="Z182" s="92">
        <v>3.5</v>
      </c>
      <c r="AA182" s="92">
        <f t="shared" si="30"/>
        <v>0.35000000000000003</v>
      </c>
      <c r="AB182" s="92"/>
    </row>
    <row r="183" spans="1:28" x14ac:dyDescent="0.25">
      <c r="A183" s="95">
        <v>45468</v>
      </c>
      <c r="B183" s="72" t="s">
        <v>643</v>
      </c>
      <c r="C183" s="72" t="s">
        <v>8</v>
      </c>
      <c r="D183" s="72" t="s">
        <v>18</v>
      </c>
      <c r="E183" s="72" t="s">
        <v>82</v>
      </c>
      <c r="F183" s="72">
        <v>1</v>
      </c>
      <c r="G183" s="73">
        <f>VLOOKUP(D183,$S$3:$T$64,2,0)</f>
        <v>40</v>
      </c>
      <c r="H183" s="73">
        <f t="shared" si="29"/>
        <v>40</v>
      </c>
      <c r="I183" s="73">
        <f t="shared" si="24"/>
        <v>40</v>
      </c>
      <c r="J183" s="72" t="s">
        <v>83</v>
      </c>
      <c r="K183" s="74"/>
      <c r="M183" s="99"/>
      <c r="N183" s="80" t="e">
        <f t="shared" si="28"/>
        <v>#N/A</v>
      </c>
      <c r="O183" s="76"/>
      <c r="P183" s="81"/>
      <c r="Y183" s="91" t="s">
        <v>370</v>
      </c>
      <c r="Z183" s="92">
        <v>3.5</v>
      </c>
      <c r="AA183" s="92">
        <f t="shared" si="30"/>
        <v>0.35000000000000003</v>
      </c>
    </row>
    <row r="184" spans="1:28" x14ac:dyDescent="0.25">
      <c r="A184" s="95">
        <v>45468</v>
      </c>
      <c r="B184" s="72" t="s">
        <v>204</v>
      </c>
      <c r="C184" s="72" t="s">
        <v>8</v>
      </c>
      <c r="D184" s="72" t="s">
        <v>17</v>
      </c>
      <c r="E184" s="72" t="s">
        <v>82</v>
      </c>
      <c r="F184" s="72">
        <v>1</v>
      </c>
      <c r="G184" s="73">
        <v>40</v>
      </c>
      <c r="H184" s="73">
        <f t="shared" si="29"/>
        <v>40</v>
      </c>
      <c r="I184" s="73">
        <f t="shared" si="24"/>
        <v>40</v>
      </c>
      <c r="J184" s="72" t="s">
        <v>79</v>
      </c>
      <c r="K184" s="74"/>
      <c r="M184" s="99"/>
      <c r="N184" s="80" t="e">
        <f t="shared" si="28"/>
        <v>#N/A</v>
      </c>
      <c r="O184" s="76"/>
      <c r="P184" s="81"/>
      <c r="Y184" s="91" t="s">
        <v>372</v>
      </c>
      <c r="Z184" s="92">
        <v>3.41635</v>
      </c>
      <c r="AA184" s="92">
        <f t="shared" si="30"/>
        <v>0.34163500000000002</v>
      </c>
    </row>
    <row r="185" spans="1:28" x14ac:dyDescent="0.25">
      <c r="A185" s="95">
        <v>45468</v>
      </c>
      <c r="B185" s="72" t="s">
        <v>558</v>
      </c>
      <c r="C185" s="72" t="s">
        <v>10</v>
      </c>
      <c r="D185" s="72" t="s">
        <v>18</v>
      </c>
      <c r="E185" s="72" t="s">
        <v>56</v>
      </c>
      <c r="F185" s="72">
        <v>1</v>
      </c>
      <c r="G185" s="73">
        <f>VLOOKUP(D185,$S$3:$T$64,2,0)</f>
        <v>40</v>
      </c>
      <c r="H185" s="73">
        <f t="shared" si="29"/>
        <v>40</v>
      </c>
      <c r="I185" s="73">
        <f t="shared" si="24"/>
        <v>39.043999999999997</v>
      </c>
      <c r="J185" s="72" t="s">
        <v>78</v>
      </c>
      <c r="K185" s="74"/>
      <c r="M185" s="99" t="s">
        <v>18</v>
      </c>
      <c r="N185" s="80">
        <f t="shared" si="28"/>
        <v>16</v>
      </c>
      <c r="O185" s="76">
        <f>N185*F185</f>
        <v>16</v>
      </c>
      <c r="P185" s="81" t="s">
        <v>56</v>
      </c>
      <c r="Y185" s="91" t="s">
        <v>374</v>
      </c>
      <c r="Z185" s="92">
        <v>3.3253499999999998</v>
      </c>
      <c r="AA185" s="92">
        <f t="shared" si="30"/>
        <v>0.33253500000000003</v>
      </c>
    </row>
    <row r="186" spans="1:28" x14ac:dyDescent="0.25">
      <c r="A186" s="95">
        <v>45468</v>
      </c>
      <c r="B186" s="72" t="s">
        <v>558</v>
      </c>
      <c r="C186" s="72" t="s">
        <v>10</v>
      </c>
      <c r="D186" s="72" t="s">
        <v>13</v>
      </c>
      <c r="E186" s="72" t="s">
        <v>56</v>
      </c>
      <c r="F186" s="72">
        <v>1</v>
      </c>
      <c r="G186" s="73">
        <v>20</v>
      </c>
      <c r="H186" s="73">
        <f t="shared" si="29"/>
        <v>20</v>
      </c>
      <c r="I186" s="73">
        <f t="shared" si="24"/>
        <v>19.521999999999998</v>
      </c>
      <c r="J186" s="72" t="s">
        <v>78</v>
      </c>
      <c r="K186" s="74" t="s">
        <v>644</v>
      </c>
      <c r="M186" s="99" t="s">
        <v>13</v>
      </c>
      <c r="N186" s="80">
        <f>G186*0.4</f>
        <v>8</v>
      </c>
      <c r="O186" s="76">
        <f>N186*F186</f>
        <v>8</v>
      </c>
      <c r="P186" s="81" t="s">
        <v>56</v>
      </c>
      <c r="Y186" s="91" t="s">
        <v>375</v>
      </c>
      <c r="Z186" s="92">
        <v>3.5</v>
      </c>
      <c r="AA186" s="92">
        <f t="shared" si="30"/>
        <v>0.35000000000000003</v>
      </c>
    </row>
    <row r="187" spans="1:28" x14ac:dyDescent="0.25">
      <c r="A187" s="95">
        <v>45468</v>
      </c>
      <c r="B187" s="72" t="s">
        <v>645</v>
      </c>
      <c r="C187" s="72" t="s">
        <v>9</v>
      </c>
      <c r="D187" s="72" t="s">
        <v>18</v>
      </c>
      <c r="E187" s="72" t="s">
        <v>56</v>
      </c>
      <c r="F187" s="72">
        <v>1</v>
      </c>
      <c r="G187" s="73">
        <f t="shared" ref="G187:G196" si="32">VLOOKUP(D187,$S$3:$T$64,2,0)</f>
        <v>40</v>
      </c>
      <c r="H187" s="73">
        <f t="shared" si="29"/>
        <v>40</v>
      </c>
      <c r="I187" s="73">
        <f t="shared" si="24"/>
        <v>40</v>
      </c>
      <c r="J187" s="72" t="s">
        <v>79</v>
      </c>
      <c r="K187" s="74" t="s">
        <v>646</v>
      </c>
      <c r="M187" s="99" t="s">
        <v>18</v>
      </c>
      <c r="N187" s="80">
        <f t="shared" ref="N187:N218" si="33">VLOOKUP(M187,$S$3:$U$64,3,0)</f>
        <v>16</v>
      </c>
      <c r="O187" s="76">
        <f>N187*F187</f>
        <v>16</v>
      </c>
      <c r="P187" s="81" t="s">
        <v>56</v>
      </c>
      <c r="Y187" s="91" t="s">
        <v>376</v>
      </c>
      <c r="Z187" s="92">
        <v>3.5</v>
      </c>
      <c r="AA187" s="92">
        <f t="shared" si="30"/>
        <v>0.35000000000000003</v>
      </c>
    </row>
    <row r="188" spans="1:28" x14ac:dyDescent="0.25">
      <c r="A188" s="95">
        <v>45468</v>
      </c>
      <c r="B188" s="72" t="s">
        <v>276</v>
      </c>
      <c r="C188" s="72" t="s">
        <v>8</v>
      </c>
      <c r="D188" s="72" t="s">
        <v>18</v>
      </c>
      <c r="E188" s="72" t="s">
        <v>82</v>
      </c>
      <c r="F188" s="72">
        <v>1</v>
      </c>
      <c r="G188" s="73">
        <f t="shared" si="32"/>
        <v>40</v>
      </c>
      <c r="H188" s="73">
        <f t="shared" si="29"/>
        <v>40</v>
      </c>
      <c r="I188" s="73">
        <f t="shared" si="24"/>
        <v>39.043999999999997</v>
      </c>
      <c r="J188" s="72" t="s">
        <v>78</v>
      </c>
      <c r="K188" s="74"/>
      <c r="M188" s="99"/>
      <c r="N188" s="80" t="e">
        <f t="shared" si="33"/>
        <v>#N/A</v>
      </c>
      <c r="O188" s="76"/>
      <c r="P188" s="81"/>
      <c r="Y188" s="91" t="s">
        <v>378</v>
      </c>
      <c r="Z188" s="92">
        <v>3.41635</v>
      </c>
      <c r="AA188" s="92">
        <f t="shared" si="30"/>
        <v>0.34163500000000002</v>
      </c>
    </row>
    <row r="189" spans="1:28" x14ac:dyDescent="0.25">
      <c r="A189" s="95">
        <v>45468</v>
      </c>
      <c r="B189" s="72" t="s">
        <v>479</v>
      </c>
      <c r="C189" s="72" t="s">
        <v>8</v>
      </c>
      <c r="D189" s="72" t="s">
        <v>40</v>
      </c>
      <c r="E189" s="72" t="s">
        <v>82</v>
      </c>
      <c r="F189" s="72">
        <v>1</v>
      </c>
      <c r="G189" s="73">
        <f t="shared" si="32"/>
        <v>45</v>
      </c>
      <c r="H189" s="73">
        <f t="shared" si="29"/>
        <v>45</v>
      </c>
      <c r="I189" s="73">
        <f t="shared" si="24"/>
        <v>45</v>
      </c>
      <c r="J189" s="72" t="s">
        <v>79</v>
      </c>
      <c r="K189" s="74"/>
      <c r="M189" s="99"/>
      <c r="N189" s="80" t="e">
        <f t="shared" si="33"/>
        <v>#N/A</v>
      </c>
      <c r="O189" s="76"/>
      <c r="P189" s="81"/>
      <c r="Y189" s="91" t="s">
        <v>380</v>
      </c>
      <c r="Z189" s="92">
        <v>3.3253499999999998</v>
      </c>
      <c r="AA189" s="92">
        <f t="shared" si="30"/>
        <v>0.33253500000000003</v>
      </c>
    </row>
    <row r="190" spans="1:28" x14ac:dyDescent="0.25">
      <c r="A190" s="95">
        <v>45469</v>
      </c>
      <c r="B190" s="72" t="s">
        <v>149</v>
      </c>
      <c r="C190" s="72" t="s">
        <v>8</v>
      </c>
      <c r="D190" s="72" t="s">
        <v>16</v>
      </c>
      <c r="E190" s="72" t="s">
        <v>56</v>
      </c>
      <c r="F190" s="72">
        <v>1</v>
      </c>
      <c r="G190" s="73">
        <f t="shared" si="32"/>
        <v>80</v>
      </c>
      <c r="H190" s="73">
        <f t="shared" si="29"/>
        <v>80</v>
      </c>
      <c r="I190" s="73">
        <f t="shared" si="24"/>
        <v>80</v>
      </c>
      <c r="J190" s="72" t="s">
        <v>83</v>
      </c>
      <c r="K190" s="74"/>
      <c r="M190" s="99" t="s">
        <v>16</v>
      </c>
      <c r="N190" s="80">
        <f t="shared" si="33"/>
        <v>32</v>
      </c>
      <c r="O190" s="76">
        <f>N190*F190</f>
        <v>32</v>
      </c>
      <c r="P190" s="81" t="s">
        <v>56</v>
      </c>
    </row>
    <row r="191" spans="1:28" x14ac:dyDescent="0.25">
      <c r="A191" s="95">
        <v>45469</v>
      </c>
      <c r="B191" s="72" t="s">
        <v>149</v>
      </c>
      <c r="C191" s="72" t="s">
        <v>8</v>
      </c>
      <c r="D191" s="72" t="s">
        <v>26</v>
      </c>
      <c r="E191" s="72" t="s">
        <v>56</v>
      </c>
      <c r="F191" s="72">
        <v>1</v>
      </c>
      <c r="G191" s="73">
        <f t="shared" si="32"/>
        <v>35</v>
      </c>
      <c r="H191" s="73">
        <f t="shared" si="29"/>
        <v>35</v>
      </c>
      <c r="I191" s="73">
        <f t="shared" si="24"/>
        <v>35</v>
      </c>
      <c r="J191" s="72" t="s">
        <v>83</v>
      </c>
      <c r="K191" s="74"/>
      <c r="M191" s="99" t="s">
        <v>26</v>
      </c>
      <c r="N191" s="80">
        <f t="shared" si="33"/>
        <v>3.5</v>
      </c>
      <c r="O191" s="76">
        <f>N191*F191</f>
        <v>3.5</v>
      </c>
      <c r="P191" s="81" t="s">
        <v>56</v>
      </c>
    </row>
    <row r="192" spans="1:28" x14ac:dyDescent="0.25">
      <c r="A192" s="95">
        <v>45469</v>
      </c>
      <c r="B192" s="72" t="s">
        <v>279</v>
      </c>
      <c r="C192" s="72" t="s">
        <v>8</v>
      </c>
      <c r="D192" s="72" t="s">
        <v>18</v>
      </c>
      <c r="E192" s="72" t="s">
        <v>82</v>
      </c>
      <c r="F192" s="72">
        <v>2</v>
      </c>
      <c r="G192" s="73">
        <f t="shared" si="32"/>
        <v>40</v>
      </c>
      <c r="H192" s="73">
        <f t="shared" si="29"/>
        <v>80</v>
      </c>
      <c r="I192" s="73">
        <f t="shared" si="24"/>
        <v>76.007999999999996</v>
      </c>
      <c r="J192" s="72" t="s">
        <v>86</v>
      </c>
      <c r="K192" s="74"/>
      <c r="M192" s="99"/>
      <c r="N192" s="80" t="e">
        <f t="shared" si="33"/>
        <v>#N/A</v>
      </c>
      <c r="O192" s="76"/>
      <c r="P192" s="81"/>
    </row>
    <row r="193" spans="1:16" x14ac:dyDescent="0.25">
      <c r="A193" s="95">
        <v>45469</v>
      </c>
      <c r="B193" s="72" t="s">
        <v>609</v>
      </c>
      <c r="C193" s="72" t="s">
        <v>8</v>
      </c>
      <c r="D193" s="72" t="s">
        <v>16</v>
      </c>
      <c r="E193" s="72" t="s">
        <v>82</v>
      </c>
      <c r="F193" s="72">
        <v>1</v>
      </c>
      <c r="G193" s="73">
        <f t="shared" si="32"/>
        <v>80</v>
      </c>
      <c r="H193" s="73">
        <f t="shared" si="29"/>
        <v>80</v>
      </c>
      <c r="I193" s="73">
        <f t="shared" si="24"/>
        <v>80</v>
      </c>
      <c r="J193" s="72" t="s">
        <v>83</v>
      </c>
      <c r="K193" s="74"/>
      <c r="M193" s="99"/>
      <c r="N193" s="80" t="e">
        <f t="shared" si="33"/>
        <v>#N/A</v>
      </c>
      <c r="O193" s="76"/>
      <c r="P193" s="81"/>
    </row>
    <row r="194" spans="1:16" x14ac:dyDescent="0.25">
      <c r="A194" s="95">
        <v>45469</v>
      </c>
      <c r="B194" s="72" t="s">
        <v>571</v>
      </c>
      <c r="C194" s="72" t="s">
        <v>8</v>
      </c>
      <c r="D194" s="72" t="s">
        <v>43</v>
      </c>
      <c r="E194" s="72" t="s">
        <v>82</v>
      </c>
      <c r="F194" s="72">
        <v>1</v>
      </c>
      <c r="G194" s="73">
        <f t="shared" si="32"/>
        <v>130</v>
      </c>
      <c r="H194" s="73">
        <f t="shared" si="29"/>
        <v>130</v>
      </c>
      <c r="I194" s="73">
        <f t="shared" si="24"/>
        <v>126.893</v>
      </c>
      <c r="J194" s="72" t="s">
        <v>78</v>
      </c>
      <c r="K194" s="74"/>
      <c r="M194" s="99"/>
      <c r="N194" s="80" t="e">
        <f t="shared" si="33"/>
        <v>#N/A</v>
      </c>
      <c r="O194" s="76"/>
      <c r="P194" s="81"/>
    </row>
    <row r="195" spans="1:16" x14ac:dyDescent="0.25">
      <c r="A195" s="95">
        <v>45469</v>
      </c>
      <c r="B195" s="72" t="s">
        <v>475</v>
      </c>
      <c r="C195" s="72" t="s">
        <v>8</v>
      </c>
      <c r="D195" s="72" t="s">
        <v>18</v>
      </c>
      <c r="E195" s="72" t="s">
        <v>56</v>
      </c>
      <c r="F195" s="72">
        <v>1</v>
      </c>
      <c r="G195" s="73">
        <f t="shared" si="32"/>
        <v>40</v>
      </c>
      <c r="H195" s="73">
        <f t="shared" si="29"/>
        <v>40</v>
      </c>
      <c r="I195" s="73">
        <f t="shared" ref="I195:I258" si="34">IF(J195="Cartão de Debito",H195-(H195*$AC$5),IF(J195="Cartão de Credito",H195-(H195*$AC$6), IF(J195="Pix",H195-(H195*$AC$7), IF(J195="Dinheiro (R$)", H195-(H195*$AC$8)))))</f>
        <v>40</v>
      </c>
      <c r="J195" s="72" t="s">
        <v>83</v>
      </c>
      <c r="K195" s="74"/>
      <c r="M195" s="99" t="s">
        <v>18</v>
      </c>
      <c r="N195" s="80">
        <f t="shared" si="33"/>
        <v>16</v>
      </c>
      <c r="O195" s="76">
        <f>N195*F195</f>
        <v>16</v>
      </c>
      <c r="P195" s="81" t="s">
        <v>56</v>
      </c>
    </row>
    <row r="196" spans="1:16" x14ac:dyDescent="0.25">
      <c r="A196" s="95">
        <v>45470</v>
      </c>
      <c r="B196" s="72" t="s">
        <v>647</v>
      </c>
      <c r="C196" s="72" t="s">
        <v>8</v>
      </c>
      <c r="D196" s="72" t="s">
        <v>15</v>
      </c>
      <c r="E196" s="72" t="s">
        <v>82</v>
      </c>
      <c r="F196" s="72">
        <v>1</v>
      </c>
      <c r="G196" s="73">
        <f t="shared" si="32"/>
        <v>70</v>
      </c>
      <c r="H196" s="73">
        <f t="shared" si="29"/>
        <v>70</v>
      </c>
      <c r="I196" s="73">
        <f t="shared" si="34"/>
        <v>66.507000000000005</v>
      </c>
      <c r="J196" s="72" t="s">
        <v>86</v>
      </c>
      <c r="K196" s="74"/>
      <c r="M196" s="99"/>
      <c r="N196" s="80" t="e">
        <f t="shared" si="33"/>
        <v>#N/A</v>
      </c>
      <c r="O196" s="76"/>
      <c r="P196" s="81"/>
    </row>
    <row r="197" spans="1:16" x14ac:dyDescent="0.25">
      <c r="A197" s="95">
        <v>45470</v>
      </c>
      <c r="B197" s="72" t="s">
        <v>281</v>
      </c>
      <c r="C197" s="72" t="s">
        <v>9</v>
      </c>
      <c r="D197" s="72" t="s">
        <v>18</v>
      </c>
      <c r="E197" s="72" t="s">
        <v>82</v>
      </c>
      <c r="F197" s="72">
        <v>1</v>
      </c>
      <c r="G197" s="73">
        <v>35</v>
      </c>
      <c r="H197" s="73">
        <f t="shared" si="29"/>
        <v>35</v>
      </c>
      <c r="I197" s="73">
        <f t="shared" si="34"/>
        <v>34.163499999999999</v>
      </c>
      <c r="J197" s="72" t="s">
        <v>78</v>
      </c>
      <c r="K197" s="74"/>
      <c r="M197" s="99"/>
      <c r="N197" s="80" t="e">
        <f t="shared" si="33"/>
        <v>#N/A</v>
      </c>
      <c r="O197" s="76"/>
      <c r="P197" s="81"/>
    </row>
    <row r="198" spans="1:16" x14ac:dyDescent="0.25">
      <c r="A198" s="95">
        <v>45470</v>
      </c>
      <c r="B198" s="72" t="s">
        <v>547</v>
      </c>
      <c r="C198" s="72" t="s">
        <v>8</v>
      </c>
      <c r="D198" s="72" t="s">
        <v>18</v>
      </c>
      <c r="E198" s="72" t="s">
        <v>82</v>
      </c>
      <c r="F198" s="72">
        <v>1</v>
      </c>
      <c r="G198" s="73">
        <f>VLOOKUP(D198,$S$3:$T$64,2,0)</f>
        <v>40</v>
      </c>
      <c r="H198" s="73">
        <f t="shared" si="29"/>
        <v>40</v>
      </c>
      <c r="I198" s="73">
        <f t="shared" si="34"/>
        <v>40</v>
      </c>
      <c r="J198" s="72" t="s">
        <v>79</v>
      </c>
      <c r="K198" s="74"/>
      <c r="M198" s="99"/>
      <c r="N198" s="80" t="e">
        <f t="shared" si="33"/>
        <v>#N/A</v>
      </c>
      <c r="O198" s="76"/>
      <c r="P198" s="81"/>
    </row>
    <row r="199" spans="1:16" x14ac:dyDescent="0.25">
      <c r="A199" s="95">
        <v>45470</v>
      </c>
      <c r="B199" s="72" t="s">
        <v>566</v>
      </c>
      <c r="C199" s="72" t="s">
        <v>8</v>
      </c>
      <c r="D199" s="72" t="s">
        <v>18</v>
      </c>
      <c r="E199" s="72" t="s">
        <v>82</v>
      </c>
      <c r="F199" s="72">
        <v>1</v>
      </c>
      <c r="G199" s="73">
        <f>VLOOKUP(D199,$S$3:$T$64,2,0)</f>
        <v>40</v>
      </c>
      <c r="H199" s="73">
        <f t="shared" si="29"/>
        <v>40</v>
      </c>
      <c r="I199" s="73">
        <f t="shared" si="34"/>
        <v>40</v>
      </c>
      <c r="J199" s="72" t="s">
        <v>79</v>
      </c>
      <c r="K199" s="74" t="s">
        <v>648</v>
      </c>
      <c r="M199" s="99"/>
      <c r="N199" s="80" t="e">
        <f t="shared" si="33"/>
        <v>#N/A</v>
      </c>
      <c r="O199" s="76"/>
      <c r="P199" s="81"/>
    </row>
    <row r="200" spans="1:16" x14ac:dyDescent="0.25">
      <c r="A200" s="95">
        <v>45470</v>
      </c>
      <c r="B200" s="72" t="s">
        <v>504</v>
      </c>
      <c r="C200" s="72" t="s">
        <v>8</v>
      </c>
      <c r="D200" s="72" t="s">
        <v>15</v>
      </c>
      <c r="E200" s="72" t="s">
        <v>82</v>
      </c>
      <c r="F200" s="72">
        <v>1</v>
      </c>
      <c r="G200" s="73">
        <v>70</v>
      </c>
      <c r="H200" s="73">
        <f t="shared" si="29"/>
        <v>70</v>
      </c>
      <c r="I200" s="73">
        <f t="shared" si="34"/>
        <v>70</v>
      </c>
      <c r="J200" s="72" t="s">
        <v>79</v>
      </c>
      <c r="K200" s="74"/>
      <c r="M200" s="99"/>
      <c r="N200" s="80" t="e">
        <f t="shared" si="33"/>
        <v>#N/A</v>
      </c>
      <c r="O200" s="76"/>
      <c r="P200" s="81"/>
    </row>
    <row r="201" spans="1:16" x14ac:dyDescent="0.25">
      <c r="A201" s="95">
        <v>45470</v>
      </c>
      <c r="B201" s="72" t="s">
        <v>220</v>
      </c>
      <c r="C201" s="72" t="s">
        <v>8</v>
      </c>
      <c r="D201" s="72" t="s">
        <v>17</v>
      </c>
      <c r="E201" s="72" t="s">
        <v>82</v>
      </c>
      <c r="F201" s="72">
        <v>1</v>
      </c>
      <c r="G201" s="73">
        <f t="shared" ref="G201:G218" si="35">VLOOKUP(D201,$S$3:$T$64,2,0)</f>
        <v>50</v>
      </c>
      <c r="H201" s="73">
        <f t="shared" si="29"/>
        <v>50</v>
      </c>
      <c r="I201" s="73">
        <f t="shared" si="34"/>
        <v>48.805</v>
      </c>
      <c r="J201" s="72" t="s">
        <v>78</v>
      </c>
      <c r="K201" s="74"/>
      <c r="M201" s="99"/>
      <c r="N201" s="80" t="e">
        <f t="shared" si="33"/>
        <v>#N/A</v>
      </c>
      <c r="O201" s="76"/>
      <c r="P201" s="81"/>
    </row>
    <row r="202" spans="1:16" x14ac:dyDescent="0.25">
      <c r="A202" s="95">
        <v>45470</v>
      </c>
      <c r="B202" s="72" t="s">
        <v>220</v>
      </c>
      <c r="C202" s="72" t="s">
        <v>8</v>
      </c>
      <c r="D202" s="72" t="s">
        <v>23</v>
      </c>
      <c r="E202" s="72" t="s">
        <v>82</v>
      </c>
      <c r="F202" s="72">
        <v>1</v>
      </c>
      <c r="G202" s="73">
        <f t="shared" si="35"/>
        <v>5</v>
      </c>
      <c r="H202" s="73">
        <f t="shared" si="29"/>
        <v>5</v>
      </c>
      <c r="I202" s="73">
        <f t="shared" si="34"/>
        <v>4.8804999999999996</v>
      </c>
      <c r="J202" s="72" t="s">
        <v>78</v>
      </c>
      <c r="K202" s="74"/>
      <c r="M202" s="99"/>
      <c r="N202" s="80" t="e">
        <f t="shared" si="33"/>
        <v>#N/A</v>
      </c>
      <c r="O202" s="76"/>
      <c r="P202" s="81"/>
    </row>
    <row r="203" spans="1:16" x14ac:dyDescent="0.25">
      <c r="A203" s="95">
        <v>45471</v>
      </c>
      <c r="B203" s="72" t="s">
        <v>174</v>
      </c>
      <c r="C203" s="72" t="s">
        <v>8</v>
      </c>
      <c r="D203" s="72" t="s">
        <v>18</v>
      </c>
      <c r="E203" s="72" t="s">
        <v>56</v>
      </c>
      <c r="F203" s="72">
        <v>1</v>
      </c>
      <c r="G203" s="73">
        <f t="shared" si="35"/>
        <v>40</v>
      </c>
      <c r="H203" s="73">
        <f t="shared" si="29"/>
        <v>40</v>
      </c>
      <c r="I203" s="73">
        <f t="shared" si="34"/>
        <v>40</v>
      </c>
      <c r="J203" s="72" t="s">
        <v>83</v>
      </c>
      <c r="K203" s="74"/>
      <c r="M203" s="99" t="s">
        <v>18</v>
      </c>
      <c r="N203" s="80">
        <f t="shared" si="33"/>
        <v>16</v>
      </c>
      <c r="O203" s="76">
        <f>N203*F203</f>
        <v>16</v>
      </c>
      <c r="P203" s="81" t="s">
        <v>56</v>
      </c>
    </row>
    <row r="204" spans="1:16" x14ac:dyDescent="0.25">
      <c r="A204" s="95">
        <v>45471</v>
      </c>
      <c r="B204" s="72" t="s">
        <v>174</v>
      </c>
      <c r="C204" s="72" t="s">
        <v>8</v>
      </c>
      <c r="D204" s="72" t="s">
        <v>600</v>
      </c>
      <c r="E204" s="72" t="s">
        <v>56</v>
      </c>
      <c r="F204" s="72">
        <v>1</v>
      </c>
      <c r="G204" s="73">
        <f t="shared" si="35"/>
        <v>50</v>
      </c>
      <c r="H204" s="73">
        <f t="shared" si="29"/>
        <v>50</v>
      </c>
      <c r="I204" s="73">
        <f t="shared" si="34"/>
        <v>50</v>
      </c>
      <c r="J204" s="72" t="s">
        <v>83</v>
      </c>
      <c r="K204" s="74"/>
      <c r="M204" s="99" t="s">
        <v>600</v>
      </c>
      <c r="N204" s="80">
        <f t="shared" si="33"/>
        <v>20</v>
      </c>
      <c r="O204" s="76">
        <f>N204*F204</f>
        <v>20</v>
      </c>
      <c r="P204" s="81" t="s">
        <v>56</v>
      </c>
    </row>
    <row r="205" spans="1:16" x14ac:dyDescent="0.25">
      <c r="A205" s="95">
        <v>45471</v>
      </c>
      <c r="B205" s="72" t="s">
        <v>149</v>
      </c>
      <c r="C205" s="72" t="s">
        <v>9</v>
      </c>
      <c r="D205" s="72" t="s">
        <v>62</v>
      </c>
      <c r="E205" s="72" t="s">
        <v>56</v>
      </c>
      <c r="F205" s="72">
        <v>1</v>
      </c>
      <c r="G205" s="73">
        <f t="shared" si="35"/>
        <v>15</v>
      </c>
      <c r="H205" s="73">
        <f t="shared" si="29"/>
        <v>15</v>
      </c>
      <c r="I205" s="73">
        <f t="shared" si="34"/>
        <v>15</v>
      </c>
      <c r="J205" s="72" t="s">
        <v>79</v>
      </c>
      <c r="K205" s="74"/>
      <c r="M205" s="99" t="s">
        <v>62</v>
      </c>
      <c r="N205" s="80">
        <f t="shared" si="33"/>
        <v>1.5</v>
      </c>
      <c r="O205" s="76">
        <f>N205*F205</f>
        <v>1.5</v>
      </c>
      <c r="P205" s="81" t="s">
        <v>56</v>
      </c>
    </row>
    <row r="206" spans="1:16" x14ac:dyDescent="0.25">
      <c r="A206" s="95">
        <v>45471</v>
      </c>
      <c r="B206" s="72" t="s">
        <v>142</v>
      </c>
      <c r="C206" s="72" t="s">
        <v>9</v>
      </c>
      <c r="D206" s="72" t="s">
        <v>39</v>
      </c>
      <c r="E206" s="72" t="s">
        <v>56</v>
      </c>
      <c r="F206" s="72">
        <v>1</v>
      </c>
      <c r="G206" s="73">
        <f t="shared" si="35"/>
        <v>10</v>
      </c>
      <c r="H206" s="73">
        <f t="shared" si="29"/>
        <v>10</v>
      </c>
      <c r="I206" s="73">
        <f t="shared" si="34"/>
        <v>9.5009999999999994</v>
      </c>
      <c r="J206" s="72" t="s">
        <v>86</v>
      </c>
      <c r="K206" s="74"/>
      <c r="M206" s="99" t="s">
        <v>39</v>
      </c>
      <c r="N206" s="80">
        <f t="shared" si="33"/>
        <v>1</v>
      </c>
      <c r="O206" s="76">
        <f>N206*F206</f>
        <v>1</v>
      </c>
      <c r="P206" s="81" t="s">
        <v>56</v>
      </c>
    </row>
    <row r="207" spans="1:16" x14ac:dyDescent="0.25">
      <c r="A207" s="95">
        <v>45471</v>
      </c>
      <c r="B207" s="72" t="s">
        <v>565</v>
      </c>
      <c r="C207" s="72" t="s">
        <v>8</v>
      </c>
      <c r="D207" s="72" t="s">
        <v>18</v>
      </c>
      <c r="E207" s="72" t="s">
        <v>56</v>
      </c>
      <c r="F207" s="72">
        <v>1</v>
      </c>
      <c r="G207" s="73">
        <f t="shared" si="35"/>
        <v>40</v>
      </c>
      <c r="H207" s="73">
        <f t="shared" si="29"/>
        <v>40</v>
      </c>
      <c r="I207" s="73">
        <f t="shared" si="34"/>
        <v>40</v>
      </c>
      <c r="J207" s="72" t="s">
        <v>83</v>
      </c>
      <c r="K207" s="74"/>
      <c r="M207" s="99" t="s">
        <v>18</v>
      </c>
      <c r="N207" s="80">
        <f t="shared" si="33"/>
        <v>16</v>
      </c>
      <c r="O207" s="76">
        <f>N207*F207</f>
        <v>16</v>
      </c>
      <c r="P207" s="81" t="s">
        <v>56</v>
      </c>
    </row>
    <row r="208" spans="1:16" x14ac:dyDescent="0.25">
      <c r="A208" s="95">
        <v>45471</v>
      </c>
      <c r="B208" s="72" t="s">
        <v>516</v>
      </c>
      <c r="C208" s="72" t="s">
        <v>8</v>
      </c>
      <c r="D208" s="72" t="s">
        <v>16</v>
      </c>
      <c r="E208" s="72" t="s">
        <v>82</v>
      </c>
      <c r="F208" s="72">
        <v>1</v>
      </c>
      <c r="G208" s="73">
        <f t="shared" si="35"/>
        <v>80</v>
      </c>
      <c r="H208" s="73">
        <f t="shared" si="29"/>
        <v>80</v>
      </c>
      <c r="I208" s="73">
        <f t="shared" si="34"/>
        <v>80</v>
      </c>
      <c r="J208" s="72" t="s">
        <v>83</v>
      </c>
      <c r="K208" s="74"/>
      <c r="M208" s="99"/>
      <c r="N208" s="80" t="e">
        <f t="shared" si="33"/>
        <v>#N/A</v>
      </c>
      <c r="O208" s="76"/>
      <c r="P208" s="81"/>
    </row>
    <row r="209" spans="1:17" x14ac:dyDescent="0.25">
      <c r="A209" s="95">
        <v>45471</v>
      </c>
      <c r="B209" s="72" t="s">
        <v>649</v>
      </c>
      <c r="C209" s="72" t="s">
        <v>8</v>
      </c>
      <c r="D209" s="72" t="s">
        <v>18</v>
      </c>
      <c r="E209" s="72" t="s">
        <v>82</v>
      </c>
      <c r="F209" s="72">
        <v>1</v>
      </c>
      <c r="G209" s="73">
        <f t="shared" si="35"/>
        <v>40</v>
      </c>
      <c r="H209" s="73">
        <f t="shared" si="29"/>
        <v>40</v>
      </c>
      <c r="I209" s="73">
        <f t="shared" si="34"/>
        <v>40</v>
      </c>
      <c r="J209" s="72" t="s">
        <v>83</v>
      </c>
      <c r="K209" s="74"/>
      <c r="M209" s="99"/>
      <c r="N209" s="80" t="e">
        <f t="shared" si="33"/>
        <v>#N/A</v>
      </c>
      <c r="O209" s="76"/>
      <c r="P209" s="81"/>
    </row>
    <row r="210" spans="1:17" x14ac:dyDescent="0.25">
      <c r="A210" s="95">
        <v>45471</v>
      </c>
      <c r="B210" s="72" t="s">
        <v>574</v>
      </c>
      <c r="C210" s="72" t="s">
        <v>8</v>
      </c>
      <c r="D210" s="72" t="s">
        <v>17</v>
      </c>
      <c r="E210" s="72" t="s">
        <v>82</v>
      </c>
      <c r="F210" s="72">
        <v>1</v>
      </c>
      <c r="G210" s="73">
        <f t="shared" si="35"/>
        <v>50</v>
      </c>
      <c r="H210" s="73">
        <f t="shared" si="29"/>
        <v>50</v>
      </c>
      <c r="I210" s="73">
        <f t="shared" si="34"/>
        <v>50</v>
      </c>
      <c r="J210" s="72" t="s">
        <v>83</v>
      </c>
      <c r="K210" s="74"/>
      <c r="M210" s="99"/>
      <c r="N210" s="80" t="e">
        <f t="shared" si="33"/>
        <v>#N/A</v>
      </c>
      <c r="O210" s="76"/>
      <c r="P210" s="81"/>
    </row>
    <row r="211" spans="1:17" x14ac:dyDescent="0.25">
      <c r="A211" s="95">
        <v>45471</v>
      </c>
      <c r="B211" s="72" t="s">
        <v>545</v>
      </c>
      <c r="C211" s="72" t="s">
        <v>8</v>
      </c>
      <c r="D211" s="72" t="s">
        <v>18</v>
      </c>
      <c r="E211" s="72" t="s">
        <v>82</v>
      </c>
      <c r="F211" s="72">
        <v>1</v>
      </c>
      <c r="G211" s="73">
        <f t="shared" si="35"/>
        <v>40</v>
      </c>
      <c r="H211" s="73">
        <f t="shared" si="29"/>
        <v>40</v>
      </c>
      <c r="I211" s="73">
        <f t="shared" si="34"/>
        <v>39.043999999999997</v>
      </c>
      <c r="J211" s="72" t="s">
        <v>78</v>
      </c>
      <c r="K211" s="74"/>
      <c r="M211" s="99"/>
      <c r="N211" s="80" t="e">
        <f t="shared" si="33"/>
        <v>#N/A</v>
      </c>
      <c r="O211" s="76"/>
      <c r="P211" s="81"/>
    </row>
    <row r="212" spans="1:17" x14ac:dyDescent="0.25">
      <c r="A212" s="95">
        <v>45471</v>
      </c>
      <c r="B212" s="72" t="s">
        <v>516</v>
      </c>
      <c r="C212" s="72" t="s">
        <v>8</v>
      </c>
      <c r="D212" s="72" t="s">
        <v>18</v>
      </c>
      <c r="E212" s="72" t="s">
        <v>56</v>
      </c>
      <c r="F212" s="72">
        <v>1</v>
      </c>
      <c r="G212" s="73">
        <f t="shared" si="35"/>
        <v>40</v>
      </c>
      <c r="H212" s="73">
        <f t="shared" ref="H212:H275" si="36">F212*G212</f>
        <v>40</v>
      </c>
      <c r="I212" s="73">
        <f t="shared" si="34"/>
        <v>39.043999999999997</v>
      </c>
      <c r="J212" s="72" t="s">
        <v>78</v>
      </c>
      <c r="K212" s="74"/>
      <c r="M212" s="99" t="s">
        <v>18</v>
      </c>
      <c r="N212" s="80">
        <f t="shared" si="33"/>
        <v>16</v>
      </c>
      <c r="O212" s="76">
        <f>N212*F212</f>
        <v>16</v>
      </c>
      <c r="P212" s="81" t="s">
        <v>56</v>
      </c>
    </row>
    <row r="213" spans="1:17" x14ac:dyDescent="0.25">
      <c r="A213" s="95">
        <v>45471</v>
      </c>
      <c r="B213" s="72" t="s">
        <v>650</v>
      </c>
      <c r="C213" s="72" t="s">
        <v>8</v>
      </c>
      <c r="D213" s="72" t="s">
        <v>18</v>
      </c>
      <c r="E213" s="72" t="s">
        <v>56</v>
      </c>
      <c r="F213" s="72">
        <v>1</v>
      </c>
      <c r="G213" s="73">
        <f t="shared" si="35"/>
        <v>40</v>
      </c>
      <c r="H213" s="73">
        <f t="shared" si="36"/>
        <v>40</v>
      </c>
      <c r="I213" s="73">
        <f t="shared" si="34"/>
        <v>39.043999999999997</v>
      </c>
      <c r="J213" s="72" t="s">
        <v>78</v>
      </c>
      <c r="K213" s="74"/>
      <c r="M213" s="99" t="s">
        <v>18</v>
      </c>
      <c r="N213" s="80">
        <f t="shared" si="33"/>
        <v>16</v>
      </c>
      <c r="O213" s="76">
        <f>N213*F213</f>
        <v>16</v>
      </c>
      <c r="P213" s="81" t="s">
        <v>56</v>
      </c>
    </row>
    <row r="214" spans="1:17" x14ac:dyDescent="0.25">
      <c r="A214" s="95">
        <v>45471</v>
      </c>
      <c r="B214" s="72" t="s">
        <v>533</v>
      </c>
      <c r="C214" s="72" t="s">
        <v>8</v>
      </c>
      <c r="D214" s="72" t="s">
        <v>16</v>
      </c>
      <c r="E214" s="72" t="s">
        <v>82</v>
      </c>
      <c r="F214" s="72">
        <v>1</v>
      </c>
      <c r="G214" s="73">
        <f t="shared" si="35"/>
        <v>80</v>
      </c>
      <c r="H214" s="73">
        <f t="shared" si="36"/>
        <v>80</v>
      </c>
      <c r="I214" s="73">
        <f t="shared" si="34"/>
        <v>76.007999999999996</v>
      </c>
      <c r="J214" s="72" t="s">
        <v>86</v>
      </c>
      <c r="K214" s="74"/>
      <c r="M214" s="99"/>
      <c r="N214" s="80" t="e">
        <f t="shared" si="33"/>
        <v>#N/A</v>
      </c>
      <c r="O214" s="76"/>
      <c r="P214" s="81"/>
    </row>
    <row r="215" spans="1:17" x14ac:dyDescent="0.25">
      <c r="A215" s="95">
        <v>45471</v>
      </c>
      <c r="B215" s="72" t="s">
        <v>558</v>
      </c>
      <c r="C215" s="72" t="s">
        <v>8</v>
      </c>
      <c r="D215" s="72" t="s">
        <v>17</v>
      </c>
      <c r="E215" s="72" t="s">
        <v>82</v>
      </c>
      <c r="F215" s="72">
        <v>1</v>
      </c>
      <c r="G215" s="73">
        <f t="shared" si="35"/>
        <v>50</v>
      </c>
      <c r="H215" s="73">
        <f t="shared" si="36"/>
        <v>50</v>
      </c>
      <c r="I215" s="73">
        <f t="shared" si="34"/>
        <v>48.805</v>
      </c>
      <c r="J215" s="72" t="s">
        <v>78</v>
      </c>
      <c r="K215" s="74"/>
      <c r="M215" s="99"/>
      <c r="N215" s="80" t="e">
        <f t="shared" si="33"/>
        <v>#N/A</v>
      </c>
      <c r="O215" s="76"/>
      <c r="P215" s="81"/>
    </row>
    <row r="216" spans="1:17" x14ac:dyDescent="0.25">
      <c r="A216" s="95">
        <v>45472</v>
      </c>
      <c r="B216" s="72" t="s">
        <v>651</v>
      </c>
      <c r="C216" s="72" t="s">
        <v>8</v>
      </c>
      <c r="D216" s="72" t="s">
        <v>18</v>
      </c>
      <c r="E216" s="72" t="s">
        <v>56</v>
      </c>
      <c r="F216" s="72">
        <v>1</v>
      </c>
      <c r="G216" s="73">
        <f t="shared" si="35"/>
        <v>40</v>
      </c>
      <c r="H216" s="73">
        <f t="shared" si="36"/>
        <v>40</v>
      </c>
      <c r="I216" s="73">
        <f t="shared" si="34"/>
        <v>40</v>
      </c>
      <c r="J216" s="72" t="s">
        <v>83</v>
      </c>
      <c r="K216" s="74"/>
      <c r="M216" s="99" t="s">
        <v>18</v>
      </c>
      <c r="N216" s="80">
        <f t="shared" si="33"/>
        <v>16</v>
      </c>
      <c r="O216" s="76">
        <f t="shared" ref="O216:O247" si="37">N216*F216</f>
        <v>16</v>
      </c>
      <c r="P216" s="81" t="s">
        <v>56</v>
      </c>
    </row>
    <row r="217" spans="1:17" x14ac:dyDescent="0.25">
      <c r="A217" s="95">
        <v>45472</v>
      </c>
      <c r="B217" s="72" t="s">
        <v>397</v>
      </c>
      <c r="C217" s="72" t="s">
        <v>8</v>
      </c>
      <c r="D217" s="72" t="s">
        <v>18</v>
      </c>
      <c r="E217" s="72" t="s">
        <v>56</v>
      </c>
      <c r="F217" s="72">
        <v>1</v>
      </c>
      <c r="G217" s="73">
        <f t="shared" si="35"/>
        <v>40</v>
      </c>
      <c r="H217" s="73">
        <f t="shared" si="36"/>
        <v>40</v>
      </c>
      <c r="I217" s="73">
        <f t="shared" si="34"/>
        <v>40</v>
      </c>
      <c r="J217" s="72" t="s">
        <v>79</v>
      </c>
      <c r="K217" s="74"/>
      <c r="M217" s="99" t="s">
        <v>18</v>
      </c>
      <c r="N217" s="80">
        <f t="shared" si="33"/>
        <v>16</v>
      </c>
      <c r="O217" s="76">
        <f t="shared" si="37"/>
        <v>16</v>
      </c>
      <c r="P217" s="81" t="s">
        <v>56</v>
      </c>
    </row>
    <row r="218" spans="1:17" x14ac:dyDescent="0.25">
      <c r="A218" s="95">
        <v>45472</v>
      </c>
      <c r="B218" s="72" t="s">
        <v>550</v>
      </c>
      <c r="C218" s="72" t="s">
        <v>8</v>
      </c>
      <c r="D218" s="72" t="s">
        <v>18</v>
      </c>
      <c r="E218" s="72" t="s">
        <v>56</v>
      </c>
      <c r="F218" s="72">
        <v>1</v>
      </c>
      <c r="G218" s="73">
        <f t="shared" si="35"/>
        <v>40</v>
      </c>
      <c r="H218" s="73">
        <f t="shared" si="36"/>
        <v>40</v>
      </c>
      <c r="I218" s="73">
        <f t="shared" si="34"/>
        <v>39.043999999999997</v>
      </c>
      <c r="J218" s="72" t="s">
        <v>78</v>
      </c>
      <c r="K218" s="74"/>
      <c r="M218" s="99" t="s">
        <v>18</v>
      </c>
      <c r="N218" s="80">
        <f t="shared" si="33"/>
        <v>16</v>
      </c>
      <c r="O218" s="76">
        <f t="shared" si="37"/>
        <v>16</v>
      </c>
      <c r="P218" s="81" t="s">
        <v>56</v>
      </c>
    </row>
    <row r="219" spans="1:17" x14ac:dyDescent="0.25">
      <c r="A219" s="95">
        <v>45472</v>
      </c>
      <c r="B219" s="72" t="s">
        <v>581</v>
      </c>
      <c r="C219" s="72" t="s">
        <v>8</v>
      </c>
      <c r="D219" s="72" t="s">
        <v>18</v>
      </c>
      <c r="E219" s="72" t="s">
        <v>56</v>
      </c>
      <c r="F219" s="72">
        <v>1</v>
      </c>
      <c r="G219" s="73">
        <v>35</v>
      </c>
      <c r="H219" s="73">
        <f t="shared" si="36"/>
        <v>35</v>
      </c>
      <c r="I219" s="73">
        <f t="shared" si="34"/>
        <v>35</v>
      </c>
      <c r="J219" s="72" t="s">
        <v>79</v>
      </c>
      <c r="K219" s="74" t="s">
        <v>652</v>
      </c>
      <c r="M219" s="99" t="s">
        <v>18</v>
      </c>
      <c r="N219" s="80">
        <f>G219*0.4</f>
        <v>14</v>
      </c>
      <c r="O219" s="76">
        <f t="shared" si="37"/>
        <v>14</v>
      </c>
      <c r="P219" s="81" t="s">
        <v>56</v>
      </c>
    </row>
    <row r="220" spans="1:17" x14ac:dyDescent="0.25">
      <c r="A220" s="95">
        <v>45472</v>
      </c>
      <c r="B220" s="72" t="s">
        <v>308</v>
      </c>
      <c r="C220" s="72" t="s">
        <v>10</v>
      </c>
      <c r="D220" s="72" t="s">
        <v>18</v>
      </c>
      <c r="E220" s="72" t="s">
        <v>56</v>
      </c>
      <c r="F220" s="72">
        <v>1</v>
      </c>
      <c r="G220" s="73">
        <f>VLOOKUP(D220,$S$3:$T$64,2,0)</f>
        <v>40</v>
      </c>
      <c r="H220" s="73">
        <f t="shared" si="36"/>
        <v>40</v>
      </c>
      <c r="I220" s="73">
        <f t="shared" si="34"/>
        <v>39.043999999999997</v>
      </c>
      <c r="J220" s="72" t="s">
        <v>78</v>
      </c>
      <c r="K220" s="74"/>
      <c r="M220" s="99" t="s">
        <v>18</v>
      </c>
      <c r="N220" s="80">
        <f t="shared" ref="N220:N251" si="38">VLOOKUP(M220,$S$3:$U$64,3,0)</f>
        <v>16</v>
      </c>
      <c r="O220" s="76">
        <f t="shared" si="37"/>
        <v>16</v>
      </c>
      <c r="P220" s="81" t="s">
        <v>56</v>
      </c>
    </row>
    <row r="221" spans="1:17" x14ac:dyDescent="0.25">
      <c r="A221" s="95">
        <v>45472</v>
      </c>
      <c r="B221" s="72" t="s">
        <v>537</v>
      </c>
      <c r="C221" s="72" t="s">
        <v>9</v>
      </c>
      <c r="D221" s="72" t="s">
        <v>18</v>
      </c>
      <c r="E221" s="72" t="s">
        <v>56</v>
      </c>
      <c r="F221" s="72">
        <v>1</v>
      </c>
      <c r="G221" s="73">
        <f>VLOOKUP(D221,$S$3:$T$64,2,0)</f>
        <v>40</v>
      </c>
      <c r="H221" s="73">
        <f t="shared" si="36"/>
        <v>40</v>
      </c>
      <c r="I221" s="73">
        <f t="shared" si="34"/>
        <v>39.043999999999997</v>
      </c>
      <c r="J221" s="72" t="s">
        <v>78</v>
      </c>
      <c r="K221" s="74"/>
      <c r="M221" s="99" t="s">
        <v>18</v>
      </c>
      <c r="N221" s="80">
        <f t="shared" si="38"/>
        <v>16</v>
      </c>
      <c r="O221" s="76">
        <f t="shared" si="37"/>
        <v>16</v>
      </c>
      <c r="P221" s="81" t="s">
        <v>56</v>
      </c>
      <c r="Q221" s="106">
        <f>SUM(O153:O221)</f>
        <v>495.1</v>
      </c>
    </row>
    <row r="222" spans="1:17" x14ac:dyDescent="0.25">
      <c r="A222" s="95">
        <v>45472</v>
      </c>
      <c r="B222" s="72" t="s">
        <v>483</v>
      </c>
      <c r="C222" s="72" t="s">
        <v>8</v>
      </c>
      <c r="D222" s="72" t="s">
        <v>18</v>
      </c>
      <c r="E222" s="72" t="s">
        <v>82</v>
      </c>
      <c r="F222" s="72">
        <v>1</v>
      </c>
      <c r="G222" s="73">
        <f>VLOOKUP(D222,$S$3:$T$64,2,0)</f>
        <v>40</v>
      </c>
      <c r="H222" s="73">
        <f t="shared" si="36"/>
        <v>40</v>
      </c>
      <c r="I222" s="73">
        <f t="shared" si="34"/>
        <v>40</v>
      </c>
      <c r="J222" s="72" t="s">
        <v>83</v>
      </c>
      <c r="K222" s="74"/>
      <c r="M222" s="99"/>
      <c r="N222" s="80" t="e">
        <f t="shared" si="38"/>
        <v>#N/A</v>
      </c>
      <c r="O222" s="76" t="e">
        <f t="shared" si="37"/>
        <v>#N/A</v>
      </c>
      <c r="P222" s="103"/>
    </row>
    <row r="223" spans="1:17" x14ac:dyDescent="0.25">
      <c r="A223" s="95">
        <v>45472</v>
      </c>
      <c r="B223" s="72" t="s">
        <v>256</v>
      </c>
      <c r="C223" s="72" t="s">
        <v>8</v>
      </c>
      <c r="D223" s="72" t="s">
        <v>15</v>
      </c>
      <c r="E223" s="72" t="s">
        <v>82</v>
      </c>
      <c r="F223" s="72">
        <v>1</v>
      </c>
      <c r="G223" s="73">
        <f>VLOOKUP(D223,$S$3:$T$64,2,0)</f>
        <v>70</v>
      </c>
      <c r="H223" s="73">
        <f t="shared" si="36"/>
        <v>70</v>
      </c>
      <c r="I223" s="73">
        <f t="shared" si="34"/>
        <v>70</v>
      </c>
      <c r="J223" s="72" t="s">
        <v>79</v>
      </c>
      <c r="K223" s="74"/>
      <c r="M223" s="99"/>
      <c r="N223" s="80" t="e">
        <f t="shared" si="38"/>
        <v>#N/A</v>
      </c>
      <c r="O223" s="76" t="e">
        <f t="shared" si="37"/>
        <v>#N/A</v>
      </c>
      <c r="P223" s="103"/>
    </row>
    <row r="224" spans="1:17" x14ac:dyDescent="0.25">
      <c r="A224" s="95">
        <v>45472</v>
      </c>
      <c r="B224" s="72" t="s">
        <v>256</v>
      </c>
      <c r="C224" s="72" t="s">
        <v>8</v>
      </c>
      <c r="D224" s="72" t="s">
        <v>19</v>
      </c>
      <c r="E224" s="72" t="s">
        <v>82</v>
      </c>
      <c r="F224" s="72">
        <v>1</v>
      </c>
      <c r="G224" s="73">
        <v>30</v>
      </c>
      <c r="H224" s="73">
        <f t="shared" si="36"/>
        <v>30</v>
      </c>
      <c r="I224" s="73">
        <f t="shared" si="34"/>
        <v>30</v>
      </c>
      <c r="J224" s="72" t="s">
        <v>79</v>
      </c>
      <c r="K224" s="74"/>
      <c r="M224" s="99"/>
      <c r="N224" s="80" t="e">
        <f t="shared" si="38"/>
        <v>#N/A</v>
      </c>
      <c r="O224" s="76" t="e">
        <f t="shared" si="37"/>
        <v>#N/A</v>
      </c>
      <c r="P224" s="103"/>
    </row>
    <row r="225" spans="1:16" x14ac:dyDescent="0.25">
      <c r="A225" s="95">
        <v>45472</v>
      </c>
      <c r="B225" s="72" t="s">
        <v>256</v>
      </c>
      <c r="C225" s="72" t="s">
        <v>8</v>
      </c>
      <c r="D225" s="72" t="s">
        <v>26</v>
      </c>
      <c r="E225" s="72" t="s">
        <v>82</v>
      </c>
      <c r="F225" s="72">
        <v>1</v>
      </c>
      <c r="G225" s="73">
        <f>VLOOKUP(D225,$S$3:$T$64,2,0)</f>
        <v>35</v>
      </c>
      <c r="H225" s="73">
        <f t="shared" si="36"/>
        <v>35</v>
      </c>
      <c r="I225" s="73">
        <f t="shared" si="34"/>
        <v>35</v>
      </c>
      <c r="J225" s="72" t="s">
        <v>79</v>
      </c>
      <c r="K225" s="74"/>
      <c r="M225" s="99"/>
      <c r="N225" s="80" t="e">
        <f t="shared" si="38"/>
        <v>#N/A</v>
      </c>
      <c r="O225" s="76" t="e">
        <f t="shared" si="37"/>
        <v>#N/A</v>
      </c>
      <c r="P225" s="103"/>
    </row>
    <row r="226" spans="1:16" x14ac:dyDescent="0.25">
      <c r="A226" s="95">
        <v>45472</v>
      </c>
      <c r="B226" s="72" t="s">
        <v>653</v>
      </c>
      <c r="C226" s="72" t="s">
        <v>8</v>
      </c>
      <c r="D226" s="72" t="s">
        <v>61</v>
      </c>
      <c r="E226" s="72" t="s">
        <v>82</v>
      </c>
      <c r="F226" s="72">
        <v>1</v>
      </c>
      <c r="G226" s="73">
        <v>30</v>
      </c>
      <c r="H226" s="73">
        <f t="shared" si="36"/>
        <v>30</v>
      </c>
      <c r="I226" s="73">
        <f t="shared" si="34"/>
        <v>30</v>
      </c>
      <c r="J226" s="72" t="s">
        <v>79</v>
      </c>
      <c r="K226" s="74"/>
      <c r="M226" s="99"/>
      <c r="N226" s="80" t="e">
        <f t="shared" si="38"/>
        <v>#N/A</v>
      </c>
      <c r="O226" s="76" t="e">
        <f t="shared" si="37"/>
        <v>#N/A</v>
      </c>
      <c r="P226" s="103"/>
    </row>
    <row r="227" spans="1:16" x14ac:dyDescent="0.25">
      <c r="A227" s="95">
        <v>45472</v>
      </c>
      <c r="B227" s="72" t="s">
        <v>301</v>
      </c>
      <c r="C227" s="72" t="s">
        <v>8</v>
      </c>
      <c r="D227" s="72" t="s">
        <v>16</v>
      </c>
      <c r="E227" s="72" t="s">
        <v>82</v>
      </c>
      <c r="F227" s="72">
        <v>1</v>
      </c>
      <c r="G227" s="73">
        <f t="shared" ref="G227:G233" si="39">VLOOKUP(D227,$S$3:$T$64,2,0)</f>
        <v>80</v>
      </c>
      <c r="H227" s="73">
        <f t="shared" si="36"/>
        <v>80</v>
      </c>
      <c r="I227" s="73">
        <f t="shared" si="34"/>
        <v>76.007999999999996</v>
      </c>
      <c r="J227" s="72" t="s">
        <v>86</v>
      </c>
      <c r="K227" s="74"/>
      <c r="M227" s="99"/>
      <c r="N227" s="80" t="e">
        <f t="shared" si="38"/>
        <v>#N/A</v>
      </c>
      <c r="O227" s="76" t="e">
        <f t="shared" si="37"/>
        <v>#N/A</v>
      </c>
      <c r="P227" s="103"/>
    </row>
    <row r="228" spans="1:16" x14ac:dyDescent="0.25">
      <c r="A228" s="95">
        <v>45472</v>
      </c>
      <c r="B228" s="72" t="s">
        <v>301</v>
      </c>
      <c r="C228" s="72" t="s">
        <v>8</v>
      </c>
      <c r="D228" s="72" t="s">
        <v>23</v>
      </c>
      <c r="E228" s="72" t="s">
        <v>82</v>
      </c>
      <c r="F228" s="72">
        <v>1</v>
      </c>
      <c r="G228" s="73">
        <f t="shared" si="39"/>
        <v>5</v>
      </c>
      <c r="H228" s="73">
        <f t="shared" si="36"/>
        <v>5</v>
      </c>
      <c r="I228" s="73">
        <f t="shared" si="34"/>
        <v>4.7504999999999997</v>
      </c>
      <c r="J228" s="72" t="s">
        <v>86</v>
      </c>
      <c r="K228" s="74"/>
      <c r="M228" s="99"/>
      <c r="N228" s="80" t="e">
        <f t="shared" si="38"/>
        <v>#N/A</v>
      </c>
      <c r="O228" s="76" t="e">
        <f t="shared" si="37"/>
        <v>#N/A</v>
      </c>
      <c r="P228" s="103"/>
    </row>
    <row r="229" spans="1:16" x14ac:dyDescent="0.25">
      <c r="A229" s="95">
        <v>45472</v>
      </c>
      <c r="B229" s="72" t="s">
        <v>522</v>
      </c>
      <c r="C229" s="72" t="s">
        <v>8</v>
      </c>
      <c r="D229" s="72" t="s">
        <v>22</v>
      </c>
      <c r="E229" s="72" t="s">
        <v>82</v>
      </c>
      <c r="F229" s="72">
        <v>1</v>
      </c>
      <c r="G229" s="73">
        <f t="shared" si="39"/>
        <v>30</v>
      </c>
      <c r="H229" s="73">
        <f t="shared" si="36"/>
        <v>30</v>
      </c>
      <c r="I229" s="73">
        <f t="shared" si="34"/>
        <v>30</v>
      </c>
      <c r="J229" s="72" t="s">
        <v>83</v>
      </c>
      <c r="K229" s="74"/>
      <c r="M229" s="99"/>
      <c r="N229" s="80" t="e">
        <f t="shared" si="38"/>
        <v>#N/A</v>
      </c>
      <c r="O229" s="76" t="e">
        <f t="shared" si="37"/>
        <v>#N/A</v>
      </c>
      <c r="P229" s="103"/>
    </row>
    <row r="230" spans="1:16" x14ac:dyDescent="0.25">
      <c r="A230" s="95">
        <v>45472</v>
      </c>
      <c r="B230" s="72" t="s">
        <v>522</v>
      </c>
      <c r="C230" s="72" t="s">
        <v>8</v>
      </c>
      <c r="D230" s="72" t="s">
        <v>13</v>
      </c>
      <c r="E230" s="72" t="s">
        <v>82</v>
      </c>
      <c r="F230" s="72">
        <v>1</v>
      </c>
      <c r="G230" s="73">
        <f t="shared" si="39"/>
        <v>30</v>
      </c>
      <c r="H230" s="73">
        <f t="shared" si="36"/>
        <v>30</v>
      </c>
      <c r="I230" s="73">
        <f t="shared" si="34"/>
        <v>30</v>
      </c>
      <c r="J230" s="72" t="s">
        <v>83</v>
      </c>
      <c r="K230" s="74"/>
      <c r="M230" s="99"/>
      <c r="N230" s="80" t="e">
        <f t="shared" si="38"/>
        <v>#N/A</v>
      </c>
      <c r="O230" s="76" t="e">
        <f t="shared" si="37"/>
        <v>#N/A</v>
      </c>
      <c r="P230" s="103"/>
    </row>
    <row r="231" spans="1:16" x14ac:dyDescent="0.25">
      <c r="A231" s="95">
        <v>45472</v>
      </c>
      <c r="B231" s="72" t="s">
        <v>552</v>
      </c>
      <c r="C231" s="72" t="s">
        <v>8</v>
      </c>
      <c r="D231" s="72" t="s">
        <v>22</v>
      </c>
      <c r="E231" s="72" t="s">
        <v>82</v>
      </c>
      <c r="F231" s="72">
        <v>1</v>
      </c>
      <c r="G231" s="73">
        <f t="shared" si="39"/>
        <v>30</v>
      </c>
      <c r="H231" s="73">
        <f t="shared" si="36"/>
        <v>30</v>
      </c>
      <c r="I231" s="73">
        <f t="shared" si="34"/>
        <v>30</v>
      </c>
      <c r="J231" s="72" t="s">
        <v>83</v>
      </c>
      <c r="K231" s="74"/>
      <c r="M231" s="99"/>
      <c r="N231" s="80" t="e">
        <f t="shared" si="38"/>
        <v>#N/A</v>
      </c>
      <c r="O231" s="76" t="e">
        <f t="shared" si="37"/>
        <v>#N/A</v>
      </c>
      <c r="P231" s="103"/>
    </row>
    <row r="232" spans="1:16" x14ac:dyDescent="0.25">
      <c r="A232" s="95">
        <v>45472</v>
      </c>
      <c r="B232" s="72" t="s">
        <v>589</v>
      </c>
      <c r="C232" s="72" t="s">
        <v>8</v>
      </c>
      <c r="D232" s="72" t="s">
        <v>18</v>
      </c>
      <c r="E232" s="72" t="s">
        <v>82</v>
      </c>
      <c r="F232" s="72">
        <v>1</v>
      </c>
      <c r="G232" s="73">
        <f t="shared" si="39"/>
        <v>40</v>
      </c>
      <c r="H232" s="73">
        <f t="shared" si="36"/>
        <v>40</v>
      </c>
      <c r="I232" s="73">
        <f t="shared" si="34"/>
        <v>38.003999999999998</v>
      </c>
      <c r="J232" s="72" t="s">
        <v>86</v>
      </c>
      <c r="K232" s="74"/>
      <c r="M232" s="99"/>
      <c r="N232" s="80" t="e">
        <f t="shared" si="38"/>
        <v>#N/A</v>
      </c>
      <c r="O232" s="76" t="e">
        <f t="shared" si="37"/>
        <v>#N/A</v>
      </c>
      <c r="P232" s="103"/>
    </row>
    <row r="233" spans="1:16" x14ac:dyDescent="0.25">
      <c r="A233" s="95">
        <v>45472</v>
      </c>
      <c r="B233" s="72" t="s">
        <v>238</v>
      </c>
      <c r="C233" s="72" t="s">
        <v>8</v>
      </c>
      <c r="D233" s="72" t="s">
        <v>18</v>
      </c>
      <c r="E233" s="72" t="s">
        <v>82</v>
      </c>
      <c r="F233" s="72">
        <v>1</v>
      </c>
      <c r="G233" s="73">
        <f t="shared" si="39"/>
        <v>40</v>
      </c>
      <c r="H233" s="73">
        <f t="shared" si="36"/>
        <v>40</v>
      </c>
      <c r="I233" s="73">
        <f t="shared" si="34"/>
        <v>39.043999999999997</v>
      </c>
      <c r="J233" s="72" t="s">
        <v>78</v>
      </c>
      <c r="K233" s="74"/>
      <c r="M233" s="99"/>
      <c r="N233" s="80" t="e">
        <f t="shared" si="38"/>
        <v>#N/A</v>
      </c>
      <c r="O233" s="76" t="e">
        <f t="shared" si="37"/>
        <v>#N/A</v>
      </c>
      <c r="P233" s="103"/>
    </row>
    <row r="234" spans="1:16" x14ac:dyDescent="0.25">
      <c r="A234" s="95">
        <v>45472</v>
      </c>
      <c r="B234" s="72" t="s">
        <v>238</v>
      </c>
      <c r="C234" s="72" t="s">
        <v>8</v>
      </c>
      <c r="D234" s="72" t="s">
        <v>59</v>
      </c>
      <c r="E234" s="72" t="s">
        <v>82</v>
      </c>
      <c r="F234" s="72">
        <v>2</v>
      </c>
      <c r="G234" s="73">
        <v>18</v>
      </c>
      <c r="H234" s="73">
        <f t="shared" si="36"/>
        <v>36</v>
      </c>
      <c r="I234" s="73">
        <f t="shared" si="34"/>
        <v>35.139600000000002</v>
      </c>
      <c r="J234" s="72" t="s">
        <v>78</v>
      </c>
      <c r="K234" s="74"/>
      <c r="M234" s="99"/>
      <c r="N234" s="80" t="e">
        <f t="shared" si="38"/>
        <v>#N/A</v>
      </c>
      <c r="O234" s="76" t="e">
        <f t="shared" si="37"/>
        <v>#N/A</v>
      </c>
      <c r="P234" s="103"/>
    </row>
    <row r="235" spans="1:16" x14ac:dyDescent="0.25">
      <c r="A235" s="95">
        <v>45472</v>
      </c>
      <c r="B235" s="72" t="s">
        <v>322</v>
      </c>
      <c r="C235" s="72" t="s">
        <v>8</v>
      </c>
      <c r="D235" s="72" t="s">
        <v>18</v>
      </c>
      <c r="E235" s="72" t="s">
        <v>82</v>
      </c>
      <c r="F235" s="72">
        <v>1</v>
      </c>
      <c r="G235" s="73">
        <f t="shared" ref="G235:G266" si="40">VLOOKUP(D235,$S$3:$T$64,2,0)</f>
        <v>40</v>
      </c>
      <c r="H235" s="73">
        <f t="shared" si="36"/>
        <v>40</v>
      </c>
      <c r="I235" s="73">
        <f t="shared" si="34"/>
        <v>39.043999999999997</v>
      </c>
      <c r="J235" s="72" t="s">
        <v>78</v>
      </c>
      <c r="K235" s="74"/>
      <c r="M235" s="99"/>
      <c r="N235" s="80" t="e">
        <f t="shared" si="38"/>
        <v>#N/A</v>
      </c>
      <c r="O235" s="76" t="e">
        <f t="shared" si="37"/>
        <v>#N/A</v>
      </c>
      <c r="P235" s="103"/>
    </row>
    <row r="236" spans="1:16" x14ac:dyDescent="0.25">
      <c r="A236" s="95">
        <v>45472</v>
      </c>
      <c r="B236" s="72"/>
      <c r="C236" s="72"/>
      <c r="D236" s="72"/>
      <c r="E236" s="72"/>
      <c r="F236" s="72"/>
      <c r="G236" s="73" t="e">
        <f t="shared" si="40"/>
        <v>#N/A</v>
      </c>
      <c r="H236" s="73" t="e">
        <f t="shared" si="36"/>
        <v>#N/A</v>
      </c>
      <c r="I236" s="73" t="b">
        <f t="shared" si="34"/>
        <v>0</v>
      </c>
      <c r="J236" s="72"/>
      <c r="K236" s="74"/>
      <c r="M236" s="99"/>
      <c r="N236" s="80" t="e">
        <f t="shared" si="38"/>
        <v>#N/A</v>
      </c>
      <c r="O236" s="76" t="e">
        <f t="shared" si="37"/>
        <v>#N/A</v>
      </c>
      <c r="P236" s="103"/>
    </row>
    <row r="237" spans="1:16" x14ac:dyDescent="0.25">
      <c r="A237" s="95"/>
      <c r="B237" s="72"/>
      <c r="C237" s="72"/>
      <c r="D237" s="72"/>
      <c r="E237" s="72"/>
      <c r="F237" s="72"/>
      <c r="G237" s="73" t="e">
        <f t="shared" si="40"/>
        <v>#N/A</v>
      </c>
      <c r="H237" s="73" t="e">
        <f t="shared" si="36"/>
        <v>#N/A</v>
      </c>
      <c r="I237" s="73" t="b">
        <f t="shared" si="34"/>
        <v>0</v>
      </c>
      <c r="J237" s="72"/>
      <c r="K237" s="74"/>
      <c r="M237" s="99"/>
      <c r="N237" s="80" t="e">
        <f t="shared" si="38"/>
        <v>#N/A</v>
      </c>
      <c r="O237" s="76" t="e">
        <f t="shared" si="37"/>
        <v>#N/A</v>
      </c>
      <c r="P237" s="103"/>
    </row>
    <row r="238" spans="1:16" x14ac:dyDescent="0.25">
      <c r="A238" s="95"/>
      <c r="B238" s="72"/>
      <c r="C238" s="72"/>
      <c r="D238" s="72"/>
      <c r="E238" s="72"/>
      <c r="F238" s="72"/>
      <c r="G238" s="73" t="e">
        <f t="shared" si="40"/>
        <v>#N/A</v>
      </c>
      <c r="H238" s="73" t="e">
        <f t="shared" si="36"/>
        <v>#N/A</v>
      </c>
      <c r="I238" s="73" t="b">
        <f t="shared" si="34"/>
        <v>0</v>
      </c>
      <c r="J238" s="72"/>
      <c r="K238" s="74"/>
      <c r="M238" s="99"/>
      <c r="N238" s="80" t="e">
        <f t="shared" si="38"/>
        <v>#N/A</v>
      </c>
      <c r="O238" s="76" t="e">
        <f t="shared" si="37"/>
        <v>#N/A</v>
      </c>
      <c r="P238" s="103"/>
    </row>
    <row r="239" spans="1:16" x14ac:dyDescent="0.25">
      <c r="A239" s="95"/>
      <c r="B239" s="72"/>
      <c r="C239" s="72"/>
      <c r="D239" s="72"/>
      <c r="E239" s="72"/>
      <c r="F239" s="72"/>
      <c r="G239" s="73" t="e">
        <f t="shared" si="40"/>
        <v>#N/A</v>
      </c>
      <c r="H239" s="73" t="e">
        <f t="shared" si="36"/>
        <v>#N/A</v>
      </c>
      <c r="I239" s="73" t="b">
        <f t="shared" si="34"/>
        <v>0</v>
      </c>
      <c r="J239" s="72"/>
      <c r="K239" s="74"/>
      <c r="M239" s="99"/>
      <c r="N239" s="80" t="e">
        <f t="shared" si="38"/>
        <v>#N/A</v>
      </c>
      <c r="O239" s="76" t="e">
        <f t="shared" si="37"/>
        <v>#N/A</v>
      </c>
      <c r="P239" s="103"/>
    </row>
    <row r="240" spans="1:16" x14ac:dyDescent="0.25">
      <c r="A240" s="95"/>
      <c r="B240" s="72"/>
      <c r="C240" s="72"/>
      <c r="D240" s="72"/>
      <c r="E240" s="72"/>
      <c r="F240" s="72"/>
      <c r="G240" s="73" t="e">
        <f t="shared" si="40"/>
        <v>#N/A</v>
      </c>
      <c r="H240" s="73" t="e">
        <f t="shared" si="36"/>
        <v>#N/A</v>
      </c>
      <c r="I240" s="73" t="b">
        <f t="shared" si="34"/>
        <v>0</v>
      </c>
      <c r="J240" s="72"/>
      <c r="K240" s="74"/>
      <c r="M240" s="99"/>
      <c r="N240" s="80" t="e">
        <f t="shared" si="38"/>
        <v>#N/A</v>
      </c>
      <c r="O240" s="76" t="e">
        <f t="shared" si="37"/>
        <v>#N/A</v>
      </c>
      <c r="P240" s="103"/>
    </row>
    <row r="241" spans="1:17" x14ac:dyDescent="0.25">
      <c r="A241" s="95"/>
      <c r="B241" s="72"/>
      <c r="C241" s="72"/>
      <c r="D241" s="72"/>
      <c r="E241" s="72"/>
      <c r="F241" s="72"/>
      <c r="G241" s="73" t="e">
        <f t="shared" si="40"/>
        <v>#N/A</v>
      </c>
      <c r="H241" s="73" t="e">
        <f t="shared" si="36"/>
        <v>#N/A</v>
      </c>
      <c r="I241" s="73" t="b">
        <f t="shared" si="34"/>
        <v>0</v>
      </c>
      <c r="J241" s="72"/>
      <c r="K241" s="74"/>
      <c r="M241" s="99"/>
      <c r="N241" s="80" t="e">
        <f t="shared" si="38"/>
        <v>#N/A</v>
      </c>
      <c r="O241" s="76" t="e">
        <f t="shared" si="37"/>
        <v>#N/A</v>
      </c>
      <c r="P241" s="103"/>
    </row>
    <row r="242" spans="1:17" x14ac:dyDescent="0.25">
      <c r="A242" s="95"/>
      <c r="B242" s="72"/>
      <c r="C242" s="72"/>
      <c r="D242" s="72"/>
      <c r="E242" s="72"/>
      <c r="F242" s="72"/>
      <c r="G242" s="73" t="e">
        <f t="shared" si="40"/>
        <v>#N/A</v>
      </c>
      <c r="H242" s="73" t="e">
        <f t="shared" si="36"/>
        <v>#N/A</v>
      </c>
      <c r="I242" s="73" t="b">
        <f t="shared" si="34"/>
        <v>0</v>
      </c>
      <c r="J242" s="72"/>
      <c r="K242" s="74"/>
      <c r="M242" s="99"/>
      <c r="N242" s="80" t="e">
        <f t="shared" si="38"/>
        <v>#N/A</v>
      </c>
      <c r="O242" s="76" t="e">
        <f t="shared" si="37"/>
        <v>#N/A</v>
      </c>
      <c r="P242" s="103"/>
    </row>
    <row r="243" spans="1:17" x14ac:dyDescent="0.25">
      <c r="A243" s="95"/>
      <c r="B243" s="72"/>
      <c r="C243" s="72"/>
      <c r="D243" s="72"/>
      <c r="E243" s="72"/>
      <c r="F243" s="72"/>
      <c r="G243" s="73" t="e">
        <f t="shared" si="40"/>
        <v>#N/A</v>
      </c>
      <c r="H243" s="73" t="e">
        <f t="shared" si="36"/>
        <v>#N/A</v>
      </c>
      <c r="I243" s="73" t="b">
        <f t="shared" si="34"/>
        <v>0</v>
      </c>
      <c r="J243" s="72"/>
      <c r="K243" s="74"/>
      <c r="M243" s="99"/>
      <c r="N243" s="80" t="e">
        <f t="shared" si="38"/>
        <v>#N/A</v>
      </c>
      <c r="O243" s="76" t="e">
        <f t="shared" si="37"/>
        <v>#N/A</v>
      </c>
      <c r="P243" s="103"/>
    </row>
    <row r="244" spans="1:17" x14ac:dyDescent="0.25">
      <c r="A244" s="95"/>
      <c r="B244" s="72"/>
      <c r="C244" s="72"/>
      <c r="D244" s="72"/>
      <c r="E244" s="72"/>
      <c r="F244" s="72"/>
      <c r="G244" s="73" t="e">
        <f t="shared" si="40"/>
        <v>#N/A</v>
      </c>
      <c r="H244" s="73" t="e">
        <f t="shared" si="36"/>
        <v>#N/A</v>
      </c>
      <c r="I244" s="73" t="b">
        <f t="shared" si="34"/>
        <v>0</v>
      </c>
      <c r="J244" s="72"/>
      <c r="K244" s="74"/>
      <c r="M244" s="99"/>
      <c r="N244" s="80" t="e">
        <f t="shared" si="38"/>
        <v>#N/A</v>
      </c>
      <c r="O244" s="76" t="e">
        <f t="shared" si="37"/>
        <v>#N/A</v>
      </c>
      <c r="P244" s="103"/>
    </row>
    <row r="245" spans="1:17" x14ac:dyDescent="0.25">
      <c r="A245" s="95"/>
      <c r="B245" s="72"/>
      <c r="C245" s="72"/>
      <c r="D245" s="72"/>
      <c r="E245" s="72"/>
      <c r="F245" s="72"/>
      <c r="G245" s="73" t="e">
        <f t="shared" si="40"/>
        <v>#N/A</v>
      </c>
      <c r="H245" s="73" t="e">
        <f t="shared" si="36"/>
        <v>#N/A</v>
      </c>
      <c r="I245" s="73" t="b">
        <f t="shared" si="34"/>
        <v>0</v>
      </c>
      <c r="J245" s="72"/>
      <c r="K245" s="74"/>
      <c r="M245" s="99"/>
      <c r="N245" s="80" t="e">
        <f t="shared" si="38"/>
        <v>#N/A</v>
      </c>
      <c r="O245" s="76" t="e">
        <f t="shared" si="37"/>
        <v>#N/A</v>
      </c>
      <c r="P245" s="103"/>
    </row>
    <row r="246" spans="1:17" x14ac:dyDescent="0.25">
      <c r="A246" s="95"/>
      <c r="B246" s="72"/>
      <c r="C246" s="72"/>
      <c r="D246" s="72"/>
      <c r="E246" s="72"/>
      <c r="F246" s="72"/>
      <c r="G246" s="73" t="e">
        <f t="shared" si="40"/>
        <v>#N/A</v>
      </c>
      <c r="H246" s="73" t="e">
        <f t="shared" si="36"/>
        <v>#N/A</v>
      </c>
      <c r="I246" s="73" t="b">
        <f t="shared" si="34"/>
        <v>0</v>
      </c>
      <c r="J246" s="72"/>
      <c r="K246" s="74"/>
      <c r="M246" s="99"/>
      <c r="N246" s="80" t="e">
        <f t="shared" si="38"/>
        <v>#N/A</v>
      </c>
      <c r="O246" s="76" t="e">
        <f t="shared" si="37"/>
        <v>#N/A</v>
      </c>
      <c r="P246" s="103"/>
    </row>
    <row r="247" spans="1:17" x14ac:dyDescent="0.25">
      <c r="A247" s="95"/>
      <c r="B247" s="72"/>
      <c r="C247" s="72"/>
      <c r="D247" s="72"/>
      <c r="E247" s="72"/>
      <c r="F247" s="72"/>
      <c r="G247" s="73" t="e">
        <f t="shared" si="40"/>
        <v>#N/A</v>
      </c>
      <c r="H247" s="73" t="e">
        <f t="shared" si="36"/>
        <v>#N/A</v>
      </c>
      <c r="I247" s="73" t="b">
        <f t="shared" si="34"/>
        <v>0</v>
      </c>
      <c r="J247" s="72"/>
      <c r="K247" s="74"/>
      <c r="M247" s="99"/>
      <c r="N247" s="80" t="e">
        <f t="shared" si="38"/>
        <v>#N/A</v>
      </c>
      <c r="O247" s="76" t="e">
        <f t="shared" si="37"/>
        <v>#N/A</v>
      </c>
      <c r="P247" s="103"/>
      <c r="Q247" s="106"/>
    </row>
    <row r="248" spans="1:17" x14ac:dyDescent="0.25">
      <c r="A248" s="95"/>
      <c r="B248" s="72"/>
      <c r="C248" s="72"/>
      <c r="D248" s="72"/>
      <c r="E248" s="72"/>
      <c r="F248" s="72"/>
      <c r="G248" s="73" t="e">
        <f t="shared" si="40"/>
        <v>#N/A</v>
      </c>
      <c r="H248" s="73" t="e">
        <f t="shared" si="36"/>
        <v>#N/A</v>
      </c>
      <c r="I248" s="73" t="b">
        <f t="shared" si="34"/>
        <v>0</v>
      </c>
      <c r="J248" s="72"/>
      <c r="K248" s="74"/>
      <c r="M248" s="99"/>
      <c r="N248" s="80" t="e">
        <f t="shared" si="38"/>
        <v>#N/A</v>
      </c>
      <c r="O248" s="76" t="e">
        <f t="shared" ref="O248:O279" si="41">N248*F248</f>
        <v>#N/A</v>
      </c>
      <c r="P248" s="103"/>
    </row>
    <row r="249" spans="1:17" x14ac:dyDescent="0.25">
      <c r="A249" s="95"/>
      <c r="B249" s="72"/>
      <c r="C249" s="72"/>
      <c r="D249" s="72"/>
      <c r="E249" s="72"/>
      <c r="F249" s="72"/>
      <c r="G249" s="73" t="e">
        <f t="shared" si="40"/>
        <v>#N/A</v>
      </c>
      <c r="H249" s="73" t="e">
        <f t="shared" si="36"/>
        <v>#N/A</v>
      </c>
      <c r="I249" s="73" t="b">
        <f t="shared" si="34"/>
        <v>0</v>
      </c>
      <c r="J249" s="72"/>
      <c r="K249" s="74"/>
      <c r="M249" s="99"/>
      <c r="N249" s="80" t="e">
        <f t="shared" si="38"/>
        <v>#N/A</v>
      </c>
      <c r="O249" s="76" t="e">
        <f t="shared" si="41"/>
        <v>#N/A</v>
      </c>
      <c r="P249" s="103"/>
    </row>
    <row r="250" spans="1:17" x14ac:dyDescent="0.25">
      <c r="A250" s="95"/>
      <c r="B250" s="72"/>
      <c r="C250" s="72"/>
      <c r="D250" s="72"/>
      <c r="E250" s="72"/>
      <c r="F250" s="72"/>
      <c r="G250" s="73" t="e">
        <f t="shared" si="40"/>
        <v>#N/A</v>
      </c>
      <c r="H250" s="73" t="e">
        <f t="shared" si="36"/>
        <v>#N/A</v>
      </c>
      <c r="I250" s="73" t="b">
        <f t="shared" si="34"/>
        <v>0</v>
      </c>
      <c r="J250" s="72"/>
      <c r="K250" s="74"/>
      <c r="M250" s="99"/>
      <c r="N250" s="80" t="e">
        <f t="shared" si="38"/>
        <v>#N/A</v>
      </c>
      <c r="O250" s="76" t="e">
        <f t="shared" si="41"/>
        <v>#N/A</v>
      </c>
      <c r="P250" s="103"/>
    </row>
    <row r="251" spans="1:17" x14ac:dyDescent="0.25">
      <c r="A251" s="95"/>
      <c r="B251" s="72"/>
      <c r="C251" s="72"/>
      <c r="D251" s="72"/>
      <c r="E251" s="72"/>
      <c r="F251" s="72"/>
      <c r="G251" s="73" t="e">
        <f t="shared" si="40"/>
        <v>#N/A</v>
      </c>
      <c r="H251" s="73" t="e">
        <f t="shared" si="36"/>
        <v>#N/A</v>
      </c>
      <c r="I251" s="73" t="b">
        <f t="shared" si="34"/>
        <v>0</v>
      </c>
      <c r="J251" s="72"/>
      <c r="K251" s="74"/>
      <c r="M251" s="99"/>
      <c r="N251" s="80" t="e">
        <f t="shared" si="38"/>
        <v>#N/A</v>
      </c>
      <c r="O251" s="76" t="e">
        <f t="shared" si="41"/>
        <v>#N/A</v>
      </c>
      <c r="P251" s="103"/>
    </row>
    <row r="252" spans="1:17" x14ac:dyDescent="0.25">
      <c r="A252" s="95"/>
      <c r="B252" s="72"/>
      <c r="C252" s="72"/>
      <c r="D252" s="72"/>
      <c r="E252" s="72"/>
      <c r="F252" s="72"/>
      <c r="G252" s="73" t="e">
        <f t="shared" si="40"/>
        <v>#N/A</v>
      </c>
      <c r="H252" s="73" t="e">
        <f t="shared" si="36"/>
        <v>#N/A</v>
      </c>
      <c r="I252" s="73" t="b">
        <f t="shared" si="34"/>
        <v>0</v>
      </c>
      <c r="J252" s="72"/>
      <c r="K252" s="74"/>
      <c r="M252" s="99"/>
      <c r="N252" s="80" t="e">
        <f t="shared" ref="N252:N283" si="42">VLOOKUP(M252,$S$3:$U$64,3,0)</f>
        <v>#N/A</v>
      </c>
      <c r="O252" s="76" t="e">
        <f t="shared" si="41"/>
        <v>#N/A</v>
      </c>
      <c r="P252" s="103"/>
    </row>
    <row r="253" spans="1:17" x14ac:dyDescent="0.25">
      <c r="A253" s="95"/>
      <c r="B253" s="72"/>
      <c r="C253" s="72"/>
      <c r="D253" s="72"/>
      <c r="E253" s="72"/>
      <c r="F253" s="72"/>
      <c r="G253" s="73" t="e">
        <f t="shared" si="40"/>
        <v>#N/A</v>
      </c>
      <c r="H253" s="73" t="e">
        <f t="shared" si="36"/>
        <v>#N/A</v>
      </c>
      <c r="I253" s="73" t="b">
        <f t="shared" si="34"/>
        <v>0</v>
      </c>
      <c r="J253" s="72"/>
      <c r="K253" s="74"/>
      <c r="M253" s="99"/>
      <c r="N253" s="80" t="e">
        <f t="shared" si="42"/>
        <v>#N/A</v>
      </c>
      <c r="O253" s="76" t="e">
        <f t="shared" si="41"/>
        <v>#N/A</v>
      </c>
      <c r="P253" s="103"/>
    </row>
    <row r="254" spans="1:17" x14ac:dyDescent="0.25">
      <c r="A254" s="95"/>
      <c r="B254" s="72"/>
      <c r="C254" s="72"/>
      <c r="D254" s="72"/>
      <c r="E254" s="72"/>
      <c r="F254" s="72"/>
      <c r="G254" s="73" t="e">
        <f t="shared" si="40"/>
        <v>#N/A</v>
      </c>
      <c r="H254" s="73" t="e">
        <f t="shared" si="36"/>
        <v>#N/A</v>
      </c>
      <c r="I254" s="73" t="b">
        <f t="shared" si="34"/>
        <v>0</v>
      </c>
      <c r="J254" s="72"/>
      <c r="K254" s="74"/>
      <c r="M254" s="99"/>
      <c r="N254" s="80" t="e">
        <f t="shared" si="42"/>
        <v>#N/A</v>
      </c>
      <c r="O254" s="76" t="e">
        <f t="shared" si="41"/>
        <v>#N/A</v>
      </c>
      <c r="P254" s="103"/>
    </row>
    <row r="255" spans="1:17" x14ac:dyDescent="0.25">
      <c r="A255" s="95"/>
      <c r="B255" s="72"/>
      <c r="C255" s="72"/>
      <c r="D255" s="72"/>
      <c r="E255" s="72"/>
      <c r="F255" s="72"/>
      <c r="G255" s="73" t="e">
        <f t="shared" si="40"/>
        <v>#N/A</v>
      </c>
      <c r="H255" s="73" t="e">
        <f t="shared" si="36"/>
        <v>#N/A</v>
      </c>
      <c r="I255" s="73" t="b">
        <f t="shared" si="34"/>
        <v>0</v>
      </c>
      <c r="J255" s="72"/>
      <c r="K255" s="74"/>
      <c r="M255" s="99"/>
      <c r="N255" s="80" t="e">
        <f t="shared" si="42"/>
        <v>#N/A</v>
      </c>
      <c r="O255" s="76" t="e">
        <f t="shared" si="41"/>
        <v>#N/A</v>
      </c>
      <c r="P255" s="103"/>
    </row>
    <row r="256" spans="1:17" x14ac:dyDescent="0.25">
      <c r="A256" s="95"/>
      <c r="B256" s="72"/>
      <c r="C256" s="72"/>
      <c r="D256" s="72"/>
      <c r="E256" s="72"/>
      <c r="F256" s="72"/>
      <c r="G256" s="73" t="e">
        <f t="shared" si="40"/>
        <v>#N/A</v>
      </c>
      <c r="H256" s="73" t="e">
        <f t="shared" si="36"/>
        <v>#N/A</v>
      </c>
      <c r="I256" s="73" t="b">
        <f t="shared" si="34"/>
        <v>0</v>
      </c>
      <c r="J256" s="72"/>
      <c r="K256" s="74"/>
      <c r="M256" s="99"/>
      <c r="N256" s="80" t="e">
        <f t="shared" si="42"/>
        <v>#N/A</v>
      </c>
      <c r="O256" s="76" t="e">
        <f t="shared" si="41"/>
        <v>#N/A</v>
      </c>
      <c r="P256" s="103"/>
    </row>
    <row r="257" spans="1:16" x14ac:dyDescent="0.25">
      <c r="A257" s="95"/>
      <c r="B257" s="72"/>
      <c r="C257" s="72"/>
      <c r="D257" s="72"/>
      <c r="E257" s="72"/>
      <c r="F257" s="72"/>
      <c r="G257" s="73" t="e">
        <f t="shared" si="40"/>
        <v>#N/A</v>
      </c>
      <c r="H257" s="73" t="e">
        <f t="shared" si="36"/>
        <v>#N/A</v>
      </c>
      <c r="I257" s="73" t="b">
        <f t="shared" si="34"/>
        <v>0</v>
      </c>
      <c r="J257" s="72"/>
      <c r="K257" s="74"/>
      <c r="M257" s="99"/>
      <c r="N257" s="80" t="e">
        <f t="shared" si="42"/>
        <v>#N/A</v>
      </c>
      <c r="O257" s="76" t="e">
        <f t="shared" si="41"/>
        <v>#N/A</v>
      </c>
      <c r="P257" s="103"/>
    </row>
    <row r="258" spans="1:16" x14ac:dyDescent="0.25">
      <c r="A258" s="95"/>
      <c r="B258" s="72"/>
      <c r="C258" s="72"/>
      <c r="D258" s="72"/>
      <c r="E258" s="72"/>
      <c r="F258" s="72"/>
      <c r="G258" s="73" t="e">
        <f t="shared" si="40"/>
        <v>#N/A</v>
      </c>
      <c r="H258" s="73" t="e">
        <f t="shared" si="36"/>
        <v>#N/A</v>
      </c>
      <c r="I258" s="73" t="b">
        <f t="shared" si="34"/>
        <v>0</v>
      </c>
      <c r="J258" s="72"/>
      <c r="K258" s="74"/>
      <c r="M258" s="99"/>
      <c r="N258" s="80" t="e">
        <f t="shared" si="42"/>
        <v>#N/A</v>
      </c>
      <c r="O258" s="76" t="e">
        <f t="shared" si="41"/>
        <v>#N/A</v>
      </c>
      <c r="P258" s="103"/>
    </row>
    <row r="259" spans="1:16" x14ac:dyDescent="0.25">
      <c r="A259" s="95"/>
      <c r="B259" s="72"/>
      <c r="C259" s="72"/>
      <c r="D259" s="72"/>
      <c r="E259" s="72"/>
      <c r="F259" s="72"/>
      <c r="G259" s="73" t="e">
        <f t="shared" si="40"/>
        <v>#N/A</v>
      </c>
      <c r="H259" s="73" t="e">
        <f t="shared" si="36"/>
        <v>#N/A</v>
      </c>
      <c r="I259" s="73" t="b">
        <f t="shared" ref="I259:I322" si="43">IF(J259="Cartão de Debito",H259-(H259*$AC$5),IF(J259="Cartão de Credito",H259-(H259*$AC$6), IF(J259="Pix",H259-(H259*$AC$7), IF(J259="Dinheiro (R$)", H259-(H259*$AC$8)))))</f>
        <v>0</v>
      </c>
      <c r="J259" s="72"/>
      <c r="K259" s="74"/>
      <c r="M259" s="99"/>
      <c r="N259" s="80" t="e">
        <f t="shared" si="42"/>
        <v>#N/A</v>
      </c>
      <c r="O259" s="76" t="e">
        <f t="shared" si="41"/>
        <v>#N/A</v>
      </c>
      <c r="P259" s="103"/>
    </row>
    <row r="260" spans="1:16" x14ac:dyDescent="0.25">
      <c r="A260" s="95"/>
      <c r="B260" s="72"/>
      <c r="C260" s="72"/>
      <c r="D260" s="72"/>
      <c r="E260" s="72"/>
      <c r="F260" s="72"/>
      <c r="G260" s="73" t="e">
        <f t="shared" si="40"/>
        <v>#N/A</v>
      </c>
      <c r="H260" s="73" t="e">
        <f t="shared" si="36"/>
        <v>#N/A</v>
      </c>
      <c r="I260" s="73" t="b">
        <f t="shared" si="43"/>
        <v>0</v>
      </c>
      <c r="J260" s="72"/>
      <c r="K260" s="74"/>
      <c r="M260" s="99"/>
      <c r="N260" s="80" t="e">
        <f t="shared" si="42"/>
        <v>#N/A</v>
      </c>
      <c r="O260" s="76" t="e">
        <f t="shared" si="41"/>
        <v>#N/A</v>
      </c>
      <c r="P260" s="103"/>
    </row>
    <row r="261" spans="1:16" x14ac:dyDescent="0.25">
      <c r="A261" s="95"/>
      <c r="B261" s="72"/>
      <c r="C261" s="72"/>
      <c r="D261" s="72"/>
      <c r="E261" s="72"/>
      <c r="F261" s="72"/>
      <c r="G261" s="73" t="e">
        <f t="shared" si="40"/>
        <v>#N/A</v>
      </c>
      <c r="H261" s="73" t="e">
        <f t="shared" si="36"/>
        <v>#N/A</v>
      </c>
      <c r="I261" s="73" t="b">
        <f t="shared" si="43"/>
        <v>0</v>
      </c>
      <c r="J261" s="72"/>
      <c r="K261" s="74"/>
      <c r="M261" s="99"/>
      <c r="N261" s="80" t="e">
        <f t="shared" si="42"/>
        <v>#N/A</v>
      </c>
      <c r="O261" s="76" t="e">
        <f t="shared" si="41"/>
        <v>#N/A</v>
      </c>
      <c r="P261" s="103"/>
    </row>
    <row r="262" spans="1:16" x14ac:dyDescent="0.25">
      <c r="A262" s="95"/>
      <c r="B262" s="72"/>
      <c r="C262" s="72"/>
      <c r="D262" s="72"/>
      <c r="E262" s="72"/>
      <c r="F262" s="72"/>
      <c r="G262" s="73" t="e">
        <f t="shared" si="40"/>
        <v>#N/A</v>
      </c>
      <c r="H262" s="73" t="e">
        <f t="shared" si="36"/>
        <v>#N/A</v>
      </c>
      <c r="I262" s="73" t="b">
        <f t="shared" si="43"/>
        <v>0</v>
      </c>
      <c r="J262" s="72"/>
      <c r="K262" s="74"/>
      <c r="M262" s="99"/>
      <c r="N262" s="80" t="e">
        <f t="shared" si="42"/>
        <v>#N/A</v>
      </c>
      <c r="O262" s="76" t="e">
        <f t="shared" si="41"/>
        <v>#N/A</v>
      </c>
      <c r="P262" s="103"/>
    </row>
    <row r="263" spans="1:16" x14ac:dyDescent="0.25">
      <c r="A263" s="95"/>
      <c r="B263" s="72"/>
      <c r="C263" s="72"/>
      <c r="D263" s="72"/>
      <c r="E263" s="72"/>
      <c r="F263" s="72"/>
      <c r="G263" s="73" t="e">
        <f t="shared" si="40"/>
        <v>#N/A</v>
      </c>
      <c r="H263" s="73" t="e">
        <f t="shared" si="36"/>
        <v>#N/A</v>
      </c>
      <c r="I263" s="73" t="b">
        <f t="shared" si="43"/>
        <v>0</v>
      </c>
      <c r="J263" s="72"/>
      <c r="K263" s="74"/>
      <c r="M263" s="99"/>
      <c r="N263" s="80" t="e">
        <f t="shared" si="42"/>
        <v>#N/A</v>
      </c>
      <c r="O263" s="76" t="e">
        <f t="shared" si="41"/>
        <v>#N/A</v>
      </c>
      <c r="P263" s="103"/>
    </row>
    <row r="264" spans="1:16" x14ac:dyDescent="0.25">
      <c r="A264" s="95"/>
      <c r="B264" s="72"/>
      <c r="C264" s="72"/>
      <c r="D264" s="72"/>
      <c r="E264" s="72"/>
      <c r="F264" s="72"/>
      <c r="G264" s="73" t="e">
        <f t="shared" si="40"/>
        <v>#N/A</v>
      </c>
      <c r="H264" s="73" t="e">
        <f t="shared" si="36"/>
        <v>#N/A</v>
      </c>
      <c r="I264" s="73" t="b">
        <f t="shared" si="43"/>
        <v>0</v>
      </c>
      <c r="J264" s="72"/>
      <c r="K264" s="74"/>
      <c r="M264" s="99"/>
      <c r="N264" s="80" t="e">
        <f t="shared" si="42"/>
        <v>#N/A</v>
      </c>
      <c r="O264" s="76" t="e">
        <f t="shared" si="41"/>
        <v>#N/A</v>
      </c>
      <c r="P264" s="103"/>
    </row>
    <row r="265" spans="1:16" x14ac:dyDescent="0.25">
      <c r="A265" s="95"/>
      <c r="B265" s="72"/>
      <c r="C265" s="72"/>
      <c r="D265" s="72"/>
      <c r="E265" s="72"/>
      <c r="F265" s="72"/>
      <c r="G265" s="73" t="e">
        <f t="shared" si="40"/>
        <v>#N/A</v>
      </c>
      <c r="H265" s="73" t="e">
        <f t="shared" si="36"/>
        <v>#N/A</v>
      </c>
      <c r="I265" s="73" t="b">
        <f t="shared" si="43"/>
        <v>0</v>
      </c>
      <c r="J265" s="72"/>
      <c r="K265" s="74"/>
      <c r="M265" s="99"/>
      <c r="N265" s="80" t="e">
        <f t="shared" si="42"/>
        <v>#N/A</v>
      </c>
      <c r="O265" s="76" t="e">
        <f t="shared" si="41"/>
        <v>#N/A</v>
      </c>
      <c r="P265" s="103"/>
    </row>
    <row r="266" spans="1:16" x14ac:dyDescent="0.25">
      <c r="A266" s="95"/>
      <c r="B266" s="72"/>
      <c r="C266" s="72"/>
      <c r="D266" s="72"/>
      <c r="E266" s="72"/>
      <c r="F266" s="72"/>
      <c r="G266" s="73" t="e">
        <f t="shared" si="40"/>
        <v>#N/A</v>
      </c>
      <c r="H266" s="73" t="e">
        <f t="shared" si="36"/>
        <v>#N/A</v>
      </c>
      <c r="I266" s="73" t="b">
        <f t="shared" si="43"/>
        <v>0</v>
      </c>
      <c r="J266" s="72"/>
      <c r="K266" s="74"/>
      <c r="M266" s="99"/>
      <c r="N266" s="80" t="e">
        <f t="shared" si="42"/>
        <v>#N/A</v>
      </c>
      <c r="O266" s="76" t="e">
        <f t="shared" si="41"/>
        <v>#N/A</v>
      </c>
      <c r="P266" s="103"/>
    </row>
    <row r="267" spans="1:16" x14ac:dyDescent="0.25">
      <c r="A267" s="95"/>
      <c r="B267" s="72"/>
      <c r="C267" s="72"/>
      <c r="D267" s="72"/>
      <c r="E267" s="72"/>
      <c r="F267" s="72"/>
      <c r="G267" s="73" t="e">
        <f t="shared" ref="G267:G298" si="44">VLOOKUP(D267,$S$3:$T$64,2,0)</f>
        <v>#N/A</v>
      </c>
      <c r="H267" s="73" t="e">
        <f t="shared" si="36"/>
        <v>#N/A</v>
      </c>
      <c r="I267" s="73" t="b">
        <f t="shared" si="43"/>
        <v>0</v>
      </c>
      <c r="J267" s="72"/>
      <c r="K267" s="74"/>
      <c r="M267" s="99"/>
      <c r="N267" s="80" t="e">
        <f t="shared" si="42"/>
        <v>#N/A</v>
      </c>
      <c r="O267" s="76" t="e">
        <f t="shared" si="41"/>
        <v>#N/A</v>
      </c>
      <c r="P267" s="103"/>
    </row>
    <row r="268" spans="1:16" x14ac:dyDescent="0.25">
      <c r="A268" s="95"/>
      <c r="B268" s="72"/>
      <c r="C268" s="72"/>
      <c r="D268" s="72"/>
      <c r="E268" s="72"/>
      <c r="F268" s="72"/>
      <c r="G268" s="73" t="e">
        <f t="shared" si="44"/>
        <v>#N/A</v>
      </c>
      <c r="H268" s="73" t="e">
        <f t="shared" si="36"/>
        <v>#N/A</v>
      </c>
      <c r="I268" s="73" t="b">
        <f t="shared" si="43"/>
        <v>0</v>
      </c>
      <c r="J268" s="72"/>
      <c r="K268" s="74"/>
      <c r="M268" s="99"/>
      <c r="N268" s="80" t="e">
        <f t="shared" si="42"/>
        <v>#N/A</v>
      </c>
      <c r="O268" s="76" t="e">
        <f t="shared" si="41"/>
        <v>#N/A</v>
      </c>
      <c r="P268" s="103"/>
    </row>
    <row r="269" spans="1:16" x14ac:dyDescent="0.25">
      <c r="A269" s="95"/>
      <c r="B269" s="72"/>
      <c r="C269" s="72"/>
      <c r="D269" s="72"/>
      <c r="E269" s="72"/>
      <c r="F269" s="72"/>
      <c r="G269" s="73" t="e">
        <f t="shared" si="44"/>
        <v>#N/A</v>
      </c>
      <c r="H269" s="73" t="e">
        <f t="shared" si="36"/>
        <v>#N/A</v>
      </c>
      <c r="I269" s="73" t="b">
        <f t="shared" si="43"/>
        <v>0</v>
      </c>
      <c r="J269" s="72"/>
      <c r="K269" s="74"/>
      <c r="M269" s="99"/>
      <c r="N269" s="80" t="e">
        <f t="shared" si="42"/>
        <v>#N/A</v>
      </c>
      <c r="O269" s="76" t="e">
        <f t="shared" si="41"/>
        <v>#N/A</v>
      </c>
      <c r="P269" s="103"/>
    </row>
    <row r="270" spans="1:16" x14ac:dyDescent="0.25">
      <c r="A270" s="95"/>
      <c r="B270" s="72"/>
      <c r="C270" s="72"/>
      <c r="D270" s="72"/>
      <c r="E270" s="72"/>
      <c r="F270" s="72"/>
      <c r="G270" s="73" t="e">
        <f t="shared" si="44"/>
        <v>#N/A</v>
      </c>
      <c r="H270" s="73" t="e">
        <f t="shared" si="36"/>
        <v>#N/A</v>
      </c>
      <c r="I270" s="73" t="b">
        <f t="shared" si="43"/>
        <v>0</v>
      </c>
      <c r="J270" s="72"/>
      <c r="K270" s="74"/>
      <c r="M270" s="99"/>
      <c r="N270" s="80" t="e">
        <f t="shared" si="42"/>
        <v>#N/A</v>
      </c>
      <c r="O270" s="76" t="e">
        <f t="shared" si="41"/>
        <v>#N/A</v>
      </c>
      <c r="P270" s="103"/>
    </row>
    <row r="271" spans="1:16" x14ac:dyDescent="0.25">
      <c r="A271" s="95"/>
      <c r="B271" s="72"/>
      <c r="C271" s="72"/>
      <c r="D271" s="72"/>
      <c r="E271" s="72"/>
      <c r="F271" s="72"/>
      <c r="G271" s="73" t="e">
        <f t="shared" si="44"/>
        <v>#N/A</v>
      </c>
      <c r="H271" s="73" t="e">
        <f t="shared" si="36"/>
        <v>#N/A</v>
      </c>
      <c r="I271" s="73" t="b">
        <f t="shared" si="43"/>
        <v>0</v>
      </c>
      <c r="J271" s="72"/>
      <c r="K271" s="74"/>
      <c r="M271" s="99"/>
      <c r="N271" s="80" t="e">
        <f t="shared" si="42"/>
        <v>#N/A</v>
      </c>
      <c r="O271" s="76" t="e">
        <f t="shared" si="41"/>
        <v>#N/A</v>
      </c>
      <c r="P271" s="103"/>
    </row>
    <row r="272" spans="1:16" x14ac:dyDescent="0.25">
      <c r="A272" s="95"/>
      <c r="B272" s="72"/>
      <c r="C272" s="72"/>
      <c r="D272" s="72"/>
      <c r="E272" s="72"/>
      <c r="F272" s="72"/>
      <c r="G272" s="73" t="e">
        <f t="shared" si="44"/>
        <v>#N/A</v>
      </c>
      <c r="H272" s="73" t="e">
        <f t="shared" si="36"/>
        <v>#N/A</v>
      </c>
      <c r="I272" s="73" t="b">
        <f t="shared" si="43"/>
        <v>0</v>
      </c>
      <c r="J272" s="72"/>
      <c r="K272" s="74"/>
      <c r="M272" s="99"/>
      <c r="N272" s="80" t="e">
        <f t="shared" si="42"/>
        <v>#N/A</v>
      </c>
      <c r="O272" s="76" t="e">
        <f t="shared" si="41"/>
        <v>#N/A</v>
      </c>
      <c r="P272" s="103"/>
    </row>
    <row r="273" spans="1:16" x14ac:dyDescent="0.25">
      <c r="A273" s="95"/>
      <c r="B273" s="72"/>
      <c r="C273" s="72"/>
      <c r="D273" s="72"/>
      <c r="E273" s="72"/>
      <c r="F273" s="72"/>
      <c r="G273" s="73" t="e">
        <f t="shared" si="44"/>
        <v>#N/A</v>
      </c>
      <c r="H273" s="73" t="e">
        <f t="shared" si="36"/>
        <v>#N/A</v>
      </c>
      <c r="I273" s="73" t="b">
        <f t="shared" si="43"/>
        <v>0</v>
      </c>
      <c r="J273" s="72"/>
      <c r="K273" s="74"/>
      <c r="M273" s="99"/>
      <c r="N273" s="80" t="e">
        <f t="shared" si="42"/>
        <v>#N/A</v>
      </c>
      <c r="O273" s="76" t="e">
        <f t="shared" si="41"/>
        <v>#N/A</v>
      </c>
      <c r="P273" s="103"/>
    </row>
    <row r="274" spans="1:16" x14ac:dyDescent="0.25">
      <c r="A274" s="95"/>
      <c r="B274" s="72"/>
      <c r="C274" s="72"/>
      <c r="D274" s="72"/>
      <c r="E274" s="72"/>
      <c r="F274" s="72"/>
      <c r="G274" s="73" t="e">
        <f t="shared" si="44"/>
        <v>#N/A</v>
      </c>
      <c r="H274" s="73" t="e">
        <f t="shared" si="36"/>
        <v>#N/A</v>
      </c>
      <c r="I274" s="73" t="b">
        <f t="shared" si="43"/>
        <v>0</v>
      </c>
      <c r="J274" s="72"/>
      <c r="K274" s="74"/>
      <c r="M274" s="99"/>
      <c r="N274" s="80" t="e">
        <f t="shared" si="42"/>
        <v>#N/A</v>
      </c>
      <c r="O274" s="76" t="e">
        <f t="shared" si="41"/>
        <v>#N/A</v>
      </c>
      <c r="P274" s="103"/>
    </row>
    <row r="275" spans="1:16" x14ac:dyDescent="0.25">
      <c r="A275" s="95"/>
      <c r="B275" s="72"/>
      <c r="C275" s="72"/>
      <c r="D275" s="72"/>
      <c r="E275" s="72"/>
      <c r="F275" s="72"/>
      <c r="G275" s="73" t="e">
        <f t="shared" si="44"/>
        <v>#N/A</v>
      </c>
      <c r="H275" s="73" t="e">
        <f t="shared" si="36"/>
        <v>#N/A</v>
      </c>
      <c r="I275" s="73" t="b">
        <f t="shared" si="43"/>
        <v>0</v>
      </c>
      <c r="J275" s="72"/>
      <c r="K275" s="74"/>
      <c r="M275" s="99"/>
      <c r="N275" s="80" t="e">
        <f t="shared" si="42"/>
        <v>#N/A</v>
      </c>
      <c r="O275" s="76" t="e">
        <f t="shared" si="41"/>
        <v>#N/A</v>
      </c>
      <c r="P275" s="103"/>
    </row>
    <row r="276" spans="1:16" x14ac:dyDescent="0.25">
      <c r="A276" s="95"/>
      <c r="B276" s="72"/>
      <c r="C276" s="72"/>
      <c r="D276" s="72"/>
      <c r="E276" s="72"/>
      <c r="F276" s="72"/>
      <c r="G276" s="73" t="e">
        <f t="shared" si="44"/>
        <v>#N/A</v>
      </c>
      <c r="H276" s="73" t="e">
        <f t="shared" ref="H276:H339" si="45">F276*G276</f>
        <v>#N/A</v>
      </c>
      <c r="I276" s="73" t="b">
        <f t="shared" si="43"/>
        <v>0</v>
      </c>
      <c r="J276" s="72"/>
      <c r="K276" s="74"/>
      <c r="M276" s="99"/>
      <c r="N276" s="80" t="e">
        <f t="shared" si="42"/>
        <v>#N/A</v>
      </c>
      <c r="O276" s="76" t="e">
        <f t="shared" si="41"/>
        <v>#N/A</v>
      </c>
      <c r="P276" s="103"/>
    </row>
    <row r="277" spans="1:16" x14ac:dyDescent="0.25">
      <c r="A277" s="95"/>
      <c r="B277" s="72"/>
      <c r="C277" s="72"/>
      <c r="D277" s="72"/>
      <c r="E277" s="72"/>
      <c r="F277" s="72"/>
      <c r="G277" s="73" t="e">
        <f t="shared" si="44"/>
        <v>#N/A</v>
      </c>
      <c r="H277" s="73" t="e">
        <f t="shared" si="45"/>
        <v>#N/A</v>
      </c>
      <c r="I277" s="73" t="b">
        <f t="shared" si="43"/>
        <v>0</v>
      </c>
      <c r="J277" s="72"/>
      <c r="K277" s="74"/>
      <c r="M277" s="99"/>
      <c r="N277" s="80" t="e">
        <f t="shared" si="42"/>
        <v>#N/A</v>
      </c>
      <c r="O277" s="76" t="e">
        <f t="shared" si="41"/>
        <v>#N/A</v>
      </c>
      <c r="P277" s="103"/>
    </row>
    <row r="278" spans="1:16" x14ac:dyDescent="0.25">
      <c r="A278" s="95"/>
      <c r="B278" s="72"/>
      <c r="C278" s="72"/>
      <c r="D278" s="72"/>
      <c r="E278" s="72"/>
      <c r="F278" s="72"/>
      <c r="G278" s="73" t="e">
        <f t="shared" si="44"/>
        <v>#N/A</v>
      </c>
      <c r="H278" s="73" t="e">
        <f t="shared" si="45"/>
        <v>#N/A</v>
      </c>
      <c r="I278" s="73" t="b">
        <f t="shared" si="43"/>
        <v>0</v>
      </c>
      <c r="J278" s="72"/>
      <c r="K278" s="74"/>
      <c r="M278" s="99"/>
      <c r="N278" s="80" t="e">
        <f t="shared" si="42"/>
        <v>#N/A</v>
      </c>
      <c r="O278" s="76" t="e">
        <f t="shared" si="41"/>
        <v>#N/A</v>
      </c>
      <c r="P278" s="103"/>
    </row>
    <row r="279" spans="1:16" x14ac:dyDescent="0.25">
      <c r="A279" s="95"/>
      <c r="B279" s="72"/>
      <c r="C279" s="72"/>
      <c r="D279" s="72"/>
      <c r="E279" s="72"/>
      <c r="F279" s="72"/>
      <c r="G279" s="73" t="e">
        <f t="shared" si="44"/>
        <v>#N/A</v>
      </c>
      <c r="H279" s="73" t="e">
        <f t="shared" si="45"/>
        <v>#N/A</v>
      </c>
      <c r="I279" s="73" t="b">
        <f t="shared" si="43"/>
        <v>0</v>
      </c>
      <c r="J279" s="72"/>
      <c r="K279" s="74"/>
      <c r="M279" s="99"/>
      <c r="N279" s="80" t="e">
        <f t="shared" si="42"/>
        <v>#N/A</v>
      </c>
      <c r="O279" s="76" t="e">
        <f t="shared" si="41"/>
        <v>#N/A</v>
      </c>
      <c r="P279" s="103"/>
    </row>
    <row r="280" spans="1:16" x14ac:dyDescent="0.25">
      <c r="A280" s="95"/>
      <c r="B280" s="72"/>
      <c r="C280" s="72"/>
      <c r="D280" s="72"/>
      <c r="E280" s="72"/>
      <c r="F280" s="72"/>
      <c r="G280" s="73" t="e">
        <f t="shared" si="44"/>
        <v>#N/A</v>
      </c>
      <c r="H280" s="73" t="e">
        <f t="shared" si="45"/>
        <v>#N/A</v>
      </c>
      <c r="I280" s="73" t="b">
        <f t="shared" si="43"/>
        <v>0</v>
      </c>
      <c r="J280" s="72"/>
      <c r="K280" s="74"/>
      <c r="M280" s="99"/>
      <c r="N280" s="80" t="e">
        <f t="shared" si="42"/>
        <v>#N/A</v>
      </c>
      <c r="O280" s="76" t="e">
        <f t="shared" ref="O280:O311" si="46">N280*F280</f>
        <v>#N/A</v>
      </c>
      <c r="P280" s="103"/>
    </row>
    <row r="281" spans="1:16" x14ac:dyDescent="0.25">
      <c r="A281" s="95"/>
      <c r="B281" s="72"/>
      <c r="C281" s="72"/>
      <c r="D281" s="72"/>
      <c r="E281" s="72"/>
      <c r="F281" s="72"/>
      <c r="G281" s="73" t="e">
        <f t="shared" si="44"/>
        <v>#N/A</v>
      </c>
      <c r="H281" s="73" t="e">
        <f t="shared" si="45"/>
        <v>#N/A</v>
      </c>
      <c r="I281" s="73" t="b">
        <f t="shared" si="43"/>
        <v>0</v>
      </c>
      <c r="J281" s="72"/>
      <c r="K281" s="74"/>
      <c r="M281" s="99"/>
      <c r="N281" s="80" t="e">
        <f t="shared" si="42"/>
        <v>#N/A</v>
      </c>
      <c r="O281" s="76" t="e">
        <f t="shared" si="46"/>
        <v>#N/A</v>
      </c>
      <c r="P281" s="103"/>
    </row>
    <row r="282" spans="1:16" x14ac:dyDescent="0.25">
      <c r="A282" s="95"/>
      <c r="B282" s="72"/>
      <c r="C282" s="72"/>
      <c r="D282" s="72"/>
      <c r="E282" s="72"/>
      <c r="F282" s="72"/>
      <c r="G282" s="73" t="e">
        <f t="shared" si="44"/>
        <v>#N/A</v>
      </c>
      <c r="H282" s="73" t="e">
        <f t="shared" si="45"/>
        <v>#N/A</v>
      </c>
      <c r="I282" s="73" t="b">
        <f t="shared" si="43"/>
        <v>0</v>
      </c>
      <c r="J282" s="72"/>
      <c r="K282" s="74"/>
      <c r="M282" s="99"/>
      <c r="N282" s="80" t="e">
        <f t="shared" si="42"/>
        <v>#N/A</v>
      </c>
      <c r="O282" s="76" t="e">
        <f t="shared" si="46"/>
        <v>#N/A</v>
      </c>
      <c r="P282" s="103"/>
    </row>
    <row r="283" spans="1:16" x14ac:dyDescent="0.25">
      <c r="A283" s="95"/>
      <c r="B283" s="72"/>
      <c r="C283" s="72"/>
      <c r="D283" s="72"/>
      <c r="E283" s="72"/>
      <c r="F283" s="72"/>
      <c r="G283" s="73" t="e">
        <f t="shared" si="44"/>
        <v>#N/A</v>
      </c>
      <c r="H283" s="73" t="e">
        <f t="shared" si="45"/>
        <v>#N/A</v>
      </c>
      <c r="I283" s="73" t="b">
        <f t="shared" si="43"/>
        <v>0</v>
      </c>
      <c r="J283" s="72"/>
      <c r="K283" s="74"/>
      <c r="M283" s="99"/>
      <c r="N283" s="80" t="e">
        <f t="shared" si="42"/>
        <v>#N/A</v>
      </c>
      <c r="O283" s="76" t="e">
        <f t="shared" si="46"/>
        <v>#N/A</v>
      </c>
      <c r="P283" s="103"/>
    </row>
    <row r="284" spans="1:16" x14ac:dyDescent="0.25">
      <c r="A284" s="95"/>
      <c r="B284" s="72"/>
      <c r="C284" s="72"/>
      <c r="D284" s="72"/>
      <c r="E284" s="72"/>
      <c r="F284" s="72"/>
      <c r="G284" s="73" t="e">
        <f t="shared" si="44"/>
        <v>#N/A</v>
      </c>
      <c r="H284" s="73" t="e">
        <f t="shared" si="45"/>
        <v>#N/A</v>
      </c>
      <c r="I284" s="73" t="b">
        <f t="shared" si="43"/>
        <v>0</v>
      </c>
      <c r="J284" s="72"/>
      <c r="K284" s="74"/>
      <c r="M284" s="99"/>
      <c r="N284" s="80" t="e">
        <f t="shared" ref="N284:N315" si="47">VLOOKUP(M284,$S$3:$U$64,3,0)</f>
        <v>#N/A</v>
      </c>
      <c r="O284" s="76" t="e">
        <f t="shared" si="46"/>
        <v>#N/A</v>
      </c>
      <c r="P284" s="103"/>
    </row>
    <row r="285" spans="1:16" x14ac:dyDescent="0.25">
      <c r="A285" s="95"/>
      <c r="B285" s="72"/>
      <c r="C285" s="72"/>
      <c r="D285" s="72"/>
      <c r="E285" s="72"/>
      <c r="F285" s="72"/>
      <c r="G285" s="73" t="e">
        <f t="shared" si="44"/>
        <v>#N/A</v>
      </c>
      <c r="H285" s="73" t="e">
        <f t="shared" si="45"/>
        <v>#N/A</v>
      </c>
      <c r="I285" s="73" t="b">
        <f t="shared" si="43"/>
        <v>0</v>
      </c>
      <c r="J285" s="72"/>
      <c r="K285" s="74"/>
      <c r="M285" s="99"/>
      <c r="N285" s="80" t="e">
        <f t="shared" si="47"/>
        <v>#N/A</v>
      </c>
      <c r="O285" s="76" t="e">
        <f t="shared" si="46"/>
        <v>#N/A</v>
      </c>
      <c r="P285" s="103"/>
    </row>
    <row r="286" spans="1:16" x14ac:dyDescent="0.25">
      <c r="A286" s="95"/>
      <c r="B286" s="72"/>
      <c r="C286" s="72"/>
      <c r="D286" s="72"/>
      <c r="E286" s="72"/>
      <c r="F286" s="72"/>
      <c r="G286" s="73" t="e">
        <f t="shared" si="44"/>
        <v>#N/A</v>
      </c>
      <c r="H286" s="73" t="e">
        <f t="shared" si="45"/>
        <v>#N/A</v>
      </c>
      <c r="I286" s="73" t="b">
        <f t="shared" si="43"/>
        <v>0</v>
      </c>
      <c r="J286" s="72"/>
      <c r="K286" s="74"/>
      <c r="M286" s="99"/>
      <c r="N286" s="80" t="e">
        <f t="shared" si="47"/>
        <v>#N/A</v>
      </c>
      <c r="O286" s="76" t="e">
        <f t="shared" si="46"/>
        <v>#N/A</v>
      </c>
      <c r="P286" s="103"/>
    </row>
    <row r="287" spans="1:16" x14ac:dyDescent="0.25">
      <c r="A287" s="95"/>
      <c r="B287" s="72"/>
      <c r="C287" s="72"/>
      <c r="D287" s="72"/>
      <c r="E287" s="72"/>
      <c r="F287" s="72"/>
      <c r="G287" s="73" t="e">
        <f t="shared" si="44"/>
        <v>#N/A</v>
      </c>
      <c r="H287" s="73" t="e">
        <f t="shared" si="45"/>
        <v>#N/A</v>
      </c>
      <c r="I287" s="73" t="b">
        <f t="shared" si="43"/>
        <v>0</v>
      </c>
      <c r="J287" s="72"/>
      <c r="K287" s="74"/>
      <c r="M287" s="99"/>
      <c r="N287" s="80" t="e">
        <f t="shared" si="47"/>
        <v>#N/A</v>
      </c>
      <c r="O287" s="76" t="e">
        <f t="shared" si="46"/>
        <v>#N/A</v>
      </c>
      <c r="P287" s="103"/>
    </row>
    <row r="288" spans="1:16" x14ac:dyDescent="0.25">
      <c r="A288" s="95"/>
      <c r="B288" s="72"/>
      <c r="C288" s="72"/>
      <c r="D288" s="72"/>
      <c r="E288" s="72"/>
      <c r="F288" s="72"/>
      <c r="G288" s="73" t="e">
        <f t="shared" si="44"/>
        <v>#N/A</v>
      </c>
      <c r="H288" s="73" t="e">
        <f t="shared" si="45"/>
        <v>#N/A</v>
      </c>
      <c r="I288" s="73" t="b">
        <f t="shared" si="43"/>
        <v>0</v>
      </c>
      <c r="J288" s="72"/>
      <c r="K288" s="74"/>
      <c r="M288" s="99"/>
      <c r="N288" s="80" t="e">
        <f t="shared" si="47"/>
        <v>#N/A</v>
      </c>
      <c r="O288" s="76" t="e">
        <f t="shared" si="46"/>
        <v>#N/A</v>
      </c>
      <c r="P288" s="103"/>
    </row>
    <row r="289" spans="1:16" x14ac:dyDescent="0.25">
      <c r="A289" s="95"/>
      <c r="B289" s="72"/>
      <c r="C289" s="72"/>
      <c r="D289" s="72"/>
      <c r="E289" s="72"/>
      <c r="F289" s="72"/>
      <c r="G289" s="73" t="e">
        <f t="shared" si="44"/>
        <v>#N/A</v>
      </c>
      <c r="H289" s="73" t="e">
        <f t="shared" si="45"/>
        <v>#N/A</v>
      </c>
      <c r="I289" s="73" t="b">
        <f t="shared" si="43"/>
        <v>0</v>
      </c>
      <c r="J289" s="72"/>
      <c r="K289" s="74"/>
      <c r="M289" s="99"/>
      <c r="N289" s="80" t="e">
        <f t="shared" si="47"/>
        <v>#N/A</v>
      </c>
      <c r="O289" s="76" t="e">
        <f t="shared" si="46"/>
        <v>#N/A</v>
      </c>
      <c r="P289" s="103"/>
    </row>
    <row r="290" spans="1:16" x14ac:dyDescent="0.25">
      <c r="A290" s="95"/>
      <c r="B290" s="72"/>
      <c r="C290" s="72"/>
      <c r="D290" s="72"/>
      <c r="E290" s="72"/>
      <c r="F290" s="72"/>
      <c r="G290" s="73" t="e">
        <f t="shared" si="44"/>
        <v>#N/A</v>
      </c>
      <c r="H290" s="73" t="e">
        <f t="shared" si="45"/>
        <v>#N/A</v>
      </c>
      <c r="I290" s="73" t="b">
        <f t="shared" si="43"/>
        <v>0</v>
      </c>
      <c r="J290" s="72"/>
      <c r="K290" s="74"/>
      <c r="M290" s="99"/>
      <c r="N290" s="80" t="e">
        <f t="shared" si="47"/>
        <v>#N/A</v>
      </c>
      <c r="O290" s="76" t="e">
        <f t="shared" si="46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44"/>
        <v>#N/A</v>
      </c>
      <c r="H291" s="73" t="e">
        <f t="shared" si="45"/>
        <v>#N/A</v>
      </c>
      <c r="I291" s="73" t="b">
        <f t="shared" si="43"/>
        <v>0</v>
      </c>
      <c r="J291" s="72"/>
      <c r="K291" s="74"/>
      <c r="M291" s="99"/>
      <c r="N291" s="80" t="e">
        <f t="shared" si="47"/>
        <v>#N/A</v>
      </c>
      <c r="O291" s="76" t="e">
        <f t="shared" si="46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si="44"/>
        <v>#N/A</v>
      </c>
      <c r="H292" s="73" t="e">
        <f t="shared" si="45"/>
        <v>#N/A</v>
      </c>
      <c r="I292" s="73" t="b">
        <f t="shared" si="43"/>
        <v>0</v>
      </c>
      <c r="J292" s="72"/>
      <c r="K292" s="74"/>
      <c r="M292" s="99"/>
      <c r="N292" s="80" t="e">
        <f t="shared" si="47"/>
        <v>#N/A</v>
      </c>
      <c r="O292" s="76" t="e">
        <f t="shared" si="46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si="44"/>
        <v>#N/A</v>
      </c>
      <c r="H293" s="73" t="e">
        <f t="shared" si="45"/>
        <v>#N/A</v>
      </c>
      <c r="I293" s="73" t="b">
        <f t="shared" si="43"/>
        <v>0</v>
      </c>
      <c r="J293" s="72"/>
      <c r="K293" s="74"/>
      <c r="M293" s="99"/>
      <c r="N293" s="80" t="e">
        <f t="shared" si="47"/>
        <v>#N/A</v>
      </c>
      <c r="O293" s="76" t="e">
        <f t="shared" si="46"/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44"/>
        <v>#N/A</v>
      </c>
      <c r="H294" s="73" t="e">
        <f t="shared" si="45"/>
        <v>#N/A</v>
      </c>
      <c r="I294" s="73" t="b">
        <f t="shared" si="43"/>
        <v>0</v>
      </c>
      <c r="J294" s="72"/>
      <c r="K294" s="74"/>
      <c r="M294" s="99"/>
      <c r="N294" s="80" t="e">
        <f t="shared" si="47"/>
        <v>#N/A</v>
      </c>
      <c r="O294" s="76" t="e">
        <f t="shared" si="46"/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si="44"/>
        <v>#N/A</v>
      </c>
      <c r="H295" s="73" t="e">
        <f t="shared" si="45"/>
        <v>#N/A</v>
      </c>
      <c r="I295" s="73" t="b">
        <f t="shared" si="43"/>
        <v>0</v>
      </c>
      <c r="J295" s="72"/>
      <c r="K295" s="74"/>
      <c r="M295" s="99"/>
      <c r="N295" s="80" t="e">
        <f t="shared" si="47"/>
        <v>#N/A</v>
      </c>
      <c r="O295" s="76" t="e">
        <f t="shared" si="46"/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44"/>
        <v>#N/A</v>
      </c>
      <c r="H296" s="73" t="e">
        <f t="shared" si="45"/>
        <v>#N/A</v>
      </c>
      <c r="I296" s="73" t="b">
        <f t="shared" si="43"/>
        <v>0</v>
      </c>
      <c r="J296" s="72"/>
      <c r="K296" s="74"/>
      <c r="M296" s="99"/>
      <c r="N296" s="80" t="e">
        <f t="shared" si="47"/>
        <v>#N/A</v>
      </c>
      <c r="O296" s="76" t="e">
        <f t="shared" si="46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44"/>
        <v>#N/A</v>
      </c>
      <c r="H297" s="73" t="e">
        <f t="shared" si="45"/>
        <v>#N/A</v>
      </c>
      <c r="I297" s="73" t="b">
        <f t="shared" si="43"/>
        <v>0</v>
      </c>
      <c r="J297" s="72"/>
      <c r="K297" s="74"/>
      <c r="M297" s="99"/>
      <c r="N297" s="80" t="e">
        <f t="shared" si="47"/>
        <v>#N/A</v>
      </c>
      <c r="O297" s="76" t="e">
        <f t="shared" si="46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44"/>
        <v>#N/A</v>
      </c>
      <c r="H298" s="73" t="e">
        <f t="shared" si="45"/>
        <v>#N/A</v>
      </c>
      <c r="I298" s="73" t="b">
        <f t="shared" si="43"/>
        <v>0</v>
      </c>
      <c r="J298" s="72"/>
      <c r="K298" s="74"/>
      <c r="M298" s="99"/>
      <c r="N298" s="80" t="e">
        <f t="shared" si="47"/>
        <v>#N/A</v>
      </c>
      <c r="O298" s="76" t="e">
        <f t="shared" si="46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ref="G299:G330" si="48">VLOOKUP(D299,$S$3:$T$64,2,0)</f>
        <v>#N/A</v>
      </c>
      <c r="H299" s="73" t="e">
        <f t="shared" si="45"/>
        <v>#N/A</v>
      </c>
      <c r="I299" s="73" t="b">
        <f t="shared" si="43"/>
        <v>0</v>
      </c>
      <c r="J299" s="72"/>
      <c r="K299" s="74"/>
      <c r="M299" s="99"/>
      <c r="N299" s="80" t="e">
        <f t="shared" si="47"/>
        <v>#N/A</v>
      </c>
      <c r="O299" s="76" t="e">
        <f t="shared" si="46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48"/>
        <v>#N/A</v>
      </c>
      <c r="H300" s="73" t="e">
        <f t="shared" si="45"/>
        <v>#N/A</v>
      </c>
      <c r="I300" s="73" t="b">
        <f t="shared" si="43"/>
        <v>0</v>
      </c>
      <c r="J300" s="72"/>
      <c r="K300" s="74"/>
      <c r="M300" s="99"/>
      <c r="N300" s="80" t="e">
        <f t="shared" si="47"/>
        <v>#N/A</v>
      </c>
      <c r="O300" s="76" t="e">
        <f t="shared" si="46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48"/>
        <v>#N/A</v>
      </c>
      <c r="H301" s="73" t="e">
        <f t="shared" si="45"/>
        <v>#N/A</v>
      </c>
      <c r="I301" s="73" t="b">
        <f t="shared" si="43"/>
        <v>0</v>
      </c>
      <c r="J301" s="72"/>
      <c r="K301" s="74"/>
      <c r="M301" s="99"/>
      <c r="N301" s="80" t="e">
        <f t="shared" si="47"/>
        <v>#N/A</v>
      </c>
      <c r="O301" s="76" t="e">
        <f t="shared" si="46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si="48"/>
        <v>#N/A</v>
      </c>
      <c r="H302" s="73" t="e">
        <f t="shared" si="45"/>
        <v>#N/A</v>
      </c>
      <c r="I302" s="73" t="b">
        <f t="shared" si="43"/>
        <v>0</v>
      </c>
      <c r="J302" s="72"/>
      <c r="K302" s="74"/>
      <c r="M302" s="99"/>
      <c r="N302" s="80" t="e">
        <f t="shared" si="47"/>
        <v>#N/A</v>
      </c>
      <c r="O302" s="76" t="e">
        <f t="shared" si="46"/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48"/>
        <v>#N/A</v>
      </c>
      <c r="H303" s="73" t="e">
        <f t="shared" si="45"/>
        <v>#N/A</v>
      </c>
      <c r="I303" s="73" t="b">
        <f t="shared" si="43"/>
        <v>0</v>
      </c>
      <c r="J303" s="72"/>
      <c r="K303" s="74"/>
      <c r="M303" s="99"/>
      <c r="N303" s="80" t="e">
        <f t="shared" si="47"/>
        <v>#N/A</v>
      </c>
      <c r="O303" s="76" t="e">
        <f t="shared" si="46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48"/>
        <v>#N/A</v>
      </c>
      <c r="H304" s="73" t="e">
        <f t="shared" si="45"/>
        <v>#N/A</v>
      </c>
      <c r="I304" s="73" t="b">
        <f t="shared" si="43"/>
        <v>0</v>
      </c>
      <c r="J304" s="72"/>
      <c r="K304" s="74"/>
      <c r="M304" s="99"/>
      <c r="N304" s="80" t="e">
        <f t="shared" si="47"/>
        <v>#N/A</v>
      </c>
      <c r="O304" s="76" t="e">
        <f t="shared" si="46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48"/>
        <v>#N/A</v>
      </c>
      <c r="H305" s="73" t="e">
        <f t="shared" si="45"/>
        <v>#N/A</v>
      </c>
      <c r="I305" s="73" t="b">
        <f t="shared" si="43"/>
        <v>0</v>
      </c>
      <c r="J305" s="72"/>
      <c r="K305" s="74"/>
      <c r="M305" s="99"/>
      <c r="N305" s="80" t="e">
        <f t="shared" si="47"/>
        <v>#N/A</v>
      </c>
      <c r="O305" s="80" t="e">
        <f t="shared" si="46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48"/>
        <v>#N/A</v>
      </c>
      <c r="H306" s="73" t="e">
        <f t="shared" si="45"/>
        <v>#N/A</v>
      </c>
      <c r="I306" s="73" t="b">
        <f t="shared" si="43"/>
        <v>0</v>
      </c>
      <c r="J306" s="72"/>
      <c r="K306" s="74"/>
      <c r="M306" s="99"/>
      <c r="N306" s="80" t="e">
        <f t="shared" si="47"/>
        <v>#N/A</v>
      </c>
      <c r="O306" s="80" t="e">
        <f t="shared" si="46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48"/>
        <v>#N/A</v>
      </c>
      <c r="H307" s="73" t="e">
        <f t="shared" si="45"/>
        <v>#N/A</v>
      </c>
      <c r="I307" s="73" t="b">
        <f t="shared" si="43"/>
        <v>0</v>
      </c>
      <c r="J307" s="72"/>
      <c r="K307" s="74"/>
      <c r="M307" s="99"/>
      <c r="N307" s="80" t="e">
        <f t="shared" si="47"/>
        <v>#N/A</v>
      </c>
      <c r="O307" s="80" t="e">
        <f t="shared" si="46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48"/>
        <v>#N/A</v>
      </c>
      <c r="H308" s="73" t="e">
        <f t="shared" si="45"/>
        <v>#N/A</v>
      </c>
      <c r="I308" s="73" t="b">
        <f t="shared" si="43"/>
        <v>0</v>
      </c>
      <c r="J308" s="72"/>
      <c r="K308" s="74"/>
      <c r="M308" s="99"/>
      <c r="N308" s="80" t="e">
        <f t="shared" si="47"/>
        <v>#N/A</v>
      </c>
      <c r="O308" s="80" t="e">
        <f t="shared" si="46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48"/>
        <v>#N/A</v>
      </c>
      <c r="H309" s="73" t="e">
        <f t="shared" si="45"/>
        <v>#N/A</v>
      </c>
      <c r="I309" s="73" t="b">
        <f t="shared" si="43"/>
        <v>0</v>
      </c>
      <c r="J309" s="72"/>
      <c r="K309" s="74"/>
      <c r="M309" s="99"/>
      <c r="N309" s="80" t="e">
        <f t="shared" si="47"/>
        <v>#N/A</v>
      </c>
      <c r="O309" s="80" t="e">
        <f t="shared" si="46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48"/>
        <v>#N/A</v>
      </c>
      <c r="H310" s="73" t="e">
        <f t="shared" si="45"/>
        <v>#N/A</v>
      </c>
      <c r="I310" s="73" t="b">
        <f t="shared" si="43"/>
        <v>0</v>
      </c>
      <c r="J310" s="72"/>
      <c r="K310" s="74"/>
      <c r="M310" s="99"/>
      <c r="N310" s="80" t="e">
        <f t="shared" si="47"/>
        <v>#N/A</v>
      </c>
      <c r="O310" s="80" t="e">
        <f t="shared" si="46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48"/>
        <v>#N/A</v>
      </c>
      <c r="H311" s="73" t="e">
        <f t="shared" si="45"/>
        <v>#N/A</v>
      </c>
      <c r="I311" s="73" t="b">
        <f t="shared" si="43"/>
        <v>0</v>
      </c>
      <c r="J311" s="72"/>
      <c r="K311" s="74"/>
      <c r="M311" s="99"/>
      <c r="N311" s="80" t="e">
        <f t="shared" si="47"/>
        <v>#N/A</v>
      </c>
      <c r="O311" s="80" t="e">
        <f t="shared" si="46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48"/>
        <v>#N/A</v>
      </c>
      <c r="H312" s="73" t="e">
        <f t="shared" si="45"/>
        <v>#N/A</v>
      </c>
      <c r="I312" s="73" t="b">
        <f t="shared" si="43"/>
        <v>0</v>
      </c>
      <c r="J312" s="72"/>
      <c r="K312" s="74"/>
      <c r="M312" s="99"/>
      <c r="N312" s="80" t="e">
        <f t="shared" si="47"/>
        <v>#N/A</v>
      </c>
      <c r="O312" s="80" t="e">
        <f t="shared" ref="O312:O343" si="49">N312*F312</f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48"/>
        <v>#N/A</v>
      </c>
      <c r="H313" s="73" t="e">
        <f t="shared" si="45"/>
        <v>#N/A</v>
      </c>
      <c r="I313" s="73" t="b">
        <f t="shared" si="43"/>
        <v>0</v>
      </c>
      <c r="J313" s="72"/>
      <c r="K313" s="74"/>
      <c r="M313" s="99"/>
      <c r="N313" s="80" t="e">
        <f t="shared" si="47"/>
        <v>#N/A</v>
      </c>
      <c r="O313" s="80" t="e">
        <f t="shared" si="49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48"/>
        <v>#N/A</v>
      </c>
      <c r="H314" s="73" t="e">
        <f t="shared" si="45"/>
        <v>#N/A</v>
      </c>
      <c r="I314" s="73" t="b">
        <f t="shared" si="43"/>
        <v>0</v>
      </c>
      <c r="J314" s="72"/>
      <c r="K314" s="74"/>
      <c r="M314" s="99"/>
      <c r="N314" s="80" t="e">
        <f t="shared" si="47"/>
        <v>#N/A</v>
      </c>
      <c r="O314" s="80" t="e">
        <f t="shared" si="49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48"/>
        <v>#N/A</v>
      </c>
      <c r="H315" s="73" t="e">
        <f t="shared" si="45"/>
        <v>#N/A</v>
      </c>
      <c r="I315" s="73" t="b">
        <f t="shared" si="43"/>
        <v>0</v>
      </c>
      <c r="J315" s="72"/>
      <c r="K315" s="74"/>
      <c r="M315" s="99"/>
      <c r="N315" s="80" t="e">
        <f t="shared" si="47"/>
        <v>#N/A</v>
      </c>
      <c r="O315" s="80" t="e">
        <f t="shared" si="49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48"/>
        <v>#N/A</v>
      </c>
      <c r="H316" s="73" t="e">
        <f t="shared" si="45"/>
        <v>#N/A</v>
      </c>
      <c r="I316" s="73" t="b">
        <f t="shared" si="43"/>
        <v>0</v>
      </c>
      <c r="J316" s="72"/>
      <c r="K316" s="74"/>
      <c r="M316" s="99"/>
      <c r="N316" s="80" t="e">
        <f t="shared" ref="N316:N347" si="50">VLOOKUP(M316,$S$3:$U$64,3,0)</f>
        <v>#N/A</v>
      </c>
      <c r="O316" s="80" t="e">
        <f t="shared" si="49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48"/>
        <v>#N/A</v>
      </c>
      <c r="H317" s="73" t="e">
        <f t="shared" si="45"/>
        <v>#N/A</v>
      </c>
      <c r="I317" s="73" t="b">
        <f t="shared" si="43"/>
        <v>0</v>
      </c>
      <c r="J317" s="72"/>
      <c r="K317" s="74"/>
      <c r="M317" s="99"/>
      <c r="N317" s="80" t="e">
        <f t="shared" si="50"/>
        <v>#N/A</v>
      </c>
      <c r="O317" s="80" t="e">
        <f t="shared" si="49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48"/>
        <v>#N/A</v>
      </c>
      <c r="H318" s="73" t="e">
        <f t="shared" si="45"/>
        <v>#N/A</v>
      </c>
      <c r="I318" s="73" t="b">
        <f t="shared" si="43"/>
        <v>0</v>
      </c>
      <c r="J318" s="72"/>
      <c r="K318" s="74"/>
      <c r="M318" s="99"/>
      <c r="N318" s="80" t="e">
        <f t="shared" si="50"/>
        <v>#N/A</v>
      </c>
      <c r="O318" s="80" t="e">
        <f t="shared" si="49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48"/>
        <v>#N/A</v>
      </c>
      <c r="H319" s="73" t="e">
        <f t="shared" si="45"/>
        <v>#N/A</v>
      </c>
      <c r="I319" s="73" t="b">
        <f t="shared" si="43"/>
        <v>0</v>
      </c>
      <c r="J319" s="72"/>
      <c r="K319" s="74"/>
      <c r="M319" s="99"/>
      <c r="N319" s="80" t="e">
        <f t="shared" si="50"/>
        <v>#N/A</v>
      </c>
      <c r="O319" s="80" t="e">
        <f t="shared" si="49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48"/>
        <v>#N/A</v>
      </c>
      <c r="H320" s="73" t="e">
        <f t="shared" si="45"/>
        <v>#N/A</v>
      </c>
      <c r="I320" s="73" t="b">
        <f t="shared" si="43"/>
        <v>0</v>
      </c>
      <c r="J320" s="72"/>
      <c r="K320" s="74"/>
      <c r="M320" s="99"/>
      <c r="N320" s="80" t="e">
        <f t="shared" si="50"/>
        <v>#N/A</v>
      </c>
      <c r="O320" s="80" t="e">
        <f t="shared" si="49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48"/>
        <v>#N/A</v>
      </c>
      <c r="H321" s="73" t="e">
        <f t="shared" si="45"/>
        <v>#N/A</v>
      </c>
      <c r="I321" s="73" t="b">
        <f t="shared" si="43"/>
        <v>0</v>
      </c>
      <c r="J321" s="72"/>
      <c r="K321" s="74"/>
      <c r="M321" s="99"/>
      <c r="N321" s="80" t="e">
        <f t="shared" si="50"/>
        <v>#N/A</v>
      </c>
      <c r="O321" s="80" t="e">
        <f t="shared" si="49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48"/>
        <v>#N/A</v>
      </c>
      <c r="H322" s="73" t="e">
        <f t="shared" si="45"/>
        <v>#N/A</v>
      </c>
      <c r="I322" s="73" t="b">
        <f t="shared" si="43"/>
        <v>0</v>
      </c>
      <c r="J322" s="72"/>
      <c r="K322" s="74"/>
      <c r="M322" s="99"/>
      <c r="N322" s="80" t="e">
        <f t="shared" si="50"/>
        <v>#N/A</v>
      </c>
      <c r="O322" s="80" t="e">
        <f t="shared" si="49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48"/>
        <v>#N/A</v>
      </c>
      <c r="H323" s="73" t="e">
        <f t="shared" si="45"/>
        <v>#N/A</v>
      </c>
      <c r="I323" s="73" t="b">
        <f t="shared" ref="I323:I373" si="51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99"/>
      <c r="N323" s="80" t="e">
        <f t="shared" si="50"/>
        <v>#N/A</v>
      </c>
      <c r="O323" s="80" t="e">
        <f t="shared" si="49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48"/>
        <v>#N/A</v>
      </c>
      <c r="H324" s="73" t="e">
        <f t="shared" si="45"/>
        <v>#N/A</v>
      </c>
      <c r="I324" s="73" t="b">
        <f t="shared" si="51"/>
        <v>0</v>
      </c>
      <c r="J324" s="72"/>
      <c r="K324" s="74"/>
      <c r="M324" s="99"/>
      <c r="N324" s="80" t="e">
        <f t="shared" si="50"/>
        <v>#N/A</v>
      </c>
      <c r="O324" s="80" t="e">
        <f t="shared" si="49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48"/>
        <v>#N/A</v>
      </c>
      <c r="H325" s="73" t="e">
        <f t="shared" si="45"/>
        <v>#N/A</v>
      </c>
      <c r="I325" s="73" t="b">
        <f t="shared" si="51"/>
        <v>0</v>
      </c>
      <c r="J325" s="72"/>
      <c r="K325" s="74"/>
      <c r="M325" s="99"/>
      <c r="N325" s="80" t="e">
        <f t="shared" si="50"/>
        <v>#N/A</v>
      </c>
      <c r="O325" s="80" t="e">
        <f t="shared" si="49"/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48"/>
        <v>#N/A</v>
      </c>
      <c r="H326" s="73" t="e">
        <f t="shared" si="45"/>
        <v>#N/A</v>
      </c>
      <c r="I326" s="73" t="b">
        <f t="shared" si="51"/>
        <v>0</v>
      </c>
      <c r="J326" s="72"/>
      <c r="K326" s="74"/>
      <c r="M326" s="99"/>
      <c r="N326" s="80" t="e">
        <f t="shared" si="50"/>
        <v>#N/A</v>
      </c>
      <c r="O326" s="80" t="e">
        <f t="shared" si="49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48"/>
        <v>#N/A</v>
      </c>
      <c r="H327" s="73" t="e">
        <f t="shared" si="45"/>
        <v>#N/A</v>
      </c>
      <c r="I327" s="73" t="b">
        <f t="shared" si="51"/>
        <v>0</v>
      </c>
      <c r="J327" s="72"/>
      <c r="K327" s="74"/>
      <c r="M327" s="99"/>
      <c r="N327" s="80" t="e">
        <f t="shared" si="50"/>
        <v>#N/A</v>
      </c>
      <c r="O327" s="80" t="e">
        <f t="shared" si="49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48"/>
        <v>#N/A</v>
      </c>
      <c r="H328" s="73" t="e">
        <f t="shared" si="45"/>
        <v>#N/A</v>
      </c>
      <c r="I328" s="73" t="b">
        <f t="shared" si="51"/>
        <v>0</v>
      </c>
      <c r="J328" s="72"/>
      <c r="K328" s="74"/>
      <c r="M328" s="99"/>
      <c r="N328" s="80" t="e">
        <f t="shared" si="50"/>
        <v>#N/A</v>
      </c>
      <c r="O328" s="80" t="e">
        <f t="shared" si="49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48"/>
        <v>#N/A</v>
      </c>
      <c r="H329" s="73" t="e">
        <f t="shared" si="45"/>
        <v>#N/A</v>
      </c>
      <c r="I329" s="73" t="b">
        <f t="shared" si="51"/>
        <v>0</v>
      </c>
      <c r="J329" s="72"/>
      <c r="K329" s="74"/>
      <c r="M329" s="99"/>
      <c r="N329" s="80" t="e">
        <f t="shared" si="50"/>
        <v>#N/A</v>
      </c>
      <c r="O329" s="80" t="e">
        <f t="shared" si="49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48"/>
        <v>#N/A</v>
      </c>
      <c r="H330" s="73" t="e">
        <f t="shared" si="45"/>
        <v>#N/A</v>
      </c>
      <c r="I330" s="73" t="b">
        <f t="shared" si="51"/>
        <v>0</v>
      </c>
      <c r="J330" s="72"/>
      <c r="K330" s="74"/>
      <c r="M330" s="99"/>
      <c r="N330" s="80" t="e">
        <f t="shared" si="50"/>
        <v>#N/A</v>
      </c>
      <c r="O330" s="80" t="e">
        <f t="shared" si="49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ref="G331:G362" si="52">VLOOKUP(D331,$S$3:$T$64,2,0)</f>
        <v>#N/A</v>
      </c>
      <c r="H331" s="73" t="e">
        <f t="shared" si="45"/>
        <v>#N/A</v>
      </c>
      <c r="I331" s="73" t="b">
        <f t="shared" si="51"/>
        <v>0</v>
      </c>
      <c r="J331" s="72"/>
      <c r="K331" s="74"/>
      <c r="M331" s="99"/>
      <c r="N331" s="80" t="e">
        <f t="shared" si="50"/>
        <v>#N/A</v>
      </c>
      <c r="O331" s="80" t="e">
        <f t="shared" si="49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52"/>
        <v>#N/A</v>
      </c>
      <c r="H332" s="73" t="e">
        <f t="shared" si="45"/>
        <v>#N/A</v>
      </c>
      <c r="I332" s="73" t="b">
        <f t="shared" si="51"/>
        <v>0</v>
      </c>
      <c r="J332" s="72"/>
      <c r="K332" s="74"/>
      <c r="M332" s="99"/>
      <c r="N332" s="80" t="e">
        <f t="shared" si="50"/>
        <v>#N/A</v>
      </c>
      <c r="O332" s="80" t="e">
        <f t="shared" si="49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52"/>
        <v>#N/A</v>
      </c>
      <c r="H333" s="73" t="e">
        <f t="shared" si="45"/>
        <v>#N/A</v>
      </c>
      <c r="I333" s="73" t="b">
        <f t="shared" si="51"/>
        <v>0</v>
      </c>
      <c r="J333" s="72"/>
      <c r="K333" s="74"/>
      <c r="M333" s="99"/>
      <c r="N333" s="80" t="e">
        <f t="shared" si="50"/>
        <v>#N/A</v>
      </c>
      <c r="O333" s="80" t="e">
        <f t="shared" si="49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52"/>
        <v>#N/A</v>
      </c>
      <c r="H334" s="73" t="e">
        <f t="shared" si="45"/>
        <v>#N/A</v>
      </c>
      <c r="I334" s="73" t="b">
        <f t="shared" si="51"/>
        <v>0</v>
      </c>
      <c r="J334" s="72"/>
      <c r="K334" s="74"/>
      <c r="M334" s="99"/>
      <c r="N334" s="80" t="e">
        <f t="shared" si="50"/>
        <v>#N/A</v>
      </c>
      <c r="O334" s="80" t="e">
        <f t="shared" si="49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52"/>
        <v>#N/A</v>
      </c>
      <c r="H335" s="73" t="e">
        <f t="shared" si="45"/>
        <v>#N/A</v>
      </c>
      <c r="I335" s="73" t="b">
        <f t="shared" si="51"/>
        <v>0</v>
      </c>
      <c r="J335" s="72"/>
      <c r="K335" s="74"/>
      <c r="M335" s="99"/>
      <c r="N335" s="80" t="e">
        <f t="shared" si="50"/>
        <v>#N/A</v>
      </c>
      <c r="O335" s="80" t="e">
        <f t="shared" si="49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52"/>
        <v>#N/A</v>
      </c>
      <c r="H336" s="73" t="e">
        <f t="shared" si="45"/>
        <v>#N/A</v>
      </c>
      <c r="I336" s="73" t="b">
        <f t="shared" si="51"/>
        <v>0</v>
      </c>
      <c r="J336" s="72"/>
      <c r="K336" s="74"/>
      <c r="M336" s="99"/>
      <c r="N336" s="80" t="e">
        <f t="shared" si="50"/>
        <v>#N/A</v>
      </c>
      <c r="O336" s="80" t="e">
        <f t="shared" si="49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52"/>
        <v>#N/A</v>
      </c>
      <c r="H337" s="73" t="e">
        <f t="shared" si="45"/>
        <v>#N/A</v>
      </c>
      <c r="I337" s="73" t="b">
        <f t="shared" si="51"/>
        <v>0</v>
      </c>
      <c r="J337" s="72"/>
      <c r="K337" s="74"/>
      <c r="M337" s="99"/>
      <c r="N337" s="80" t="e">
        <f t="shared" si="50"/>
        <v>#N/A</v>
      </c>
      <c r="O337" s="80" t="e">
        <f t="shared" si="49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52"/>
        <v>#N/A</v>
      </c>
      <c r="H338" s="73" t="e">
        <f t="shared" si="45"/>
        <v>#N/A</v>
      </c>
      <c r="I338" s="73" t="b">
        <f t="shared" si="51"/>
        <v>0</v>
      </c>
      <c r="J338" s="72"/>
      <c r="K338" s="74"/>
      <c r="M338" s="99"/>
      <c r="N338" s="80" t="e">
        <f t="shared" si="50"/>
        <v>#N/A</v>
      </c>
      <c r="O338" s="80" t="e">
        <f t="shared" si="49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52"/>
        <v>#N/A</v>
      </c>
      <c r="H339" s="73" t="e">
        <f t="shared" si="45"/>
        <v>#N/A</v>
      </c>
      <c r="I339" s="73" t="b">
        <f t="shared" si="51"/>
        <v>0</v>
      </c>
      <c r="J339" s="72"/>
      <c r="K339" s="74"/>
      <c r="M339" s="99"/>
      <c r="N339" s="80" t="e">
        <f t="shared" si="50"/>
        <v>#N/A</v>
      </c>
      <c r="O339" s="80" t="e">
        <f t="shared" si="49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52"/>
        <v>#N/A</v>
      </c>
      <c r="H340" s="73" t="e">
        <f t="shared" ref="H340:H373" si="53">F340*G340</f>
        <v>#N/A</v>
      </c>
      <c r="I340" s="73" t="b">
        <f t="shared" si="51"/>
        <v>0</v>
      </c>
      <c r="J340" s="72"/>
      <c r="K340" s="74"/>
      <c r="M340" s="99"/>
      <c r="N340" s="80" t="e">
        <f t="shared" si="50"/>
        <v>#N/A</v>
      </c>
      <c r="O340" s="80" t="e">
        <f t="shared" si="49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52"/>
        <v>#N/A</v>
      </c>
      <c r="H341" s="73" t="e">
        <f t="shared" si="53"/>
        <v>#N/A</v>
      </c>
      <c r="I341" s="73" t="b">
        <f t="shared" si="51"/>
        <v>0</v>
      </c>
      <c r="J341" s="72"/>
      <c r="K341" s="74"/>
      <c r="M341" s="99"/>
      <c r="N341" s="80" t="e">
        <f t="shared" si="50"/>
        <v>#N/A</v>
      </c>
      <c r="O341" s="80" t="e">
        <f t="shared" si="49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52"/>
        <v>#N/A</v>
      </c>
      <c r="H342" s="73" t="e">
        <f t="shared" si="53"/>
        <v>#N/A</v>
      </c>
      <c r="I342" s="73" t="b">
        <f t="shared" si="51"/>
        <v>0</v>
      </c>
      <c r="J342" s="72"/>
      <c r="K342" s="74"/>
      <c r="M342" s="99"/>
      <c r="N342" s="80" t="e">
        <f t="shared" si="50"/>
        <v>#N/A</v>
      </c>
      <c r="O342" s="80" t="e">
        <f t="shared" si="49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52"/>
        <v>#N/A</v>
      </c>
      <c r="H343" s="73" t="e">
        <f t="shared" si="53"/>
        <v>#N/A</v>
      </c>
      <c r="I343" s="73" t="b">
        <f t="shared" si="51"/>
        <v>0</v>
      </c>
      <c r="J343" s="72"/>
      <c r="K343" s="74"/>
      <c r="M343" s="99"/>
      <c r="N343" s="80" t="e">
        <f t="shared" si="50"/>
        <v>#N/A</v>
      </c>
      <c r="O343" s="80" t="e">
        <f t="shared" si="49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52"/>
        <v>#N/A</v>
      </c>
      <c r="H344" s="73" t="e">
        <f t="shared" si="53"/>
        <v>#N/A</v>
      </c>
      <c r="I344" s="73" t="b">
        <f t="shared" si="51"/>
        <v>0</v>
      </c>
      <c r="J344" s="72"/>
      <c r="K344" s="74"/>
      <c r="M344" s="99"/>
      <c r="N344" s="80" t="e">
        <f t="shared" si="50"/>
        <v>#N/A</v>
      </c>
      <c r="O344" s="80" t="e">
        <f t="shared" ref="O344:O373" si="54">N344*F344</f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52"/>
        <v>#N/A</v>
      </c>
      <c r="H345" s="73" t="e">
        <f t="shared" si="53"/>
        <v>#N/A</v>
      </c>
      <c r="I345" s="73" t="b">
        <f t="shared" si="51"/>
        <v>0</v>
      </c>
      <c r="J345" s="72"/>
      <c r="K345" s="74"/>
      <c r="M345" s="99"/>
      <c r="N345" s="80" t="e">
        <f t="shared" si="50"/>
        <v>#N/A</v>
      </c>
      <c r="O345" s="80" t="e">
        <f t="shared" si="54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52"/>
        <v>#N/A</v>
      </c>
      <c r="H346" s="73" t="e">
        <f t="shared" si="53"/>
        <v>#N/A</v>
      </c>
      <c r="I346" s="73" t="b">
        <f t="shared" si="51"/>
        <v>0</v>
      </c>
      <c r="J346" s="72"/>
      <c r="K346" s="74"/>
      <c r="M346" s="99"/>
      <c r="N346" s="80" t="e">
        <f t="shared" si="50"/>
        <v>#N/A</v>
      </c>
      <c r="O346" s="80" t="e">
        <f t="shared" si="54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52"/>
        <v>#N/A</v>
      </c>
      <c r="H347" s="73" t="e">
        <f t="shared" si="53"/>
        <v>#N/A</v>
      </c>
      <c r="I347" s="73" t="b">
        <f t="shared" si="51"/>
        <v>0</v>
      </c>
      <c r="J347" s="72"/>
      <c r="K347" s="74"/>
      <c r="M347" s="99"/>
      <c r="N347" s="80" t="e">
        <f t="shared" si="50"/>
        <v>#N/A</v>
      </c>
      <c r="O347" s="80" t="e">
        <f t="shared" si="54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52"/>
        <v>#N/A</v>
      </c>
      <c r="H348" s="73" t="e">
        <f t="shared" si="53"/>
        <v>#N/A</v>
      </c>
      <c r="I348" s="73" t="b">
        <f t="shared" si="51"/>
        <v>0</v>
      </c>
      <c r="J348" s="72"/>
      <c r="K348" s="74"/>
      <c r="M348" s="99"/>
      <c r="N348" s="80" t="e">
        <f t="shared" ref="N348:N373" si="55">VLOOKUP(M348,$S$3:$U$64,3,0)</f>
        <v>#N/A</v>
      </c>
      <c r="O348" s="80" t="e">
        <f t="shared" si="54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52"/>
        <v>#N/A</v>
      </c>
      <c r="H349" s="73" t="e">
        <f t="shared" si="53"/>
        <v>#N/A</v>
      </c>
      <c r="I349" s="73" t="b">
        <f t="shared" si="51"/>
        <v>0</v>
      </c>
      <c r="J349" s="72"/>
      <c r="K349" s="74"/>
      <c r="M349" s="99"/>
      <c r="N349" s="80" t="e">
        <f t="shared" si="55"/>
        <v>#N/A</v>
      </c>
      <c r="O349" s="80" t="e">
        <f t="shared" si="54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52"/>
        <v>#N/A</v>
      </c>
      <c r="H350" s="73" t="e">
        <f t="shared" si="53"/>
        <v>#N/A</v>
      </c>
      <c r="I350" s="73" t="b">
        <f t="shared" si="51"/>
        <v>0</v>
      </c>
      <c r="J350" s="72"/>
      <c r="K350" s="74"/>
      <c r="M350" s="99"/>
      <c r="N350" s="80" t="e">
        <f t="shared" si="55"/>
        <v>#N/A</v>
      </c>
      <c r="O350" s="80" t="e">
        <f t="shared" si="54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52"/>
        <v>#N/A</v>
      </c>
      <c r="H351" s="73" t="e">
        <f t="shared" si="53"/>
        <v>#N/A</v>
      </c>
      <c r="I351" s="73" t="b">
        <f t="shared" si="51"/>
        <v>0</v>
      </c>
      <c r="J351" s="72"/>
      <c r="K351" s="74"/>
      <c r="M351" s="99"/>
      <c r="N351" s="80" t="e">
        <f t="shared" si="55"/>
        <v>#N/A</v>
      </c>
      <c r="O351" s="80" t="e">
        <f t="shared" si="54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52"/>
        <v>#N/A</v>
      </c>
      <c r="H352" s="73" t="e">
        <f t="shared" si="53"/>
        <v>#N/A</v>
      </c>
      <c r="I352" s="73" t="b">
        <f t="shared" si="51"/>
        <v>0</v>
      </c>
      <c r="J352" s="72"/>
      <c r="K352" s="74"/>
      <c r="M352" s="99"/>
      <c r="N352" s="80" t="e">
        <f t="shared" si="55"/>
        <v>#N/A</v>
      </c>
      <c r="O352" s="80" t="e">
        <f t="shared" si="54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52"/>
        <v>#N/A</v>
      </c>
      <c r="H353" s="73" t="e">
        <f t="shared" si="53"/>
        <v>#N/A</v>
      </c>
      <c r="I353" s="73" t="b">
        <f t="shared" si="51"/>
        <v>0</v>
      </c>
      <c r="J353" s="72"/>
      <c r="K353" s="74"/>
      <c r="M353" s="99"/>
      <c r="N353" s="80" t="e">
        <f t="shared" si="55"/>
        <v>#N/A</v>
      </c>
      <c r="O353" s="80" t="e">
        <f t="shared" si="54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52"/>
        <v>#N/A</v>
      </c>
      <c r="H354" s="73" t="e">
        <f t="shared" si="53"/>
        <v>#N/A</v>
      </c>
      <c r="I354" s="73" t="b">
        <f t="shared" si="51"/>
        <v>0</v>
      </c>
      <c r="J354" s="72"/>
      <c r="K354" s="74"/>
      <c r="M354" s="99"/>
      <c r="N354" s="80" t="e">
        <f t="shared" si="55"/>
        <v>#N/A</v>
      </c>
      <c r="O354" s="80" t="e">
        <f t="shared" si="54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52"/>
        <v>#N/A</v>
      </c>
      <c r="H355" s="73" t="e">
        <f t="shared" si="53"/>
        <v>#N/A</v>
      </c>
      <c r="I355" s="73" t="b">
        <f t="shared" si="51"/>
        <v>0</v>
      </c>
      <c r="J355" s="72"/>
      <c r="K355" s="74"/>
      <c r="M355" s="99"/>
      <c r="N355" s="80" t="e">
        <f t="shared" si="55"/>
        <v>#N/A</v>
      </c>
      <c r="O355" s="80" t="e">
        <f t="shared" si="54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52"/>
        <v>#N/A</v>
      </c>
      <c r="H356" s="73" t="e">
        <f t="shared" si="53"/>
        <v>#N/A</v>
      </c>
      <c r="I356" s="73" t="b">
        <f t="shared" si="51"/>
        <v>0</v>
      </c>
      <c r="J356" s="72"/>
      <c r="K356" s="74"/>
      <c r="M356" s="99"/>
      <c r="N356" s="80" t="e">
        <f t="shared" si="55"/>
        <v>#N/A</v>
      </c>
      <c r="O356" s="80" t="e">
        <f t="shared" si="54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si="52"/>
        <v>#N/A</v>
      </c>
      <c r="H357" s="73" t="e">
        <f t="shared" si="53"/>
        <v>#N/A</v>
      </c>
      <c r="I357" s="73" t="b">
        <f t="shared" si="51"/>
        <v>0</v>
      </c>
      <c r="J357" s="72"/>
      <c r="K357" s="74"/>
      <c r="M357" s="99"/>
      <c r="N357" s="80" t="e">
        <f t="shared" si="55"/>
        <v>#N/A</v>
      </c>
      <c r="O357" s="80" t="e">
        <f t="shared" si="54"/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52"/>
        <v>#N/A</v>
      </c>
      <c r="H358" s="73" t="e">
        <f t="shared" si="53"/>
        <v>#N/A</v>
      </c>
      <c r="I358" s="73" t="b">
        <f t="shared" si="51"/>
        <v>0</v>
      </c>
      <c r="J358" s="72"/>
      <c r="K358" s="74"/>
      <c r="M358" s="99"/>
      <c r="N358" s="80" t="e">
        <f t="shared" si="55"/>
        <v>#N/A</v>
      </c>
      <c r="O358" s="80" t="e">
        <f t="shared" si="54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si="52"/>
        <v>#N/A</v>
      </c>
      <c r="H359" s="73" t="e">
        <f t="shared" si="53"/>
        <v>#N/A</v>
      </c>
      <c r="I359" s="73" t="b">
        <f t="shared" si="51"/>
        <v>0</v>
      </c>
      <c r="J359" s="72"/>
      <c r="K359" s="74"/>
      <c r="M359" s="99"/>
      <c r="N359" s="80" t="e">
        <f t="shared" si="55"/>
        <v>#N/A</v>
      </c>
      <c r="O359" s="80" t="e">
        <f t="shared" si="54"/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52"/>
        <v>#N/A</v>
      </c>
      <c r="H360" s="73" t="e">
        <f t="shared" si="53"/>
        <v>#N/A</v>
      </c>
      <c r="I360" s="73" t="b">
        <f t="shared" si="51"/>
        <v>0</v>
      </c>
      <c r="J360" s="72"/>
      <c r="K360" s="74"/>
      <c r="M360" s="99"/>
      <c r="N360" s="80" t="e">
        <f t="shared" si="55"/>
        <v>#N/A</v>
      </c>
      <c r="O360" s="80" t="e">
        <f t="shared" si="54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52"/>
        <v>#N/A</v>
      </c>
      <c r="H361" s="73" t="e">
        <f t="shared" si="53"/>
        <v>#N/A</v>
      </c>
      <c r="I361" s="73" t="b">
        <f t="shared" si="51"/>
        <v>0</v>
      </c>
      <c r="J361" s="72"/>
      <c r="K361" s="74"/>
      <c r="M361" s="99"/>
      <c r="N361" s="80" t="e">
        <f t="shared" si="55"/>
        <v>#N/A</v>
      </c>
      <c r="O361" s="80" t="e">
        <f t="shared" si="54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52"/>
        <v>#N/A</v>
      </c>
      <c r="H362" s="73" t="e">
        <f t="shared" si="53"/>
        <v>#N/A</v>
      </c>
      <c r="I362" s="73" t="b">
        <f t="shared" si="51"/>
        <v>0</v>
      </c>
      <c r="J362" s="72"/>
      <c r="K362" s="74"/>
      <c r="M362" s="99"/>
      <c r="N362" s="80" t="e">
        <f t="shared" si="55"/>
        <v>#N/A</v>
      </c>
      <c r="O362" s="80" t="e">
        <f t="shared" si="54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ref="G363:G373" si="56">VLOOKUP(D363,$S$3:$T$64,2,0)</f>
        <v>#N/A</v>
      </c>
      <c r="H363" s="73" t="e">
        <f t="shared" si="53"/>
        <v>#N/A</v>
      </c>
      <c r="I363" s="73" t="b">
        <f t="shared" si="51"/>
        <v>0</v>
      </c>
      <c r="J363" s="72"/>
      <c r="K363" s="74"/>
      <c r="M363" s="99"/>
      <c r="N363" s="80" t="e">
        <f t="shared" si="55"/>
        <v>#N/A</v>
      </c>
      <c r="O363" s="80" t="e">
        <f t="shared" si="54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56"/>
        <v>#N/A</v>
      </c>
      <c r="H364" s="73" t="e">
        <f t="shared" si="53"/>
        <v>#N/A</v>
      </c>
      <c r="I364" s="73" t="b">
        <f t="shared" si="51"/>
        <v>0</v>
      </c>
      <c r="J364" s="72"/>
      <c r="K364" s="74"/>
      <c r="M364" s="99"/>
      <c r="N364" s="80" t="e">
        <f t="shared" si="55"/>
        <v>#N/A</v>
      </c>
      <c r="O364" s="80" t="e">
        <f t="shared" si="54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56"/>
        <v>#N/A</v>
      </c>
      <c r="H365" s="73" t="e">
        <f t="shared" si="53"/>
        <v>#N/A</v>
      </c>
      <c r="I365" s="73" t="b">
        <f t="shared" si="51"/>
        <v>0</v>
      </c>
      <c r="J365" s="72"/>
      <c r="K365" s="74"/>
      <c r="M365" s="99"/>
      <c r="N365" s="80" t="e">
        <f t="shared" si="55"/>
        <v>#N/A</v>
      </c>
      <c r="O365" s="80" t="e">
        <f t="shared" si="54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56"/>
        <v>#N/A</v>
      </c>
      <c r="H366" s="73" t="e">
        <f t="shared" si="53"/>
        <v>#N/A</v>
      </c>
      <c r="I366" s="73" t="b">
        <f t="shared" si="51"/>
        <v>0</v>
      </c>
      <c r="J366" s="72"/>
      <c r="K366" s="74"/>
      <c r="M366" s="99"/>
      <c r="N366" s="80" t="e">
        <f t="shared" si="55"/>
        <v>#N/A</v>
      </c>
      <c r="O366" s="80" t="e">
        <f t="shared" si="54"/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56"/>
        <v>#N/A</v>
      </c>
      <c r="H367" s="73" t="e">
        <f t="shared" si="53"/>
        <v>#N/A</v>
      </c>
      <c r="I367" s="73" t="b">
        <f t="shared" si="51"/>
        <v>0</v>
      </c>
      <c r="J367" s="72"/>
      <c r="K367" s="74"/>
      <c r="M367" s="99"/>
      <c r="N367" s="80" t="e">
        <f t="shared" si="55"/>
        <v>#N/A</v>
      </c>
      <c r="O367" s="80" t="e">
        <f t="shared" si="54"/>
        <v>#N/A</v>
      </c>
      <c r="P367" s="103"/>
    </row>
    <row r="368" spans="1:16" x14ac:dyDescent="0.25">
      <c r="A368" s="95"/>
      <c r="B368" s="72"/>
      <c r="C368" s="72"/>
      <c r="D368" s="72"/>
      <c r="E368" s="72"/>
      <c r="F368" s="72"/>
      <c r="G368" s="73" t="e">
        <f t="shared" si="56"/>
        <v>#N/A</v>
      </c>
      <c r="H368" s="73" t="e">
        <f t="shared" si="53"/>
        <v>#N/A</v>
      </c>
      <c r="I368" s="73" t="b">
        <f t="shared" si="51"/>
        <v>0</v>
      </c>
      <c r="J368" s="72"/>
      <c r="K368" s="74"/>
      <c r="M368" s="99"/>
      <c r="N368" s="80" t="e">
        <f t="shared" si="55"/>
        <v>#N/A</v>
      </c>
      <c r="O368" s="80" t="e">
        <f t="shared" si="54"/>
        <v>#N/A</v>
      </c>
      <c r="P368" s="103"/>
    </row>
    <row r="369" spans="1:16" x14ac:dyDescent="0.25">
      <c r="A369" s="95"/>
      <c r="B369" s="72"/>
      <c r="C369" s="72"/>
      <c r="D369" s="72"/>
      <c r="E369" s="72"/>
      <c r="F369" s="72"/>
      <c r="G369" s="73" t="e">
        <f t="shared" si="56"/>
        <v>#N/A</v>
      </c>
      <c r="H369" s="73" t="e">
        <f t="shared" si="53"/>
        <v>#N/A</v>
      </c>
      <c r="I369" s="73" t="b">
        <f t="shared" si="51"/>
        <v>0</v>
      </c>
      <c r="J369" s="72"/>
      <c r="K369" s="74"/>
      <c r="M369" s="99"/>
      <c r="N369" s="80" t="e">
        <f t="shared" si="55"/>
        <v>#N/A</v>
      </c>
      <c r="O369" s="80" t="e">
        <f t="shared" si="54"/>
        <v>#N/A</v>
      </c>
      <c r="P369" s="103"/>
    </row>
    <row r="370" spans="1:16" x14ac:dyDescent="0.25">
      <c r="A370" s="95"/>
      <c r="B370" s="72"/>
      <c r="C370" s="72"/>
      <c r="D370" s="72"/>
      <c r="E370" s="72"/>
      <c r="F370" s="72"/>
      <c r="G370" s="73" t="e">
        <f t="shared" si="56"/>
        <v>#N/A</v>
      </c>
      <c r="H370" s="73" t="e">
        <f t="shared" si="53"/>
        <v>#N/A</v>
      </c>
      <c r="I370" s="73" t="b">
        <f t="shared" si="51"/>
        <v>0</v>
      </c>
      <c r="J370" s="72"/>
      <c r="K370" s="74"/>
      <c r="M370" s="99"/>
      <c r="N370" s="80" t="e">
        <f t="shared" si="55"/>
        <v>#N/A</v>
      </c>
      <c r="O370" s="80" t="e">
        <f t="shared" si="54"/>
        <v>#N/A</v>
      </c>
      <c r="P370" s="103"/>
    </row>
    <row r="371" spans="1:16" x14ac:dyDescent="0.25">
      <c r="A371" s="95"/>
      <c r="B371" s="72"/>
      <c r="C371" s="72"/>
      <c r="D371" s="72"/>
      <c r="E371" s="72"/>
      <c r="F371" s="72"/>
      <c r="G371" s="73" t="e">
        <f t="shared" si="56"/>
        <v>#N/A</v>
      </c>
      <c r="H371" s="73" t="e">
        <f t="shared" si="53"/>
        <v>#N/A</v>
      </c>
      <c r="I371" s="73" t="b">
        <f t="shared" si="51"/>
        <v>0</v>
      </c>
      <c r="J371" s="72"/>
      <c r="K371" s="74"/>
      <c r="M371" s="99"/>
      <c r="N371" s="80" t="e">
        <f t="shared" si="55"/>
        <v>#N/A</v>
      </c>
      <c r="O371" s="80" t="e">
        <f t="shared" si="54"/>
        <v>#N/A</v>
      </c>
      <c r="P371" s="103"/>
    </row>
    <row r="372" spans="1:16" x14ac:dyDescent="0.25">
      <c r="A372" s="95"/>
      <c r="B372" s="72"/>
      <c r="C372" s="72"/>
      <c r="D372" s="72"/>
      <c r="E372" s="72"/>
      <c r="F372" s="72"/>
      <c r="G372" s="73" t="e">
        <f t="shared" si="56"/>
        <v>#N/A</v>
      </c>
      <c r="H372" s="73" t="e">
        <f t="shared" si="53"/>
        <v>#N/A</v>
      </c>
      <c r="I372" s="73" t="b">
        <f t="shared" si="51"/>
        <v>0</v>
      </c>
      <c r="J372" s="72"/>
      <c r="K372" s="74"/>
      <c r="M372" s="99"/>
      <c r="N372" s="80" t="e">
        <f t="shared" si="55"/>
        <v>#N/A</v>
      </c>
      <c r="O372" s="80" t="e">
        <f t="shared" si="54"/>
        <v>#N/A</v>
      </c>
      <c r="P372" s="103"/>
    </row>
    <row r="373" spans="1:16" x14ac:dyDescent="0.25">
      <c r="A373" s="95"/>
      <c r="B373" s="72"/>
      <c r="C373" s="72"/>
      <c r="D373" s="72"/>
      <c r="E373" s="72"/>
      <c r="F373" s="72"/>
      <c r="G373" s="73" t="e">
        <f t="shared" si="56"/>
        <v>#N/A</v>
      </c>
      <c r="H373" s="73" t="e">
        <f t="shared" si="53"/>
        <v>#N/A</v>
      </c>
      <c r="I373" s="73" t="b">
        <f t="shared" si="51"/>
        <v>0</v>
      </c>
      <c r="J373" s="72"/>
      <c r="K373" s="74"/>
      <c r="M373" s="85"/>
      <c r="N373" s="86" t="e">
        <f t="shared" si="55"/>
        <v>#N/A</v>
      </c>
      <c r="O373" s="86" t="e">
        <f t="shared" si="54"/>
        <v>#N/A</v>
      </c>
      <c r="P373" s="104"/>
    </row>
    <row r="374" spans="1:16" ht="15.75" x14ac:dyDescent="0.25">
      <c r="H374" s="88" t="e">
        <f>SUM(H3:H373)</f>
        <v>#N/A</v>
      </c>
      <c r="I374" s="88"/>
      <c r="O374" s="89" t="e">
        <f>SUM(O3:O373)</f>
        <v>#N/A</v>
      </c>
      <c r="P374" s="2"/>
    </row>
    <row r="375" spans="1:16" x14ac:dyDescent="0.25">
      <c r="P375" s="2"/>
    </row>
    <row r="376" spans="1:16" x14ac:dyDescent="0.25">
      <c r="P376" s="2"/>
    </row>
    <row r="377" spans="1:16" x14ac:dyDescent="0.25">
      <c r="P377" s="2"/>
    </row>
    <row r="378" spans="1:16" x14ac:dyDescent="0.25">
      <c r="P378" s="2"/>
    </row>
    <row r="379" spans="1:16" x14ac:dyDescent="0.25">
      <c r="P379" s="2"/>
    </row>
    <row r="380" spans="1:16" x14ac:dyDescent="0.25">
      <c r="P380" s="2"/>
    </row>
    <row r="381" spans="1:16" x14ac:dyDescent="0.25">
      <c r="P381" s="2"/>
    </row>
    <row r="382" spans="1:16" x14ac:dyDescent="0.25">
      <c r="P382" s="2"/>
    </row>
    <row r="383" spans="1:16" x14ac:dyDescent="0.25">
      <c r="P383" s="2"/>
    </row>
    <row r="384" spans="1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  <row r="395" spans="16:16" x14ac:dyDescent="0.25">
      <c r="P39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5"/>
  <sheetViews>
    <sheetView topLeftCell="C1" workbookViewId="0">
      <selection activeCell="J3" sqref="J3"/>
    </sheetView>
  </sheetViews>
  <sheetFormatPr defaultRowHeight="15" x14ac:dyDescent="0.25"/>
  <cols>
    <col min="1" max="1" width="18.28515625" bestFit="1" customWidth="1"/>
    <col min="2" max="2" width="17.7109375" bestFit="1" customWidth="1"/>
    <col min="3" max="3" width="21.42578125" bestFit="1" customWidth="1"/>
    <col min="4" max="4" width="48.570312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32.5703125" bestFit="1" customWidth="1"/>
    <col min="13" max="13" width="48.570312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654</v>
      </c>
      <c r="B1" s="53"/>
      <c r="C1" s="53"/>
      <c r="D1" s="53"/>
      <c r="E1" s="53"/>
      <c r="F1" s="54"/>
      <c r="G1" s="54" t="s">
        <v>66</v>
      </c>
      <c r="H1" s="55">
        <f>SUM(H3:H226)</f>
        <v>9467.5</v>
      </c>
      <c r="I1" s="55">
        <f>SUM(I3:I226)</f>
        <v>9317.5470999999998</v>
      </c>
      <c r="J1" s="54"/>
      <c r="K1" s="56"/>
      <c r="M1" s="57"/>
      <c r="N1" s="58"/>
      <c r="O1" s="105">
        <f>SUM(O3:O226)</f>
        <v>1636.5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45475</v>
      </c>
      <c r="B3" s="72" t="s">
        <v>655</v>
      </c>
      <c r="C3" s="72" t="s">
        <v>8</v>
      </c>
      <c r="D3" s="72" t="s">
        <v>17</v>
      </c>
      <c r="E3" s="72" t="s">
        <v>56</v>
      </c>
      <c r="F3" s="72">
        <v>1</v>
      </c>
      <c r="G3" s="73">
        <f t="shared" ref="G3:G11" si="0">VLOOKUP(D3,$S$3:$T$64,2,0)</f>
        <v>50</v>
      </c>
      <c r="H3" s="73">
        <f t="shared" ref="H3:H66" si="1">F3*G3</f>
        <v>50</v>
      </c>
      <c r="I3" s="73">
        <f t="shared" ref="I3:I66" si="2">IF(J3="Cartão de Debito",H3-(H3*$AC$5),IF(J3="Cartão de Credito",H3-(H3*$AC$6), IF(J3="Pix",H3-(H3*$AC$7), IF(J3="Dinheiro (R$)", H3-(H3*$AC$8)))))</f>
        <v>50</v>
      </c>
      <c r="J3" s="72" t="s">
        <v>83</v>
      </c>
      <c r="K3" s="74" t="s">
        <v>656</v>
      </c>
      <c r="M3" s="75" t="s">
        <v>17</v>
      </c>
      <c r="N3" s="76">
        <f t="shared" ref="N3:N45" si="3">VLOOKUP(M3,$S$3:$U$64,3,0)</f>
        <v>20</v>
      </c>
      <c r="O3" s="76">
        <f t="shared" ref="O3:O11" si="4">N3*F3</f>
        <v>20</v>
      </c>
      <c r="P3" s="77" t="s">
        <v>56</v>
      </c>
      <c r="S3" s="50" t="s">
        <v>18</v>
      </c>
      <c r="T3" s="52">
        <v>40</v>
      </c>
      <c r="U3" s="52">
        <f t="shared" ref="U3:U30" si="5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6">Z3*0.4</f>
        <v>16</v>
      </c>
      <c r="AB3" s="92"/>
    </row>
    <row r="4" spans="1:32" x14ac:dyDescent="0.25">
      <c r="A4" s="95">
        <v>45475</v>
      </c>
      <c r="B4" s="72" t="s">
        <v>612</v>
      </c>
      <c r="C4" s="72" t="s">
        <v>8</v>
      </c>
      <c r="D4" s="72" t="s">
        <v>18</v>
      </c>
      <c r="E4" s="72" t="s">
        <v>56</v>
      </c>
      <c r="F4" s="72">
        <v>1</v>
      </c>
      <c r="G4" s="73">
        <f t="shared" si="0"/>
        <v>40</v>
      </c>
      <c r="H4" s="73">
        <f t="shared" si="1"/>
        <v>40</v>
      </c>
      <c r="I4" s="73">
        <f t="shared" si="2"/>
        <v>38.003999999999998</v>
      </c>
      <c r="J4" s="72" t="s">
        <v>86</v>
      </c>
      <c r="K4" s="74"/>
      <c r="M4" s="79" t="s">
        <v>18</v>
      </c>
      <c r="N4" s="80">
        <f t="shared" si="3"/>
        <v>16</v>
      </c>
      <c r="O4" s="76">
        <f t="shared" si="4"/>
        <v>16</v>
      </c>
      <c r="P4" s="81" t="s">
        <v>56</v>
      </c>
      <c r="S4" s="50" t="s">
        <v>19</v>
      </c>
      <c r="T4" s="52">
        <v>40</v>
      </c>
      <c r="U4" s="52">
        <f t="shared" si="5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6"/>
        <v>16</v>
      </c>
      <c r="AB4" s="92"/>
    </row>
    <row r="5" spans="1:32" x14ac:dyDescent="0.25">
      <c r="A5" s="95">
        <v>45475</v>
      </c>
      <c r="B5" s="72" t="s">
        <v>592</v>
      </c>
      <c r="C5" s="72" t="s">
        <v>8</v>
      </c>
      <c r="D5" s="72" t="s">
        <v>17</v>
      </c>
      <c r="E5" s="72" t="s">
        <v>56</v>
      </c>
      <c r="F5" s="72">
        <v>1</v>
      </c>
      <c r="G5" s="73">
        <f t="shared" si="0"/>
        <v>50</v>
      </c>
      <c r="H5" s="73">
        <f t="shared" si="1"/>
        <v>50</v>
      </c>
      <c r="I5" s="73">
        <f t="shared" si="2"/>
        <v>50</v>
      </c>
      <c r="J5" s="72" t="s">
        <v>83</v>
      </c>
      <c r="K5" s="74"/>
      <c r="M5" s="79" t="s">
        <v>17</v>
      </c>
      <c r="N5" s="80">
        <f t="shared" si="3"/>
        <v>20</v>
      </c>
      <c r="O5" s="76">
        <f t="shared" si="4"/>
        <v>20</v>
      </c>
      <c r="P5" s="81" t="s">
        <v>56</v>
      </c>
      <c r="S5" s="50" t="s">
        <v>22</v>
      </c>
      <c r="T5" s="52">
        <v>30</v>
      </c>
      <c r="U5" s="52">
        <f t="shared" si="5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6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45475</v>
      </c>
      <c r="B6" s="72" t="s">
        <v>308</v>
      </c>
      <c r="C6" s="72" t="s">
        <v>9</v>
      </c>
      <c r="D6" s="72" t="s">
        <v>18</v>
      </c>
      <c r="E6" s="72" t="s">
        <v>56</v>
      </c>
      <c r="F6" s="72">
        <v>1</v>
      </c>
      <c r="G6" s="73">
        <f t="shared" si="0"/>
        <v>40</v>
      </c>
      <c r="H6" s="73">
        <f t="shared" si="1"/>
        <v>40</v>
      </c>
      <c r="I6" s="73">
        <f t="shared" si="2"/>
        <v>38.003999999999998</v>
      </c>
      <c r="J6" s="72" t="s">
        <v>86</v>
      </c>
      <c r="K6" s="74"/>
      <c r="M6" s="79" t="s">
        <v>18</v>
      </c>
      <c r="N6" s="80">
        <f t="shared" si="3"/>
        <v>16</v>
      </c>
      <c r="O6" s="76">
        <f t="shared" si="4"/>
        <v>16</v>
      </c>
      <c r="P6" s="81" t="s">
        <v>56</v>
      </c>
      <c r="S6" s="50" t="s">
        <v>23</v>
      </c>
      <c r="T6" s="52">
        <v>5</v>
      </c>
      <c r="U6" s="52">
        <f t="shared" si="5"/>
        <v>2</v>
      </c>
      <c r="W6" s="90" t="s">
        <v>86</v>
      </c>
      <c r="Y6" s="91" t="s">
        <v>90</v>
      </c>
      <c r="Z6" s="92">
        <v>38.003999999999998</v>
      </c>
      <c r="AA6" s="92">
        <f t="shared" si="6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45475</v>
      </c>
      <c r="B7" s="72" t="s">
        <v>657</v>
      </c>
      <c r="C7" s="72" t="s">
        <v>10</v>
      </c>
      <c r="D7" s="72" t="s">
        <v>18</v>
      </c>
      <c r="E7" s="72" t="s">
        <v>56</v>
      </c>
      <c r="F7" s="72">
        <v>1</v>
      </c>
      <c r="G7" s="73">
        <f t="shared" si="0"/>
        <v>40</v>
      </c>
      <c r="H7" s="73">
        <f t="shared" si="1"/>
        <v>40</v>
      </c>
      <c r="I7" s="73">
        <f t="shared" si="2"/>
        <v>38.003999999999998</v>
      </c>
      <c r="J7" s="72" t="s">
        <v>86</v>
      </c>
      <c r="K7" s="74"/>
      <c r="M7" s="79" t="s">
        <v>18</v>
      </c>
      <c r="N7" s="80">
        <f t="shared" si="3"/>
        <v>16</v>
      </c>
      <c r="O7" s="76">
        <f t="shared" si="4"/>
        <v>16</v>
      </c>
      <c r="P7" s="81" t="s">
        <v>56</v>
      </c>
      <c r="S7" s="50" t="s">
        <v>24</v>
      </c>
      <c r="T7" s="52">
        <v>10</v>
      </c>
      <c r="U7" s="52">
        <f t="shared" si="5"/>
        <v>4</v>
      </c>
      <c r="Y7" s="91" t="s">
        <v>93</v>
      </c>
      <c r="Z7" s="92">
        <v>40</v>
      </c>
      <c r="AA7" s="92">
        <f t="shared" si="6"/>
        <v>16</v>
      </c>
      <c r="AB7" s="92"/>
      <c r="AC7" s="91">
        <v>0</v>
      </c>
      <c r="AD7" s="50" t="s">
        <v>83</v>
      </c>
    </row>
    <row r="8" spans="1:32" x14ac:dyDescent="0.25">
      <c r="A8" s="95">
        <v>45476</v>
      </c>
      <c r="B8" s="72" t="s">
        <v>528</v>
      </c>
      <c r="C8" s="72" t="s">
        <v>9</v>
      </c>
      <c r="D8" s="72" t="s">
        <v>18</v>
      </c>
      <c r="E8" s="72" t="s">
        <v>56</v>
      </c>
      <c r="F8" s="72">
        <v>1</v>
      </c>
      <c r="G8" s="73">
        <f t="shared" si="0"/>
        <v>40</v>
      </c>
      <c r="H8" s="73">
        <f t="shared" si="1"/>
        <v>40</v>
      </c>
      <c r="I8" s="73">
        <f t="shared" si="2"/>
        <v>39.043999999999997</v>
      </c>
      <c r="J8" s="72" t="s">
        <v>78</v>
      </c>
      <c r="K8" s="74"/>
      <c r="M8" s="79" t="s">
        <v>18</v>
      </c>
      <c r="N8" s="80">
        <f t="shared" si="3"/>
        <v>16</v>
      </c>
      <c r="O8" s="76">
        <f t="shared" si="4"/>
        <v>16</v>
      </c>
      <c r="P8" s="81" t="s">
        <v>56</v>
      </c>
      <c r="S8" s="50" t="s">
        <v>21</v>
      </c>
      <c r="T8" s="52">
        <v>10</v>
      </c>
      <c r="U8" s="52">
        <f t="shared" si="5"/>
        <v>4</v>
      </c>
      <c r="Y8" s="91" t="s">
        <v>95</v>
      </c>
      <c r="Z8" s="92">
        <v>40</v>
      </c>
      <c r="AA8" s="92">
        <f t="shared" si="6"/>
        <v>16</v>
      </c>
      <c r="AB8" s="92"/>
      <c r="AC8" s="91">
        <v>0</v>
      </c>
      <c r="AD8" s="50" t="s">
        <v>440</v>
      </c>
    </row>
    <row r="9" spans="1:32" x14ac:dyDescent="0.25">
      <c r="A9" s="95">
        <v>45476</v>
      </c>
      <c r="B9" s="72" t="s">
        <v>291</v>
      </c>
      <c r="C9" s="72" t="s">
        <v>9</v>
      </c>
      <c r="D9" s="72" t="s">
        <v>18</v>
      </c>
      <c r="E9" s="72" t="s">
        <v>56</v>
      </c>
      <c r="F9" s="72">
        <v>1</v>
      </c>
      <c r="G9" s="73">
        <f t="shared" si="0"/>
        <v>40</v>
      </c>
      <c r="H9" s="73">
        <f t="shared" si="1"/>
        <v>40</v>
      </c>
      <c r="I9" s="73">
        <f t="shared" si="2"/>
        <v>38.003999999999998</v>
      </c>
      <c r="J9" s="72" t="s">
        <v>86</v>
      </c>
      <c r="K9" s="74"/>
      <c r="M9" s="79" t="s">
        <v>18</v>
      </c>
      <c r="N9" s="80">
        <f t="shared" si="3"/>
        <v>16</v>
      </c>
      <c r="O9" s="76">
        <f t="shared" si="4"/>
        <v>16</v>
      </c>
      <c r="P9" s="81" t="s">
        <v>56</v>
      </c>
      <c r="S9" s="50" t="s">
        <v>42</v>
      </c>
      <c r="T9" s="52">
        <v>20</v>
      </c>
      <c r="U9" s="52">
        <f t="shared" si="5"/>
        <v>8</v>
      </c>
      <c r="Y9" s="91" t="s">
        <v>98</v>
      </c>
      <c r="Z9" s="92">
        <v>39.043999999999997</v>
      </c>
      <c r="AA9" s="92">
        <f t="shared" si="6"/>
        <v>15.617599999999999</v>
      </c>
      <c r="AB9" s="92"/>
    </row>
    <row r="10" spans="1:32" x14ac:dyDescent="0.25">
      <c r="A10" s="95">
        <v>45477</v>
      </c>
      <c r="B10" s="72" t="s">
        <v>174</v>
      </c>
      <c r="C10" s="72" t="s">
        <v>8</v>
      </c>
      <c r="D10" s="72" t="s">
        <v>18</v>
      </c>
      <c r="E10" s="72" t="s">
        <v>56</v>
      </c>
      <c r="F10" s="72">
        <v>1</v>
      </c>
      <c r="G10" s="73">
        <f t="shared" si="0"/>
        <v>40</v>
      </c>
      <c r="H10" s="73">
        <f t="shared" si="1"/>
        <v>40</v>
      </c>
      <c r="I10" s="73">
        <f t="shared" si="2"/>
        <v>40</v>
      </c>
      <c r="J10" s="72" t="s">
        <v>83</v>
      </c>
      <c r="K10" s="74"/>
      <c r="M10" s="79" t="s">
        <v>18</v>
      </c>
      <c r="N10" s="80">
        <f t="shared" si="3"/>
        <v>16</v>
      </c>
      <c r="O10" s="76">
        <f t="shared" si="4"/>
        <v>16</v>
      </c>
      <c r="P10" s="81" t="s">
        <v>56</v>
      </c>
      <c r="S10" s="50" t="s">
        <v>99</v>
      </c>
      <c r="T10" s="52">
        <v>40</v>
      </c>
      <c r="U10" s="52">
        <f t="shared" si="5"/>
        <v>16</v>
      </c>
      <c r="Y10" s="91" t="s">
        <v>100</v>
      </c>
      <c r="Z10" s="92">
        <v>38.003999999999998</v>
      </c>
      <c r="AA10" s="92">
        <f t="shared" si="6"/>
        <v>15.201599999999999</v>
      </c>
      <c r="AB10" s="92"/>
    </row>
    <row r="11" spans="1:32" x14ac:dyDescent="0.25">
      <c r="A11" s="95">
        <v>45477</v>
      </c>
      <c r="B11" s="72" t="s">
        <v>658</v>
      </c>
      <c r="C11" s="72" t="s">
        <v>9</v>
      </c>
      <c r="D11" s="72" t="s">
        <v>18</v>
      </c>
      <c r="E11" s="72" t="s">
        <v>56</v>
      </c>
      <c r="F11" s="72">
        <v>1</v>
      </c>
      <c r="G11" s="73">
        <f t="shared" si="0"/>
        <v>40</v>
      </c>
      <c r="H11" s="73">
        <f t="shared" si="1"/>
        <v>40</v>
      </c>
      <c r="I11" s="73">
        <f t="shared" si="2"/>
        <v>38.003999999999998</v>
      </c>
      <c r="J11" s="72" t="s">
        <v>86</v>
      </c>
      <c r="K11" s="74"/>
      <c r="M11" s="79" t="s">
        <v>18</v>
      </c>
      <c r="N11" s="80">
        <f t="shared" si="3"/>
        <v>16</v>
      </c>
      <c r="O11" s="76">
        <f t="shared" si="4"/>
        <v>16</v>
      </c>
      <c r="P11" s="81" t="s">
        <v>56</v>
      </c>
      <c r="S11" s="50" t="s">
        <v>13</v>
      </c>
      <c r="T11" s="52">
        <v>30</v>
      </c>
      <c r="U11" s="52">
        <f t="shared" si="5"/>
        <v>12</v>
      </c>
      <c r="Y11" s="91" t="s">
        <v>102</v>
      </c>
      <c r="Z11" s="92">
        <v>30</v>
      </c>
      <c r="AA11" s="92">
        <f t="shared" si="6"/>
        <v>12</v>
      </c>
      <c r="AB11" s="92"/>
    </row>
    <row r="12" spans="1:32" x14ac:dyDescent="0.25">
      <c r="A12" s="95">
        <v>45477</v>
      </c>
      <c r="B12" s="72" t="s">
        <v>512</v>
      </c>
      <c r="C12" s="72" t="s">
        <v>8</v>
      </c>
      <c r="D12" s="72" t="s">
        <v>18</v>
      </c>
      <c r="E12" s="72" t="s">
        <v>82</v>
      </c>
      <c r="F12" s="72">
        <v>1</v>
      </c>
      <c r="G12" s="73">
        <v>30</v>
      </c>
      <c r="H12" s="73">
        <f t="shared" si="1"/>
        <v>30</v>
      </c>
      <c r="I12" s="73">
        <f t="shared" si="2"/>
        <v>30</v>
      </c>
      <c r="J12" s="72" t="s">
        <v>83</v>
      </c>
      <c r="K12" s="74"/>
      <c r="M12" s="79"/>
      <c r="N12" s="80" t="e">
        <f t="shared" si="3"/>
        <v>#N/A</v>
      </c>
      <c r="O12" s="76"/>
      <c r="P12" s="81"/>
      <c r="S12" s="50" t="s">
        <v>104</v>
      </c>
      <c r="T12" s="52">
        <v>60</v>
      </c>
      <c r="U12" s="52">
        <f t="shared" si="5"/>
        <v>24</v>
      </c>
      <c r="Y12" s="91" t="s">
        <v>105</v>
      </c>
      <c r="Z12" s="92">
        <v>30</v>
      </c>
      <c r="AA12" s="92">
        <f t="shared" si="6"/>
        <v>12</v>
      </c>
      <c r="AB12" s="92"/>
    </row>
    <row r="13" spans="1:32" x14ac:dyDescent="0.25">
      <c r="A13" s="95">
        <v>45477</v>
      </c>
      <c r="B13" s="72" t="s">
        <v>194</v>
      </c>
      <c r="C13" s="72" t="s">
        <v>8</v>
      </c>
      <c r="D13" s="72" t="s">
        <v>18</v>
      </c>
      <c r="E13" s="72" t="s">
        <v>82</v>
      </c>
      <c r="F13" s="72">
        <v>1</v>
      </c>
      <c r="G13" s="73">
        <f t="shared" ref="G13:G18" si="7">VLOOKUP(D13,$S$3:$T$64,2,0)</f>
        <v>40</v>
      </c>
      <c r="H13" s="73">
        <f t="shared" si="1"/>
        <v>40</v>
      </c>
      <c r="I13" s="73">
        <f t="shared" si="2"/>
        <v>40</v>
      </c>
      <c r="J13" s="72" t="s">
        <v>83</v>
      </c>
      <c r="K13" s="74"/>
      <c r="M13" s="79"/>
      <c r="N13" s="80" t="e">
        <f t="shared" si="3"/>
        <v>#N/A</v>
      </c>
      <c r="O13" s="76"/>
      <c r="P13" s="81"/>
      <c r="S13" s="50" t="s">
        <v>106</v>
      </c>
      <c r="T13" s="52">
        <v>15</v>
      </c>
      <c r="U13" s="52">
        <f t="shared" si="5"/>
        <v>6</v>
      </c>
      <c r="Y13" s="91" t="s">
        <v>107</v>
      </c>
      <c r="Z13" s="92">
        <v>29.283000000000001</v>
      </c>
      <c r="AA13" s="92">
        <f t="shared" si="6"/>
        <v>11.713200000000001</v>
      </c>
      <c r="AB13" s="92"/>
    </row>
    <row r="14" spans="1:32" x14ac:dyDescent="0.25">
      <c r="A14" s="95">
        <v>45477</v>
      </c>
      <c r="B14" s="72" t="s">
        <v>262</v>
      </c>
      <c r="C14" s="72" t="s">
        <v>9</v>
      </c>
      <c r="D14" s="72" t="s">
        <v>18</v>
      </c>
      <c r="E14" s="72" t="s">
        <v>56</v>
      </c>
      <c r="F14" s="72">
        <v>1</v>
      </c>
      <c r="G14" s="73">
        <f t="shared" si="7"/>
        <v>40</v>
      </c>
      <c r="H14" s="73">
        <f t="shared" si="1"/>
        <v>40</v>
      </c>
      <c r="I14" s="73">
        <f t="shared" si="2"/>
        <v>40</v>
      </c>
      <c r="J14" s="72" t="s">
        <v>83</v>
      </c>
      <c r="K14" s="74"/>
      <c r="M14" s="79" t="s">
        <v>18</v>
      </c>
      <c r="N14" s="80">
        <f t="shared" si="3"/>
        <v>16</v>
      </c>
      <c r="O14" s="76">
        <f>N14*F14</f>
        <v>16</v>
      </c>
      <c r="P14" s="81" t="s">
        <v>56</v>
      </c>
      <c r="S14" s="50" t="s">
        <v>15</v>
      </c>
      <c r="T14" s="52">
        <v>70</v>
      </c>
      <c r="U14" s="52">
        <f t="shared" si="5"/>
        <v>28</v>
      </c>
      <c r="Y14" s="91" t="s">
        <v>108</v>
      </c>
      <c r="Z14" s="92">
        <v>28.503</v>
      </c>
      <c r="AA14" s="92">
        <f t="shared" si="6"/>
        <v>11.401200000000001</v>
      </c>
      <c r="AB14" s="92"/>
    </row>
    <row r="15" spans="1:32" x14ac:dyDescent="0.25">
      <c r="A15" s="95">
        <v>45477</v>
      </c>
      <c r="B15" s="72" t="s">
        <v>262</v>
      </c>
      <c r="C15" s="72" t="s">
        <v>9</v>
      </c>
      <c r="D15" s="72" t="s">
        <v>38</v>
      </c>
      <c r="E15" s="72" t="s">
        <v>56</v>
      </c>
      <c r="F15" s="72">
        <v>1</v>
      </c>
      <c r="G15" s="73">
        <f t="shared" si="7"/>
        <v>6</v>
      </c>
      <c r="H15" s="73">
        <f t="shared" si="1"/>
        <v>6</v>
      </c>
      <c r="I15" s="73">
        <f t="shared" si="2"/>
        <v>6</v>
      </c>
      <c r="J15" s="72" t="s">
        <v>83</v>
      </c>
      <c r="K15" s="74"/>
      <c r="M15" s="79" t="s">
        <v>38</v>
      </c>
      <c r="N15" s="80">
        <f t="shared" si="3"/>
        <v>0.60000000000000009</v>
      </c>
      <c r="O15" s="76">
        <f>N15*F15</f>
        <v>0.60000000000000009</v>
      </c>
      <c r="P15" s="81" t="s">
        <v>56</v>
      </c>
      <c r="S15" s="50" t="s">
        <v>40</v>
      </c>
      <c r="T15" s="52">
        <v>45</v>
      </c>
      <c r="U15" s="52">
        <f t="shared" si="5"/>
        <v>18</v>
      </c>
      <c r="Y15" s="91" t="s">
        <v>110</v>
      </c>
      <c r="Z15" s="92">
        <v>5</v>
      </c>
      <c r="AA15" s="92">
        <f t="shared" si="6"/>
        <v>2</v>
      </c>
      <c r="AB15" s="92"/>
    </row>
    <row r="16" spans="1:32" x14ac:dyDescent="0.25">
      <c r="A16" s="95">
        <v>45477</v>
      </c>
      <c r="B16" s="72" t="s">
        <v>189</v>
      </c>
      <c r="C16" s="72" t="s">
        <v>10</v>
      </c>
      <c r="D16" s="72" t="s">
        <v>18</v>
      </c>
      <c r="E16" s="72" t="s">
        <v>56</v>
      </c>
      <c r="F16" s="72">
        <v>1</v>
      </c>
      <c r="G16" s="73">
        <f t="shared" si="7"/>
        <v>40</v>
      </c>
      <c r="H16" s="73">
        <f t="shared" si="1"/>
        <v>40</v>
      </c>
      <c r="I16" s="73">
        <f t="shared" si="2"/>
        <v>39.043999999999997</v>
      </c>
      <c r="J16" s="72" t="s">
        <v>78</v>
      </c>
      <c r="K16" s="74"/>
      <c r="M16" s="79" t="s">
        <v>18</v>
      </c>
      <c r="N16" s="80">
        <f t="shared" si="3"/>
        <v>16</v>
      </c>
      <c r="O16" s="76">
        <f>N16*F16</f>
        <v>16</v>
      </c>
      <c r="P16" s="81" t="s">
        <v>56</v>
      </c>
      <c r="S16" s="50" t="s">
        <v>17</v>
      </c>
      <c r="T16" s="52">
        <v>50</v>
      </c>
      <c r="U16" s="52">
        <f t="shared" si="5"/>
        <v>20</v>
      </c>
      <c r="Y16" s="91" t="s">
        <v>113</v>
      </c>
      <c r="Z16" s="92">
        <v>5</v>
      </c>
      <c r="AA16" s="92">
        <f t="shared" si="6"/>
        <v>2</v>
      </c>
      <c r="AB16" s="92"/>
    </row>
    <row r="17" spans="1:28" x14ac:dyDescent="0.25">
      <c r="A17" s="95">
        <v>45477</v>
      </c>
      <c r="B17" s="72" t="s">
        <v>659</v>
      </c>
      <c r="C17" s="72" t="s">
        <v>8</v>
      </c>
      <c r="D17" s="72" t="s">
        <v>18</v>
      </c>
      <c r="E17" s="72" t="s">
        <v>82</v>
      </c>
      <c r="F17" s="72">
        <v>1</v>
      </c>
      <c r="G17" s="73">
        <f t="shared" si="7"/>
        <v>40</v>
      </c>
      <c r="H17" s="73">
        <f t="shared" si="1"/>
        <v>40</v>
      </c>
      <c r="I17" s="73">
        <f t="shared" si="2"/>
        <v>39.043999999999997</v>
      </c>
      <c r="J17" s="72" t="s">
        <v>78</v>
      </c>
      <c r="K17" s="74"/>
      <c r="M17" s="79"/>
      <c r="N17" s="80" t="e">
        <f t="shared" si="3"/>
        <v>#N/A</v>
      </c>
      <c r="O17" s="76"/>
      <c r="P17" s="81"/>
      <c r="S17" s="50" t="s">
        <v>112</v>
      </c>
      <c r="T17" s="52">
        <v>75</v>
      </c>
      <c r="U17" s="52">
        <f t="shared" si="5"/>
        <v>30</v>
      </c>
      <c r="Y17" s="91" t="s">
        <v>115</v>
      </c>
      <c r="Z17" s="92">
        <v>4.8804999999999996</v>
      </c>
      <c r="AA17" s="92">
        <f t="shared" si="6"/>
        <v>1.9521999999999999</v>
      </c>
      <c r="AB17" s="92"/>
    </row>
    <row r="18" spans="1:28" x14ac:dyDescent="0.25">
      <c r="A18" s="95">
        <v>45477</v>
      </c>
      <c r="B18" s="72" t="s">
        <v>182</v>
      </c>
      <c r="C18" s="72" t="s">
        <v>8</v>
      </c>
      <c r="D18" s="72" t="s">
        <v>40</v>
      </c>
      <c r="E18" s="72" t="s">
        <v>82</v>
      </c>
      <c r="F18" s="72">
        <v>1</v>
      </c>
      <c r="G18" s="73">
        <f t="shared" si="7"/>
        <v>45</v>
      </c>
      <c r="H18" s="73">
        <f t="shared" si="1"/>
        <v>45</v>
      </c>
      <c r="I18" s="73">
        <f t="shared" si="2"/>
        <v>43.924500000000002</v>
      </c>
      <c r="J18" s="72" t="s">
        <v>78</v>
      </c>
      <c r="K18" s="74"/>
      <c r="M18" s="79"/>
      <c r="N18" s="80" t="e">
        <f t="shared" si="3"/>
        <v>#N/A</v>
      </c>
      <c r="O18" s="76"/>
      <c r="P18" s="81"/>
      <c r="S18" s="50" t="s">
        <v>14</v>
      </c>
      <c r="T18" s="52">
        <v>55</v>
      </c>
      <c r="U18" s="52">
        <f t="shared" si="5"/>
        <v>22</v>
      </c>
      <c r="Y18" s="91" t="s">
        <v>117</v>
      </c>
      <c r="Z18" s="92">
        <v>4.7504999999999997</v>
      </c>
      <c r="AA18" s="92">
        <f t="shared" si="6"/>
        <v>1.9001999999999999</v>
      </c>
    </row>
    <row r="19" spans="1:28" x14ac:dyDescent="0.25">
      <c r="A19" s="95">
        <v>45477</v>
      </c>
      <c r="B19" s="72" t="s">
        <v>479</v>
      </c>
      <c r="C19" s="72" t="s">
        <v>8</v>
      </c>
      <c r="D19" s="72" t="s">
        <v>61</v>
      </c>
      <c r="E19" s="72" t="s">
        <v>82</v>
      </c>
      <c r="F19" s="72">
        <v>1</v>
      </c>
      <c r="G19" s="73">
        <v>30</v>
      </c>
      <c r="H19" s="73">
        <f t="shared" si="1"/>
        <v>30</v>
      </c>
      <c r="I19" s="73">
        <f t="shared" si="2"/>
        <v>28.503</v>
      </c>
      <c r="J19" s="72" t="s">
        <v>86</v>
      </c>
      <c r="K19" s="74"/>
      <c r="M19" s="79"/>
      <c r="N19" s="80" t="e">
        <f t="shared" si="3"/>
        <v>#N/A</v>
      </c>
      <c r="O19" s="76"/>
      <c r="P19" s="81"/>
      <c r="S19" s="50" t="s">
        <v>58</v>
      </c>
      <c r="T19" s="52">
        <v>100</v>
      </c>
      <c r="U19" s="52">
        <f t="shared" si="5"/>
        <v>40</v>
      </c>
      <c r="Y19" s="91" t="s">
        <v>119</v>
      </c>
      <c r="Z19" s="92">
        <v>10</v>
      </c>
      <c r="AA19" s="92">
        <f t="shared" si="6"/>
        <v>4</v>
      </c>
    </row>
    <row r="20" spans="1:28" x14ac:dyDescent="0.25">
      <c r="A20" s="95">
        <v>45477</v>
      </c>
      <c r="B20" s="72" t="s">
        <v>303</v>
      </c>
      <c r="C20" s="72" t="s">
        <v>8</v>
      </c>
      <c r="D20" s="72" t="s">
        <v>40</v>
      </c>
      <c r="E20" s="72" t="s">
        <v>82</v>
      </c>
      <c r="F20" s="72">
        <v>1</v>
      </c>
      <c r="G20" s="73">
        <f t="shared" ref="G20:G49" si="8">VLOOKUP(D20,$S$3:$T$64,2,0)</f>
        <v>45</v>
      </c>
      <c r="H20" s="73">
        <f t="shared" si="1"/>
        <v>45</v>
      </c>
      <c r="I20" s="73">
        <f t="shared" si="2"/>
        <v>45</v>
      </c>
      <c r="J20" s="72" t="s">
        <v>83</v>
      </c>
      <c r="K20" s="74"/>
      <c r="M20" s="79"/>
      <c r="N20" s="80" t="e">
        <f t="shared" si="3"/>
        <v>#N/A</v>
      </c>
      <c r="O20" s="76"/>
      <c r="P20" s="81"/>
      <c r="S20" s="50" t="s">
        <v>30</v>
      </c>
      <c r="T20" s="52">
        <v>90</v>
      </c>
      <c r="U20" s="52">
        <f t="shared" si="5"/>
        <v>36</v>
      </c>
      <c r="Y20" s="91" t="s">
        <v>122</v>
      </c>
      <c r="Z20" s="92">
        <v>10</v>
      </c>
      <c r="AA20" s="92">
        <f t="shared" si="6"/>
        <v>4</v>
      </c>
    </row>
    <row r="21" spans="1:28" x14ac:dyDescent="0.25">
      <c r="A21" s="95">
        <v>45478</v>
      </c>
      <c r="B21" s="72" t="s">
        <v>605</v>
      </c>
      <c r="C21" s="72" t="s">
        <v>9</v>
      </c>
      <c r="D21" s="72" t="s">
        <v>18</v>
      </c>
      <c r="E21" s="72" t="s">
        <v>56</v>
      </c>
      <c r="F21" s="72">
        <v>1</v>
      </c>
      <c r="G21" s="73">
        <f t="shared" si="8"/>
        <v>40</v>
      </c>
      <c r="H21" s="73">
        <f t="shared" si="1"/>
        <v>40</v>
      </c>
      <c r="I21" s="73">
        <f t="shared" si="2"/>
        <v>40</v>
      </c>
      <c r="J21" s="72" t="s">
        <v>83</v>
      </c>
      <c r="K21" s="74"/>
      <c r="M21" s="79" t="s">
        <v>18</v>
      </c>
      <c r="N21" s="80">
        <f t="shared" si="3"/>
        <v>16</v>
      </c>
      <c r="O21" s="76">
        <f>N21*F21</f>
        <v>16</v>
      </c>
      <c r="P21" s="81" t="s">
        <v>56</v>
      </c>
      <c r="S21" s="50" t="s">
        <v>447</v>
      </c>
      <c r="T21" s="52">
        <v>180</v>
      </c>
      <c r="U21" s="52">
        <f t="shared" si="5"/>
        <v>72</v>
      </c>
      <c r="Y21" s="91" t="s">
        <v>123</v>
      </c>
      <c r="Z21" s="92">
        <v>9.7609999999999992</v>
      </c>
      <c r="AA21" s="92">
        <f t="shared" si="6"/>
        <v>3.9043999999999999</v>
      </c>
    </row>
    <row r="22" spans="1:28" x14ac:dyDescent="0.25">
      <c r="A22" s="95">
        <v>45478</v>
      </c>
      <c r="B22" s="72" t="s">
        <v>605</v>
      </c>
      <c r="C22" s="72" t="s">
        <v>9</v>
      </c>
      <c r="D22" s="72" t="s">
        <v>63</v>
      </c>
      <c r="E22" s="72" t="s">
        <v>56</v>
      </c>
      <c r="F22" s="72">
        <v>1</v>
      </c>
      <c r="G22" s="73">
        <f t="shared" si="8"/>
        <v>20</v>
      </c>
      <c r="H22" s="73">
        <f t="shared" si="1"/>
        <v>20</v>
      </c>
      <c r="I22" s="73">
        <f t="shared" si="2"/>
        <v>20</v>
      </c>
      <c r="J22" s="72" t="s">
        <v>83</v>
      </c>
      <c r="K22" s="74"/>
      <c r="M22" s="79" t="s">
        <v>63</v>
      </c>
      <c r="N22" s="80">
        <f t="shared" si="3"/>
        <v>2</v>
      </c>
      <c r="O22" s="76">
        <f>N22*F22</f>
        <v>2</v>
      </c>
      <c r="P22" s="81" t="s">
        <v>56</v>
      </c>
      <c r="S22" s="50" t="s">
        <v>43</v>
      </c>
      <c r="T22" s="52">
        <v>130</v>
      </c>
      <c r="U22" s="52">
        <f t="shared" si="5"/>
        <v>52</v>
      </c>
      <c r="Y22" s="91" t="s">
        <v>125</v>
      </c>
      <c r="Z22" s="92">
        <v>9.5009999999999994</v>
      </c>
      <c r="AA22" s="92">
        <f t="shared" si="6"/>
        <v>3.8003999999999998</v>
      </c>
      <c r="AB22" s="92"/>
    </row>
    <row r="23" spans="1:28" x14ac:dyDescent="0.25">
      <c r="A23" s="95">
        <v>45478</v>
      </c>
      <c r="B23" s="72" t="s">
        <v>637</v>
      </c>
      <c r="C23" s="72" t="s">
        <v>8</v>
      </c>
      <c r="D23" s="72" t="s">
        <v>18</v>
      </c>
      <c r="E23" s="72" t="s">
        <v>82</v>
      </c>
      <c r="F23" s="72">
        <v>1</v>
      </c>
      <c r="G23" s="73">
        <f t="shared" si="8"/>
        <v>40</v>
      </c>
      <c r="H23" s="73">
        <f t="shared" si="1"/>
        <v>40</v>
      </c>
      <c r="I23" s="73">
        <f t="shared" si="2"/>
        <v>40</v>
      </c>
      <c r="J23" s="72" t="s">
        <v>83</v>
      </c>
      <c r="K23" s="74"/>
      <c r="M23" s="79"/>
      <c r="N23" s="80" t="e">
        <f t="shared" si="3"/>
        <v>#N/A</v>
      </c>
      <c r="O23" s="76"/>
      <c r="P23" s="81"/>
      <c r="S23" s="50" t="s">
        <v>449</v>
      </c>
      <c r="T23" s="52">
        <v>240</v>
      </c>
      <c r="U23" s="52">
        <f t="shared" si="5"/>
        <v>96</v>
      </c>
      <c r="Y23" s="91" t="s">
        <v>126</v>
      </c>
      <c r="Z23" s="92">
        <v>10</v>
      </c>
      <c r="AA23" s="92">
        <f t="shared" si="6"/>
        <v>4</v>
      </c>
      <c r="AB23" s="92"/>
    </row>
    <row r="24" spans="1:28" x14ac:dyDescent="0.25">
      <c r="A24" s="95">
        <v>45478</v>
      </c>
      <c r="B24" s="72" t="s">
        <v>660</v>
      </c>
      <c r="C24" s="72" t="s">
        <v>8</v>
      </c>
      <c r="D24" s="72" t="s">
        <v>40</v>
      </c>
      <c r="E24" s="72" t="s">
        <v>82</v>
      </c>
      <c r="F24" s="72">
        <v>1</v>
      </c>
      <c r="G24" s="73">
        <f t="shared" si="8"/>
        <v>45</v>
      </c>
      <c r="H24" s="73">
        <f t="shared" si="1"/>
        <v>45</v>
      </c>
      <c r="I24" s="73">
        <f t="shared" si="2"/>
        <v>43.924500000000002</v>
      </c>
      <c r="J24" s="72" t="s">
        <v>78</v>
      </c>
      <c r="K24" s="74"/>
      <c r="M24" s="79"/>
      <c r="N24" s="80" t="e">
        <f t="shared" si="3"/>
        <v>#N/A</v>
      </c>
      <c r="O24" s="76"/>
      <c r="P24" s="81"/>
      <c r="S24" s="50" t="s">
        <v>16</v>
      </c>
      <c r="T24" s="52">
        <v>80</v>
      </c>
      <c r="U24" s="52">
        <f t="shared" si="5"/>
        <v>32</v>
      </c>
      <c r="Y24" s="91" t="s">
        <v>128</v>
      </c>
      <c r="Z24" s="92">
        <v>10</v>
      </c>
      <c r="AA24" s="92">
        <f t="shared" si="6"/>
        <v>4</v>
      </c>
    </row>
    <row r="25" spans="1:28" x14ac:dyDescent="0.25">
      <c r="A25" s="95">
        <v>45478</v>
      </c>
      <c r="B25" s="72" t="s">
        <v>660</v>
      </c>
      <c r="C25" s="72" t="s">
        <v>8</v>
      </c>
      <c r="D25" s="72" t="s">
        <v>34</v>
      </c>
      <c r="E25" s="72" t="s">
        <v>82</v>
      </c>
      <c r="F25" s="72">
        <v>1</v>
      </c>
      <c r="G25" s="73">
        <f t="shared" si="8"/>
        <v>10</v>
      </c>
      <c r="H25" s="73">
        <f t="shared" si="1"/>
        <v>10</v>
      </c>
      <c r="I25" s="73">
        <f t="shared" si="2"/>
        <v>9.7609999999999992</v>
      </c>
      <c r="J25" s="72" t="s">
        <v>78</v>
      </c>
      <c r="K25" s="74"/>
      <c r="M25" s="79"/>
      <c r="N25" s="80" t="e">
        <f t="shared" si="3"/>
        <v>#N/A</v>
      </c>
      <c r="O25" s="76"/>
      <c r="P25" s="81"/>
      <c r="S25" s="50" t="s">
        <v>121</v>
      </c>
      <c r="T25" s="52">
        <v>130</v>
      </c>
      <c r="U25" s="52">
        <f t="shared" si="5"/>
        <v>52</v>
      </c>
      <c r="Y25" s="91" t="s">
        <v>130</v>
      </c>
      <c r="Z25" s="92">
        <v>9.7609999999999992</v>
      </c>
      <c r="AA25" s="92">
        <f t="shared" si="6"/>
        <v>3.9043999999999999</v>
      </c>
    </row>
    <row r="26" spans="1:28" x14ac:dyDescent="0.25">
      <c r="A26" s="95">
        <v>45478</v>
      </c>
      <c r="B26" s="72" t="s">
        <v>555</v>
      </c>
      <c r="C26" s="72" t="s">
        <v>8</v>
      </c>
      <c r="D26" s="72" t="s">
        <v>18</v>
      </c>
      <c r="E26" s="72" t="s">
        <v>82</v>
      </c>
      <c r="F26" s="72">
        <v>1</v>
      </c>
      <c r="G26" s="73">
        <f t="shared" si="8"/>
        <v>40</v>
      </c>
      <c r="H26" s="73">
        <f t="shared" si="1"/>
        <v>40</v>
      </c>
      <c r="I26" s="73">
        <f t="shared" si="2"/>
        <v>40</v>
      </c>
      <c r="J26" s="72" t="s">
        <v>83</v>
      </c>
      <c r="K26" s="74"/>
      <c r="M26" s="79"/>
      <c r="N26" s="80" t="e">
        <f t="shared" si="3"/>
        <v>#N/A</v>
      </c>
      <c r="O26" s="76"/>
      <c r="P26" s="81"/>
      <c r="S26" s="50" t="s">
        <v>60</v>
      </c>
      <c r="T26" s="52">
        <v>90</v>
      </c>
      <c r="U26" s="52">
        <f t="shared" si="5"/>
        <v>36</v>
      </c>
      <c r="Y26" s="91" t="s">
        <v>132</v>
      </c>
      <c r="Z26" s="92">
        <v>9.5009999999999994</v>
      </c>
      <c r="AA26" s="92">
        <f t="shared" si="6"/>
        <v>3.8003999999999998</v>
      </c>
    </row>
    <row r="27" spans="1:28" x14ac:dyDescent="0.25">
      <c r="A27" s="95">
        <v>45478</v>
      </c>
      <c r="B27" s="72" t="s">
        <v>555</v>
      </c>
      <c r="C27" s="72" t="s">
        <v>8</v>
      </c>
      <c r="D27" s="72" t="s">
        <v>45</v>
      </c>
      <c r="E27" s="72" t="s">
        <v>82</v>
      </c>
      <c r="F27" s="72">
        <v>1</v>
      </c>
      <c r="G27" s="73">
        <f t="shared" si="8"/>
        <v>3.5</v>
      </c>
      <c r="H27" s="73">
        <f t="shared" si="1"/>
        <v>3.5</v>
      </c>
      <c r="I27" s="73">
        <f t="shared" si="2"/>
        <v>3.5</v>
      </c>
      <c r="J27" s="72" t="s">
        <v>83</v>
      </c>
      <c r="K27" s="74"/>
      <c r="M27" s="79"/>
      <c r="N27" s="80" t="e">
        <f t="shared" si="3"/>
        <v>#N/A</v>
      </c>
      <c r="O27" s="76"/>
      <c r="P27" s="81"/>
      <c r="S27" s="50" t="s">
        <v>600</v>
      </c>
      <c r="T27" s="52">
        <v>50</v>
      </c>
      <c r="U27" s="52">
        <f t="shared" si="5"/>
        <v>20</v>
      </c>
      <c r="Y27" s="91" t="s">
        <v>134</v>
      </c>
      <c r="Z27" s="92">
        <v>20</v>
      </c>
      <c r="AA27" s="92">
        <f t="shared" si="6"/>
        <v>8</v>
      </c>
    </row>
    <row r="28" spans="1:28" x14ac:dyDescent="0.25">
      <c r="A28" s="95">
        <v>45478</v>
      </c>
      <c r="B28" s="72" t="s">
        <v>579</v>
      </c>
      <c r="C28" s="72" t="s">
        <v>8</v>
      </c>
      <c r="D28" s="72" t="s">
        <v>16</v>
      </c>
      <c r="E28" s="72" t="s">
        <v>56</v>
      </c>
      <c r="F28" s="72">
        <v>1</v>
      </c>
      <c r="G28" s="73">
        <f t="shared" si="8"/>
        <v>80</v>
      </c>
      <c r="H28" s="73">
        <f t="shared" si="1"/>
        <v>80</v>
      </c>
      <c r="I28" s="73">
        <f t="shared" si="2"/>
        <v>78.087999999999994</v>
      </c>
      <c r="J28" s="72" t="s">
        <v>78</v>
      </c>
      <c r="K28" s="74"/>
      <c r="M28" s="79" t="s">
        <v>16</v>
      </c>
      <c r="N28" s="80">
        <f t="shared" si="3"/>
        <v>32</v>
      </c>
      <c r="O28" s="76">
        <f>N28*F28</f>
        <v>32</v>
      </c>
      <c r="P28" s="81" t="s">
        <v>56</v>
      </c>
      <c r="S28" s="50" t="s">
        <v>20</v>
      </c>
      <c r="T28" s="52">
        <v>15</v>
      </c>
      <c r="U28" s="52">
        <f t="shared" si="5"/>
        <v>6</v>
      </c>
      <c r="Y28" s="91" t="s">
        <v>136</v>
      </c>
      <c r="Z28" s="92">
        <v>20</v>
      </c>
      <c r="AA28" s="92">
        <f t="shared" si="6"/>
        <v>8</v>
      </c>
      <c r="AB28" s="92"/>
    </row>
    <row r="29" spans="1:28" x14ac:dyDescent="0.25">
      <c r="A29" s="95">
        <v>45478</v>
      </c>
      <c r="B29" s="72" t="s">
        <v>579</v>
      </c>
      <c r="C29" s="72" t="s">
        <v>8</v>
      </c>
      <c r="D29" s="72" t="s">
        <v>600</v>
      </c>
      <c r="E29" s="72" t="s">
        <v>56</v>
      </c>
      <c r="F29" s="72">
        <v>1</v>
      </c>
      <c r="G29" s="73">
        <f t="shared" si="8"/>
        <v>50</v>
      </c>
      <c r="H29" s="73">
        <f t="shared" si="1"/>
        <v>50</v>
      </c>
      <c r="I29" s="73">
        <f t="shared" si="2"/>
        <v>48.805</v>
      </c>
      <c r="J29" s="72" t="s">
        <v>78</v>
      </c>
      <c r="K29" s="74"/>
      <c r="M29" s="79" t="s">
        <v>600</v>
      </c>
      <c r="N29" s="80">
        <f t="shared" si="3"/>
        <v>20</v>
      </c>
      <c r="O29" s="76">
        <f>N29*F29</f>
        <v>20</v>
      </c>
      <c r="P29" s="81" t="s">
        <v>56</v>
      </c>
      <c r="S29" s="50" t="s">
        <v>31</v>
      </c>
      <c r="T29" s="52">
        <v>15</v>
      </c>
      <c r="U29" s="52">
        <f t="shared" si="5"/>
        <v>6</v>
      </c>
      <c r="Y29" s="91" t="s">
        <v>137</v>
      </c>
      <c r="Z29" s="92">
        <v>19.521999999999998</v>
      </c>
      <c r="AA29" s="92">
        <f t="shared" si="6"/>
        <v>7.8087999999999997</v>
      </c>
      <c r="AB29" s="92"/>
    </row>
    <row r="30" spans="1:28" x14ac:dyDescent="0.25">
      <c r="A30" s="95">
        <v>45478</v>
      </c>
      <c r="B30" s="72" t="s">
        <v>210</v>
      </c>
      <c r="C30" s="72" t="s">
        <v>8</v>
      </c>
      <c r="D30" s="72" t="s">
        <v>18</v>
      </c>
      <c r="E30" s="72" t="s">
        <v>56</v>
      </c>
      <c r="F30" s="72">
        <v>1</v>
      </c>
      <c r="G30" s="73">
        <f t="shared" si="8"/>
        <v>40</v>
      </c>
      <c r="H30" s="73">
        <f t="shared" si="1"/>
        <v>40</v>
      </c>
      <c r="I30" s="73">
        <f t="shared" si="2"/>
        <v>39.043999999999997</v>
      </c>
      <c r="J30" s="72" t="s">
        <v>78</v>
      </c>
      <c r="K30" s="74"/>
      <c r="M30" s="79" t="s">
        <v>18</v>
      </c>
      <c r="N30" s="80">
        <f t="shared" si="3"/>
        <v>16</v>
      </c>
      <c r="O30" s="76">
        <f>N30*F30</f>
        <v>16</v>
      </c>
      <c r="P30" s="81" t="s">
        <v>56</v>
      </c>
      <c r="S30" s="50" t="s">
        <v>25</v>
      </c>
      <c r="T30" s="52">
        <v>30</v>
      </c>
      <c r="U30" s="52">
        <f t="shared" si="5"/>
        <v>12</v>
      </c>
      <c r="Y30" s="91" t="s">
        <v>139</v>
      </c>
      <c r="Z30" s="92">
        <v>19.001999999999999</v>
      </c>
      <c r="AA30" s="92">
        <f t="shared" si="6"/>
        <v>7.6007999999999996</v>
      </c>
      <c r="AB30" s="92"/>
    </row>
    <row r="31" spans="1:28" x14ac:dyDescent="0.25">
      <c r="A31" s="95">
        <v>45478</v>
      </c>
      <c r="B31" s="72" t="s">
        <v>661</v>
      </c>
      <c r="C31" s="72" t="s">
        <v>10</v>
      </c>
      <c r="D31" s="72" t="s">
        <v>18</v>
      </c>
      <c r="E31" s="72" t="s">
        <v>56</v>
      </c>
      <c r="F31" s="72">
        <v>1</v>
      </c>
      <c r="G31" s="73">
        <f t="shared" si="8"/>
        <v>40</v>
      </c>
      <c r="H31" s="73">
        <f t="shared" si="1"/>
        <v>40</v>
      </c>
      <c r="I31" s="73">
        <f t="shared" si="2"/>
        <v>38.003999999999998</v>
      </c>
      <c r="J31" s="72" t="s">
        <v>86</v>
      </c>
      <c r="K31" s="74"/>
      <c r="M31" s="79" t="s">
        <v>18</v>
      </c>
      <c r="N31" s="80">
        <f t="shared" si="3"/>
        <v>16</v>
      </c>
      <c r="O31" s="76">
        <f>N31*F31</f>
        <v>16</v>
      </c>
      <c r="P31" s="81" t="s">
        <v>56</v>
      </c>
      <c r="S31" s="50" t="s">
        <v>131</v>
      </c>
      <c r="T31" s="52">
        <v>30</v>
      </c>
      <c r="U31" s="52">
        <f t="shared" ref="U31:U64" si="9">T31*0.1</f>
        <v>3</v>
      </c>
      <c r="Y31" s="91" t="s">
        <v>141</v>
      </c>
      <c r="Z31" s="92">
        <v>40</v>
      </c>
      <c r="AA31" s="92">
        <f t="shared" si="6"/>
        <v>16</v>
      </c>
    </row>
    <row r="32" spans="1:28" x14ac:dyDescent="0.25">
      <c r="A32" s="95">
        <v>45478</v>
      </c>
      <c r="B32" s="72" t="s">
        <v>561</v>
      </c>
      <c r="C32" s="72" t="s">
        <v>8</v>
      </c>
      <c r="D32" s="72" t="s">
        <v>17</v>
      </c>
      <c r="E32" s="72" t="s">
        <v>82</v>
      </c>
      <c r="F32" s="72">
        <v>1</v>
      </c>
      <c r="G32" s="73">
        <f t="shared" si="8"/>
        <v>50</v>
      </c>
      <c r="H32" s="73">
        <f t="shared" si="1"/>
        <v>50</v>
      </c>
      <c r="I32" s="73">
        <f t="shared" si="2"/>
        <v>48.805</v>
      </c>
      <c r="J32" s="72" t="s">
        <v>78</v>
      </c>
      <c r="K32" s="74"/>
      <c r="M32" s="79"/>
      <c r="N32" s="80" t="e">
        <f t="shared" si="3"/>
        <v>#N/A</v>
      </c>
      <c r="O32" s="76"/>
      <c r="P32" s="81"/>
      <c r="S32" s="50" t="s">
        <v>64</v>
      </c>
      <c r="T32" s="52">
        <v>30</v>
      </c>
      <c r="U32" s="52">
        <f t="shared" si="9"/>
        <v>3</v>
      </c>
      <c r="Y32" s="91" t="s">
        <v>144</v>
      </c>
      <c r="Z32" s="92">
        <v>40</v>
      </c>
      <c r="AA32" s="92">
        <f t="shared" si="6"/>
        <v>16</v>
      </c>
    </row>
    <row r="33" spans="1:27" x14ac:dyDescent="0.25">
      <c r="A33" s="95">
        <v>45478</v>
      </c>
      <c r="B33" s="72" t="s">
        <v>204</v>
      </c>
      <c r="C33" s="72" t="s">
        <v>8</v>
      </c>
      <c r="D33" s="72" t="s">
        <v>18</v>
      </c>
      <c r="E33" s="72" t="s">
        <v>82</v>
      </c>
      <c r="F33" s="72">
        <v>1</v>
      </c>
      <c r="G33" s="73">
        <f t="shared" si="8"/>
        <v>40</v>
      </c>
      <c r="H33" s="73">
        <f t="shared" si="1"/>
        <v>40</v>
      </c>
      <c r="I33" s="73">
        <f t="shared" si="2"/>
        <v>40</v>
      </c>
      <c r="J33" s="72" t="s">
        <v>83</v>
      </c>
      <c r="K33" s="74"/>
      <c r="M33" s="79"/>
      <c r="N33" s="80" t="e">
        <f t="shared" si="3"/>
        <v>#N/A</v>
      </c>
      <c r="O33" s="76"/>
      <c r="P33" s="81"/>
      <c r="S33" s="50" t="s">
        <v>97</v>
      </c>
      <c r="T33" s="52">
        <v>30</v>
      </c>
      <c r="U33" s="52">
        <f t="shared" si="9"/>
        <v>3</v>
      </c>
      <c r="Y33" s="91" t="s">
        <v>146</v>
      </c>
      <c r="Z33" s="92">
        <v>39.043999999999997</v>
      </c>
      <c r="AA33" s="92">
        <f t="shared" si="6"/>
        <v>15.617599999999999</v>
      </c>
    </row>
    <row r="34" spans="1:27" x14ac:dyDescent="0.25">
      <c r="A34" s="95">
        <v>45478</v>
      </c>
      <c r="B34" s="72" t="s">
        <v>511</v>
      </c>
      <c r="C34" s="72" t="s">
        <v>8</v>
      </c>
      <c r="D34" s="72" t="s">
        <v>19</v>
      </c>
      <c r="E34" s="72" t="s">
        <v>82</v>
      </c>
      <c r="F34" s="72">
        <v>1</v>
      </c>
      <c r="G34" s="73">
        <f t="shared" si="8"/>
        <v>40</v>
      </c>
      <c r="H34" s="73">
        <f t="shared" si="1"/>
        <v>40</v>
      </c>
      <c r="I34" s="73">
        <f t="shared" si="2"/>
        <v>40</v>
      </c>
      <c r="J34" s="72" t="s">
        <v>83</v>
      </c>
      <c r="K34" s="74"/>
      <c r="M34" s="79"/>
      <c r="N34" s="80" t="e">
        <f t="shared" si="3"/>
        <v>#N/A</v>
      </c>
      <c r="O34" s="76"/>
      <c r="P34" s="81"/>
      <c r="S34" s="50" t="s">
        <v>603</v>
      </c>
      <c r="T34" s="52">
        <v>35</v>
      </c>
      <c r="U34" s="52">
        <f t="shared" si="9"/>
        <v>3.5</v>
      </c>
      <c r="Y34" s="91" t="s">
        <v>148</v>
      </c>
      <c r="Z34" s="92">
        <v>38.003999999999998</v>
      </c>
      <c r="AA34" s="92">
        <f t="shared" si="6"/>
        <v>15.201599999999999</v>
      </c>
    </row>
    <row r="35" spans="1:27" x14ac:dyDescent="0.25">
      <c r="A35" s="95">
        <v>45478</v>
      </c>
      <c r="B35" s="72" t="s">
        <v>511</v>
      </c>
      <c r="C35" s="72" t="s">
        <v>8</v>
      </c>
      <c r="D35" s="72" t="s">
        <v>34</v>
      </c>
      <c r="E35" s="72" t="s">
        <v>82</v>
      </c>
      <c r="F35" s="72">
        <v>1</v>
      </c>
      <c r="G35" s="73">
        <f t="shared" si="8"/>
        <v>10</v>
      </c>
      <c r="H35" s="73">
        <f t="shared" si="1"/>
        <v>10</v>
      </c>
      <c r="I35" s="73">
        <f t="shared" si="2"/>
        <v>10</v>
      </c>
      <c r="J35" s="72" t="s">
        <v>83</v>
      </c>
      <c r="K35" s="74"/>
      <c r="M35" s="79"/>
      <c r="N35" s="80" t="e">
        <f t="shared" si="3"/>
        <v>#N/A</v>
      </c>
      <c r="O35" s="76"/>
      <c r="P35" s="81"/>
      <c r="S35" s="50" t="s">
        <v>607</v>
      </c>
      <c r="T35" s="52">
        <v>35</v>
      </c>
      <c r="U35" s="52">
        <f t="shared" si="9"/>
        <v>3.5</v>
      </c>
      <c r="Y35" s="91" t="s">
        <v>150</v>
      </c>
      <c r="Z35" s="92">
        <v>30</v>
      </c>
      <c r="AA35" s="92">
        <f t="shared" ref="AA35:AA66" si="10">Z35*0.4</f>
        <v>12</v>
      </c>
    </row>
    <row r="36" spans="1:27" x14ac:dyDescent="0.25">
      <c r="A36" s="95">
        <v>45478</v>
      </c>
      <c r="B36" s="72" t="s">
        <v>558</v>
      </c>
      <c r="C36" s="72" t="s">
        <v>10</v>
      </c>
      <c r="D36" s="72" t="s">
        <v>22</v>
      </c>
      <c r="E36" s="72" t="s">
        <v>82</v>
      </c>
      <c r="F36" s="72">
        <v>1</v>
      </c>
      <c r="G36" s="73">
        <f t="shared" si="8"/>
        <v>30</v>
      </c>
      <c r="H36" s="73">
        <f t="shared" si="1"/>
        <v>30</v>
      </c>
      <c r="I36" s="73">
        <f t="shared" si="2"/>
        <v>30</v>
      </c>
      <c r="J36" s="72" t="s">
        <v>83</v>
      </c>
      <c r="K36" s="74"/>
      <c r="M36" s="79"/>
      <c r="N36" s="80" t="e">
        <f t="shared" si="3"/>
        <v>#N/A</v>
      </c>
      <c r="O36" s="76"/>
      <c r="P36" s="81"/>
      <c r="S36" s="50" t="s">
        <v>608</v>
      </c>
      <c r="T36" s="52">
        <v>35</v>
      </c>
      <c r="U36" s="52">
        <f t="shared" si="9"/>
        <v>3.5</v>
      </c>
      <c r="Y36" s="91" t="s">
        <v>153</v>
      </c>
      <c r="Z36" s="92">
        <v>30</v>
      </c>
      <c r="AA36" s="92">
        <f t="shared" si="10"/>
        <v>12</v>
      </c>
    </row>
    <row r="37" spans="1:27" x14ac:dyDescent="0.25">
      <c r="A37" s="95">
        <v>45478</v>
      </c>
      <c r="B37" s="72" t="s">
        <v>662</v>
      </c>
      <c r="C37" s="72" t="s">
        <v>8</v>
      </c>
      <c r="D37" s="72" t="s">
        <v>18</v>
      </c>
      <c r="E37" s="72" t="s">
        <v>82</v>
      </c>
      <c r="F37" s="72">
        <v>2</v>
      </c>
      <c r="G37" s="73">
        <f t="shared" si="8"/>
        <v>40</v>
      </c>
      <c r="H37" s="73">
        <f t="shared" si="1"/>
        <v>80</v>
      </c>
      <c r="I37" s="73">
        <f t="shared" si="2"/>
        <v>80</v>
      </c>
      <c r="J37" s="72" t="s">
        <v>83</v>
      </c>
      <c r="K37" s="74"/>
      <c r="M37" s="79"/>
      <c r="N37" s="80" t="e">
        <f t="shared" si="3"/>
        <v>#N/A</v>
      </c>
      <c r="O37" s="76"/>
      <c r="P37" s="81"/>
      <c r="S37" s="50" t="s">
        <v>39</v>
      </c>
      <c r="T37" s="52">
        <v>10</v>
      </c>
      <c r="U37" s="52">
        <f t="shared" si="9"/>
        <v>1</v>
      </c>
      <c r="Y37" s="91" t="s">
        <v>154</v>
      </c>
      <c r="Z37" s="92">
        <v>29.283000000000001</v>
      </c>
      <c r="AA37" s="92">
        <f t="shared" si="10"/>
        <v>11.713200000000001</v>
      </c>
    </row>
    <row r="38" spans="1:27" x14ac:dyDescent="0.25">
      <c r="A38" s="95">
        <v>45478</v>
      </c>
      <c r="B38" s="72" t="s">
        <v>662</v>
      </c>
      <c r="C38" s="72" t="s">
        <v>8</v>
      </c>
      <c r="D38" s="72" t="s">
        <v>13</v>
      </c>
      <c r="E38" s="72" t="s">
        <v>82</v>
      </c>
      <c r="F38" s="72">
        <v>1</v>
      </c>
      <c r="G38" s="73">
        <f t="shared" si="8"/>
        <v>30</v>
      </c>
      <c r="H38" s="73">
        <f t="shared" si="1"/>
        <v>30</v>
      </c>
      <c r="I38" s="73">
        <f t="shared" si="2"/>
        <v>30</v>
      </c>
      <c r="J38" s="72" t="s">
        <v>83</v>
      </c>
      <c r="K38" s="74"/>
      <c r="M38" s="79"/>
      <c r="N38" s="80" t="e">
        <f t="shared" si="3"/>
        <v>#N/A</v>
      </c>
      <c r="O38" s="76"/>
      <c r="P38" s="81"/>
      <c r="S38" s="50" t="s">
        <v>63</v>
      </c>
      <c r="T38" s="52">
        <v>20</v>
      </c>
      <c r="U38" s="52">
        <f t="shared" si="9"/>
        <v>2</v>
      </c>
      <c r="Y38" s="91" t="s">
        <v>156</v>
      </c>
      <c r="Z38" s="92">
        <v>28.503</v>
      </c>
      <c r="AA38" s="92">
        <f t="shared" si="10"/>
        <v>11.401200000000001</v>
      </c>
    </row>
    <row r="39" spans="1:27" x14ac:dyDescent="0.25">
      <c r="A39" s="95">
        <v>45479</v>
      </c>
      <c r="B39" s="72" t="s">
        <v>663</v>
      </c>
      <c r="C39" s="72" t="s">
        <v>8</v>
      </c>
      <c r="D39" s="72" t="s">
        <v>16</v>
      </c>
      <c r="E39" s="72" t="s">
        <v>56</v>
      </c>
      <c r="F39" s="72">
        <v>1</v>
      </c>
      <c r="G39" s="73">
        <f t="shared" si="8"/>
        <v>80</v>
      </c>
      <c r="H39" s="73">
        <f t="shared" si="1"/>
        <v>80</v>
      </c>
      <c r="I39" s="73">
        <f t="shared" si="2"/>
        <v>80</v>
      </c>
      <c r="J39" s="72" t="s">
        <v>79</v>
      </c>
      <c r="K39" s="74"/>
      <c r="M39" s="79" t="s">
        <v>16</v>
      </c>
      <c r="N39" s="80">
        <f t="shared" si="3"/>
        <v>32</v>
      </c>
      <c r="O39" s="76">
        <f>N39*F39</f>
        <v>32</v>
      </c>
      <c r="P39" s="81" t="s">
        <v>56</v>
      </c>
      <c r="S39" s="50" t="s">
        <v>34</v>
      </c>
      <c r="T39" s="52">
        <v>10</v>
      </c>
      <c r="U39" s="52">
        <f t="shared" si="9"/>
        <v>1</v>
      </c>
      <c r="Y39" s="91" t="s">
        <v>158</v>
      </c>
      <c r="Z39" s="92">
        <v>60</v>
      </c>
      <c r="AA39" s="92">
        <f t="shared" si="10"/>
        <v>24</v>
      </c>
    </row>
    <row r="40" spans="1:27" x14ac:dyDescent="0.25">
      <c r="A40" s="95">
        <v>45479</v>
      </c>
      <c r="B40" s="72" t="s">
        <v>308</v>
      </c>
      <c r="C40" s="72" t="s">
        <v>8</v>
      </c>
      <c r="D40" s="72" t="s">
        <v>17</v>
      </c>
      <c r="E40" s="72" t="s">
        <v>82</v>
      </c>
      <c r="F40" s="72">
        <v>1</v>
      </c>
      <c r="G40" s="73">
        <f t="shared" si="8"/>
        <v>50</v>
      </c>
      <c r="H40" s="73">
        <f t="shared" si="1"/>
        <v>50</v>
      </c>
      <c r="I40" s="73">
        <f t="shared" si="2"/>
        <v>48.805</v>
      </c>
      <c r="J40" s="72" t="s">
        <v>78</v>
      </c>
      <c r="K40" s="74"/>
      <c r="M40" s="79"/>
      <c r="N40" s="80" t="e">
        <f t="shared" si="3"/>
        <v>#N/A</v>
      </c>
      <c r="O40" s="76"/>
      <c r="P40" s="81"/>
      <c r="S40" s="50" t="s">
        <v>36</v>
      </c>
      <c r="T40" s="52">
        <v>35</v>
      </c>
      <c r="U40" s="52">
        <f t="shared" si="9"/>
        <v>3.5</v>
      </c>
      <c r="Y40" s="91" t="s">
        <v>161</v>
      </c>
      <c r="Z40" s="92">
        <v>60</v>
      </c>
      <c r="AA40" s="92">
        <f t="shared" si="10"/>
        <v>24</v>
      </c>
    </row>
    <row r="41" spans="1:27" x14ac:dyDescent="0.25">
      <c r="A41" s="95">
        <v>45479</v>
      </c>
      <c r="B41" s="72" t="s">
        <v>204</v>
      </c>
      <c r="C41" s="72" t="s">
        <v>8</v>
      </c>
      <c r="D41" s="72" t="s">
        <v>15</v>
      </c>
      <c r="E41" s="72" t="s">
        <v>82</v>
      </c>
      <c r="F41" s="72">
        <v>1</v>
      </c>
      <c r="G41" s="73">
        <f t="shared" si="8"/>
        <v>70</v>
      </c>
      <c r="H41" s="73">
        <f t="shared" si="1"/>
        <v>70</v>
      </c>
      <c r="I41" s="73">
        <f t="shared" si="2"/>
        <v>68.326999999999998</v>
      </c>
      <c r="J41" s="72" t="s">
        <v>78</v>
      </c>
      <c r="K41" s="74"/>
      <c r="M41" s="79"/>
      <c r="N41" s="80" t="e">
        <f t="shared" si="3"/>
        <v>#N/A</v>
      </c>
      <c r="O41" s="76"/>
      <c r="P41" s="81"/>
      <c r="S41" s="50" t="s">
        <v>143</v>
      </c>
      <c r="T41" s="52">
        <v>35</v>
      </c>
      <c r="U41" s="52">
        <f t="shared" si="9"/>
        <v>3.5</v>
      </c>
      <c r="Y41" s="91" t="s">
        <v>163</v>
      </c>
      <c r="Z41" s="92">
        <v>58.566000000000003</v>
      </c>
      <c r="AA41" s="92">
        <f t="shared" si="10"/>
        <v>23.426400000000001</v>
      </c>
    </row>
    <row r="42" spans="1:27" x14ac:dyDescent="0.25">
      <c r="A42" s="95">
        <v>45479</v>
      </c>
      <c r="B42" s="72" t="s">
        <v>576</v>
      </c>
      <c r="C42" s="72" t="s">
        <v>8</v>
      </c>
      <c r="D42" s="72" t="s">
        <v>18</v>
      </c>
      <c r="E42" s="72" t="s">
        <v>56</v>
      </c>
      <c r="F42" s="72">
        <v>1</v>
      </c>
      <c r="G42" s="73">
        <f t="shared" si="8"/>
        <v>40</v>
      </c>
      <c r="H42" s="73">
        <f t="shared" si="1"/>
        <v>40</v>
      </c>
      <c r="I42" s="73">
        <f t="shared" si="2"/>
        <v>39.043999999999997</v>
      </c>
      <c r="J42" s="72" t="s">
        <v>78</v>
      </c>
      <c r="K42" s="74"/>
      <c r="M42" s="79" t="s">
        <v>18</v>
      </c>
      <c r="N42" s="80">
        <f t="shared" si="3"/>
        <v>16</v>
      </c>
      <c r="O42" s="76">
        <f>N42*F42</f>
        <v>16</v>
      </c>
      <c r="P42" s="81" t="s">
        <v>56</v>
      </c>
      <c r="S42" s="50" t="s">
        <v>33</v>
      </c>
      <c r="T42" s="52">
        <v>35</v>
      </c>
      <c r="U42" s="52">
        <f t="shared" si="9"/>
        <v>3.5</v>
      </c>
      <c r="Y42" s="91" t="s">
        <v>165</v>
      </c>
      <c r="Z42" s="92">
        <v>57.006</v>
      </c>
      <c r="AA42" s="92">
        <f t="shared" si="10"/>
        <v>22.802400000000002</v>
      </c>
    </row>
    <row r="43" spans="1:27" x14ac:dyDescent="0.25">
      <c r="A43" s="95">
        <v>45479</v>
      </c>
      <c r="B43" s="72" t="s">
        <v>576</v>
      </c>
      <c r="C43" s="72" t="s">
        <v>8</v>
      </c>
      <c r="D43" s="72" t="s">
        <v>62</v>
      </c>
      <c r="E43" s="72" t="s">
        <v>56</v>
      </c>
      <c r="F43" s="72">
        <v>1</v>
      </c>
      <c r="G43" s="73">
        <f t="shared" si="8"/>
        <v>20</v>
      </c>
      <c r="H43" s="73">
        <f t="shared" si="1"/>
        <v>20</v>
      </c>
      <c r="I43" s="73">
        <f t="shared" si="2"/>
        <v>19.521999999999998</v>
      </c>
      <c r="J43" s="72" t="s">
        <v>78</v>
      </c>
      <c r="K43" s="74"/>
      <c r="M43" s="79" t="s">
        <v>62</v>
      </c>
      <c r="N43" s="80">
        <f t="shared" si="3"/>
        <v>2</v>
      </c>
      <c r="O43" s="76">
        <f>N43*F43</f>
        <v>2</v>
      </c>
      <c r="P43" s="81" t="s">
        <v>56</v>
      </c>
      <c r="S43" s="50" t="s">
        <v>26</v>
      </c>
      <c r="T43" s="52">
        <v>35</v>
      </c>
      <c r="U43" s="52">
        <f t="shared" si="9"/>
        <v>3.5</v>
      </c>
      <c r="Y43" s="91" t="s">
        <v>167</v>
      </c>
      <c r="Z43" s="92">
        <v>15</v>
      </c>
      <c r="AA43" s="92">
        <f t="shared" si="10"/>
        <v>6</v>
      </c>
    </row>
    <row r="44" spans="1:27" x14ac:dyDescent="0.25">
      <c r="A44" s="95">
        <v>45479</v>
      </c>
      <c r="B44" s="72" t="s">
        <v>526</v>
      </c>
      <c r="C44" s="72" t="s">
        <v>8</v>
      </c>
      <c r="D44" s="72" t="s">
        <v>18</v>
      </c>
      <c r="E44" s="72" t="s">
        <v>56</v>
      </c>
      <c r="F44" s="72">
        <v>1</v>
      </c>
      <c r="G44" s="73">
        <f t="shared" si="8"/>
        <v>40</v>
      </c>
      <c r="H44" s="73">
        <f t="shared" si="1"/>
        <v>40</v>
      </c>
      <c r="I44" s="73">
        <f t="shared" si="2"/>
        <v>40</v>
      </c>
      <c r="J44" s="72" t="s">
        <v>83</v>
      </c>
      <c r="K44" s="74"/>
      <c r="M44" s="79" t="s">
        <v>18</v>
      </c>
      <c r="N44" s="80">
        <f t="shared" si="3"/>
        <v>16</v>
      </c>
      <c r="O44" s="76">
        <f>N44*F44</f>
        <v>16</v>
      </c>
      <c r="P44" s="81" t="s">
        <v>56</v>
      </c>
      <c r="S44" s="50" t="s">
        <v>61</v>
      </c>
      <c r="T44" s="52">
        <v>35</v>
      </c>
      <c r="U44" s="52">
        <f t="shared" si="9"/>
        <v>3.5</v>
      </c>
      <c r="Y44" s="91" t="s">
        <v>169</v>
      </c>
      <c r="Z44" s="92">
        <v>15</v>
      </c>
      <c r="AA44" s="92">
        <f t="shared" si="10"/>
        <v>6</v>
      </c>
    </row>
    <row r="45" spans="1:27" x14ac:dyDescent="0.25">
      <c r="A45" s="95">
        <v>45479</v>
      </c>
      <c r="B45" s="72" t="s">
        <v>196</v>
      </c>
      <c r="C45" s="72" t="s">
        <v>8</v>
      </c>
      <c r="D45" s="72" t="s">
        <v>18</v>
      </c>
      <c r="E45" s="72" t="s">
        <v>82</v>
      </c>
      <c r="F45" s="72">
        <v>1</v>
      </c>
      <c r="G45" s="73">
        <f t="shared" si="8"/>
        <v>40</v>
      </c>
      <c r="H45" s="73">
        <f t="shared" si="1"/>
        <v>40</v>
      </c>
      <c r="I45" s="73">
        <f t="shared" si="2"/>
        <v>40</v>
      </c>
      <c r="J45" s="72" t="s">
        <v>83</v>
      </c>
      <c r="K45" s="74"/>
      <c r="M45" s="79"/>
      <c r="N45" s="80" t="e">
        <f t="shared" si="3"/>
        <v>#N/A</v>
      </c>
      <c r="O45" s="76"/>
      <c r="P45" s="81"/>
      <c r="S45" s="50" t="s">
        <v>152</v>
      </c>
      <c r="T45" s="52">
        <v>60</v>
      </c>
      <c r="U45" s="52">
        <f t="shared" si="9"/>
        <v>6</v>
      </c>
      <c r="Y45" s="91" t="s">
        <v>171</v>
      </c>
      <c r="Z45" s="92">
        <v>14.641500000000001</v>
      </c>
      <c r="AA45" s="92">
        <f t="shared" si="10"/>
        <v>5.8566000000000003</v>
      </c>
    </row>
    <row r="46" spans="1:27" x14ac:dyDescent="0.25">
      <c r="A46" s="95">
        <v>45479</v>
      </c>
      <c r="B46" s="72" t="s">
        <v>324</v>
      </c>
      <c r="C46" s="72" t="s">
        <v>8</v>
      </c>
      <c r="D46" s="72" t="s">
        <v>17</v>
      </c>
      <c r="E46" s="72" t="s">
        <v>82</v>
      </c>
      <c r="F46" s="72">
        <v>1</v>
      </c>
      <c r="G46" s="73">
        <f t="shared" si="8"/>
        <v>50</v>
      </c>
      <c r="H46" s="73">
        <f t="shared" si="1"/>
        <v>50</v>
      </c>
      <c r="I46" s="73">
        <f t="shared" si="2"/>
        <v>47.505000000000003</v>
      </c>
      <c r="J46" s="72" t="s">
        <v>86</v>
      </c>
      <c r="K46" s="74"/>
      <c r="M46" s="79"/>
      <c r="N46" s="80"/>
      <c r="O46" s="76"/>
      <c r="P46" s="81"/>
      <c r="S46" s="50" t="s">
        <v>62</v>
      </c>
      <c r="T46" s="52">
        <v>20</v>
      </c>
      <c r="U46" s="52">
        <f t="shared" si="9"/>
        <v>2</v>
      </c>
      <c r="Y46" s="91" t="s">
        <v>173</v>
      </c>
      <c r="Z46" s="92">
        <v>14.2515</v>
      </c>
      <c r="AA46" s="92">
        <f t="shared" si="10"/>
        <v>5.7006000000000006</v>
      </c>
    </row>
    <row r="47" spans="1:27" x14ac:dyDescent="0.25">
      <c r="A47" s="95">
        <v>45479</v>
      </c>
      <c r="B47" s="72" t="s">
        <v>204</v>
      </c>
      <c r="C47" s="72" t="s">
        <v>8</v>
      </c>
      <c r="D47" s="72" t="s">
        <v>17</v>
      </c>
      <c r="E47" s="72" t="s">
        <v>82</v>
      </c>
      <c r="F47" s="72">
        <v>1</v>
      </c>
      <c r="G47" s="73">
        <f t="shared" si="8"/>
        <v>50</v>
      </c>
      <c r="H47" s="73">
        <f t="shared" si="1"/>
        <v>50</v>
      </c>
      <c r="I47" s="73">
        <f t="shared" si="2"/>
        <v>50</v>
      </c>
      <c r="J47" s="72" t="s">
        <v>83</v>
      </c>
      <c r="K47" s="74"/>
      <c r="M47" s="79"/>
      <c r="N47" s="80" t="e">
        <f t="shared" ref="N47:N63" si="11">VLOOKUP(M47,$S$3:$U$64,3,0)</f>
        <v>#N/A</v>
      </c>
      <c r="O47" s="76"/>
      <c r="P47" s="81"/>
      <c r="S47" s="50" t="s">
        <v>47</v>
      </c>
      <c r="T47" s="52">
        <v>65</v>
      </c>
      <c r="U47" s="52">
        <f t="shared" si="9"/>
        <v>6.5</v>
      </c>
      <c r="Y47" s="91" t="s">
        <v>176</v>
      </c>
      <c r="Z47" s="92">
        <v>70</v>
      </c>
      <c r="AA47" s="92">
        <f t="shared" si="10"/>
        <v>28</v>
      </c>
    </row>
    <row r="48" spans="1:27" x14ac:dyDescent="0.25">
      <c r="A48" s="95">
        <v>45479</v>
      </c>
      <c r="B48" s="72" t="s">
        <v>247</v>
      </c>
      <c r="C48" s="72" t="s">
        <v>8</v>
      </c>
      <c r="D48" s="72" t="s">
        <v>16</v>
      </c>
      <c r="E48" s="72" t="s">
        <v>82</v>
      </c>
      <c r="F48" s="72">
        <v>1</v>
      </c>
      <c r="G48" s="73">
        <f t="shared" si="8"/>
        <v>80</v>
      </c>
      <c r="H48" s="73">
        <f t="shared" si="1"/>
        <v>80</v>
      </c>
      <c r="I48" s="73">
        <f t="shared" si="2"/>
        <v>80</v>
      </c>
      <c r="J48" s="72" t="s">
        <v>83</v>
      </c>
      <c r="K48" s="74"/>
      <c r="M48" s="79"/>
      <c r="N48" s="80" t="e">
        <f t="shared" si="11"/>
        <v>#N/A</v>
      </c>
      <c r="O48" s="76"/>
      <c r="P48" s="81"/>
      <c r="S48" s="50" t="s">
        <v>57</v>
      </c>
      <c r="T48" s="52">
        <v>40</v>
      </c>
      <c r="U48" s="52">
        <f t="shared" si="9"/>
        <v>4</v>
      </c>
      <c r="Y48" s="91" t="s">
        <v>177</v>
      </c>
      <c r="Z48" s="92">
        <v>70</v>
      </c>
      <c r="AA48" s="92">
        <f t="shared" si="10"/>
        <v>28</v>
      </c>
    </row>
    <row r="49" spans="1:27" x14ac:dyDescent="0.25">
      <c r="A49" s="95">
        <v>45479</v>
      </c>
      <c r="B49" s="72" t="s">
        <v>247</v>
      </c>
      <c r="C49" s="72" t="s">
        <v>8</v>
      </c>
      <c r="D49" s="72" t="s">
        <v>26</v>
      </c>
      <c r="E49" s="72" t="s">
        <v>82</v>
      </c>
      <c r="F49" s="72">
        <v>1</v>
      </c>
      <c r="G49" s="73">
        <f t="shared" si="8"/>
        <v>35</v>
      </c>
      <c r="H49" s="73">
        <f t="shared" si="1"/>
        <v>35</v>
      </c>
      <c r="I49" s="73">
        <f t="shared" si="2"/>
        <v>35</v>
      </c>
      <c r="J49" s="72" t="s">
        <v>83</v>
      </c>
      <c r="K49" s="74"/>
      <c r="M49" s="79"/>
      <c r="N49" s="80" t="e">
        <f t="shared" si="11"/>
        <v>#N/A</v>
      </c>
      <c r="O49" s="76"/>
      <c r="P49" s="81"/>
      <c r="S49" s="50" t="s">
        <v>59</v>
      </c>
      <c r="T49" s="52"/>
      <c r="U49" s="52">
        <f t="shared" si="9"/>
        <v>0</v>
      </c>
      <c r="Y49" s="91" t="s">
        <v>180</v>
      </c>
      <c r="Z49" s="92">
        <v>68.326999999999998</v>
      </c>
      <c r="AA49" s="92">
        <f t="shared" si="10"/>
        <v>27.3308</v>
      </c>
    </row>
    <row r="50" spans="1:27" x14ac:dyDescent="0.25">
      <c r="A50" s="95">
        <v>45479</v>
      </c>
      <c r="B50" s="72" t="s">
        <v>247</v>
      </c>
      <c r="C50" s="72" t="s">
        <v>8</v>
      </c>
      <c r="D50" s="72" t="s">
        <v>34</v>
      </c>
      <c r="E50" s="72" t="s">
        <v>82</v>
      </c>
      <c r="F50" s="72">
        <v>1</v>
      </c>
      <c r="G50" s="73">
        <v>15</v>
      </c>
      <c r="H50" s="73">
        <f t="shared" si="1"/>
        <v>15</v>
      </c>
      <c r="I50" s="73">
        <f t="shared" si="2"/>
        <v>15</v>
      </c>
      <c r="J50" s="72" t="s">
        <v>83</v>
      </c>
      <c r="K50" s="74"/>
      <c r="M50" s="79"/>
      <c r="N50" s="80" t="e">
        <f t="shared" si="11"/>
        <v>#N/A</v>
      </c>
      <c r="O50" s="76"/>
      <c r="P50" s="81"/>
      <c r="S50" s="50" t="s">
        <v>160</v>
      </c>
      <c r="T50" s="52">
        <v>12</v>
      </c>
      <c r="U50" s="52">
        <f t="shared" si="9"/>
        <v>1.2000000000000002</v>
      </c>
      <c r="Y50" s="91" t="s">
        <v>181</v>
      </c>
      <c r="Z50" s="92">
        <v>66.507000000000005</v>
      </c>
      <c r="AA50" s="92">
        <f t="shared" si="10"/>
        <v>26.602800000000002</v>
      </c>
    </row>
    <row r="51" spans="1:27" x14ac:dyDescent="0.25">
      <c r="A51" s="95">
        <v>45479</v>
      </c>
      <c r="B51" s="72" t="s">
        <v>664</v>
      </c>
      <c r="C51" s="72" t="s">
        <v>8</v>
      </c>
      <c r="D51" s="72" t="s">
        <v>15</v>
      </c>
      <c r="E51" s="72" t="s">
        <v>56</v>
      </c>
      <c r="F51" s="72">
        <v>1</v>
      </c>
      <c r="G51" s="73">
        <f t="shared" ref="G51:G63" si="12">VLOOKUP(D51,$S$3:$T$64,2,0)</f>
        <v>70</v>
      </c>
      <c r="H51" s="73">
        <f t="shared" si="1"/>
        <v>70</v>
      </c>
      <c r="I51" s="73">
        <f t="shared" si="2"/>
        <v>70</v>
      </c>
      <c r="J51" s="72" t="s">
        <v>83</v>
      </c>
      <c r="K51" s="74"/>
      <c r="M51" s="72" t="s">
        <v>15</v>
      </c>
      <c r="N51" s="80">
        <f t="shared" si="11"/>
        <v>28</v>
      </c>
      <c r="O51" s="76">
        <f>N51*F51</f>
        <v>28</v>
      </c>
      <c r="P51" s="81" t="s">
        <v>56</v>
      </c>
      <c r="S51" s="50" t="s">
        <v>162</v>
      </c>
      <c r="T51" s="52">
        <v>8</v>
      </c>
      <c r="U51" s="52">
        <f t="shared" si="9"/>
        <v>0.8</v>
      </c>
      <c r="Y51" s="91" t="s">
        <v>184</v>
      </c>
      <c r="Z51" s="92">
        <v>75</v>
      </c>
      <c r="AA51" s="92">
        <f t="shared" si="10"/>
        <v>30</v>
      </c>
    </row>
    <row r="52" spans="1:27" x14ac:dyDescent="0.25">
      <c r="A52" s="95">
        <v>45479</v>
      </c>
      <c r="B52" s="72" t="s">
        <v>665</v>
      </c>
      <c r="C52" s="72" t="s">
        <v>8</v>
      </c>
      <c r="D52" s="72" t="s">
        <v>15</v>
      </c>
      <c r="E52" s="72" t="s">
        <v>56</v>
      </c>
      <c r="F52" s="72">
        <v>1</v>
      </c>
      <c r="G52" s="73">
        <f t="shared" si="12"/>
        <v>70</v>
      </c>
      <c r="H52" s="73">
        <f t="shared" si="1"/>
        <v>70</v>
      </c>
      <c r="I52" s="73">
        <f t="shared" si="2"/>
        <v>70</v>
      </c>
      <c r="J52" s="72" t="s">
        <v>83</v>
      </c>
      <c r="K52" s="74"/>
      <c r="M52" s="72" t="s">
        <v>15</v>
      </c>
      <c r="N52" s="80">
        <f t="shared" si="11"/>
        <v>28</v>
      </c>
      <c r="O52" s="76">
        <f>N52*F52</f>
        <v>28</v>
      </c>
      <c r="P52" s="81" t="s">
        <v>56</v>
      </c>
      <c r="Q52" s="106">
        <f>SUM(O3:O52)</f>
        <v>408.6</v>
      </c>
      <c r="S52" s="50" t="s">
        <v>41</v>
      </c>
      <c r="T52" s="52">
        <v>7</v>
      </c>
      <c r="U52" s="52">
        <f t="shared" si="9"/>
        <v>0.70000000000000007</v>
      </c>
      <c r="Y52" s="91" t="s">
        <v>186</v>
      </c>
      <c r="Z52" s="92">
        <v>75</v>
      </c>
      <c r="AA52" s="92">
        <f t="shared" si="10"/>
        <v>30</v>
      </c>
    </row>
    <row r="53" spans="1:27" x14ac:dyDescent="0.25">
      <c r="A53" s="95">
        <v>45482</v>
      </c>
      <c r="B53" s="72" t="s">
        <v>610</v>
      </c>
      <c r="C53" s="72" t="s">
        <v>8</v>
      </c>
      <c r="D53" s="72" t="s">
        <v>18</v>
      </c>
      <c r="E53" s="72" t="s">
        <v>82</v>
      </c>
      <c r="F53" s="72">
        <v>1</v>
      </c>
      <c r="G53" s="73">
        <f t="shared" si="12"/>
        <v>40</v>
      </c>
      <c r="H53" s="73">
        <f t="shared" si="1"/>
        <v>40</v>
      </c>
      <c r="I53" s="73">
        <f t="shared" si="2"/>
        <v>40</v>
      </c>
      <c r="J53" s="72" t="s">
        <v>83</v>
      </c>
      <c r="K53" s="74"/>
      <c r="M53" s="79"/>
      <c r="N53" s="80" t="e">
        <f t="shared" si="11"/>
        <v>#N/A</v>
      </c>
      <c r="O53" s="76"/>
      <c r="P53" s="81"/>
      <c r="S53" s="50" t="s">
        <v>38</v>
      </c>
      <c r="T53" s="52">
        <v>6</v>
      </c>
      <c r="U53" s="52">
        <f t="shared" si="9"/>
        <v>0.60000000000000009</v>
      </c>
      <c r="Y53" s="91" t="s">
        <v>187</v>
      </c>
      <c r="Z53" s="92">
        <v>73.207499999999996</v>
      </c>
      <c r="AA53" s="92">
        <f t="shared" si="10"/>
        <v>29.283000000000001</v>
      </c>
    </row>
    <row r="54" spans="1:27" x14ac:dyDescent="0.25">
      <c r="A54" s="95">
        <v>45482</v>
      </c>
      <c r="B54" s="72" t="s">
        <v>200</v>
      </c>
      <c r="C54" s="72" t="s">
        <v>8</v>
      </c>
      <c r="D54" s="72" t="s">
        <v>18</v>
      </c>
      <c r="E54" s="72" t="s">
        <v>82</v>
      </c>
      <c r="F54" s="72">
        <v>1</v>
      </c>
      <c r="G54" s="73">
        <f t="shared" si="12"/>
        <v>40</v>
      </c>
      <c r="H54" s="73">
        <f t="shared" si="1"/>
        <v>40</v>
      </c>
      <c r="I54" s="73">
        <f t="shared" si="2"/>
        <v>40</v>
      </c>
      <c r="J54" s="72" t="s">
        <v>83</v>
      </c>
      <c r="K54" s="74"/>
      <c r="M54" s="79"/>
      <c r="N54" s="80" t="e">
        <f t="shared" si="11"/>
        <v>#N/A</v>
      </c>
      <c r="O54" s="76"/>
      <c r="P54" s="81"/>
      <c r="S54" s="50" t="s">
        <v>29</v>
      </c>
      <c r="T54" s="52">
        <v>7</v>
      </c>
      <c r="U54" s="52">
        <f t="shared" si="9"/>
        <v>0.70000000000000007</v>
      </c>
      <c r="Y54" s="91" t="s">
        <v>188</v>
      </c>
      <c r="Z54" s="92">
        <v>71.257499999999993</v>
      </c>
      <c r="AA54" s="92">
        <f t="shared" si="10"/>
        <v>28.503</v>
      </c>
    </row>
    <row r="55" spans="1:27" x14ac:dyDescent="0.25">
      <c r="A55" s="95">
        <v>45482</v>
      </c>
      <c r="B55" s="72" t="s">
        <v>256</v>
      </c>
      <c r="C55" s="72" t="s">
        <v>8</v>
      </c>
      <c r="D55" s="72" t="s">
        <v>18</v>
      </c>
      <c r="E55" s="72" t="s">
        <v>82</v>
      </c>
      <c r="F55" s="72">
        <v>1</v>
      </c>
      <c r="G55" s="73">
        <f t="shared" si="12"/>
        <v>40</v>
      </c>
      <c r="H55" s="73">
        <f t="shared" si="1"/>
        <v>40</v>
      </c>
      <c r="I55" s="73">
        <f t="shared" si="2"/>
        <v>38.003999999999998</v>
      </c>
      <c r="J55" s="72" t="s">
        <v>86</v>
      </c>
      <c r="K55" s="74"/>
      <c r="M55" s="79"/>
      <c r="N55" s="80" t="e">
        <f t="shared" si="11"/>
        <v>#N/A</v>
      </c>
      <c r="O55" s="76"/>
      <c r="P55" s="81"/>
      <c r="S55" s="50" t="s">
        <v>170</v>
      </c>
      <c r="T55" s="52">
        <v>5</v>
      </c>
      <c r="U55" s="52">
        <f t="shared" si="9"/>
        <v>0.5</v>
      </c>
      <c r="Y55" s="91" t="s">
        <v>190</v>
      </c>
      <c r="Z55" s="92">
        <v>55</v>
      </c>
      <c r="AA55" s="92">
        <f t="shared" si="10"/>
        <v>22</v>
      </c>
    </row>
    <row r="56" spans="1:27" x14ac:dyDescent="0.25">
      <c r="A56" s="95">
        <v>45482</v>
      </c>
      <c r="B56" s="72" t="s">
        <v>666</v>
      </c>
      <c r="C56" s="72" t="s">
        <v>8</v>
      </c>
      <c r="D56" s="72" t="s">
        <v>13</v>
      </c>
      <c r="E56" s="72" t="s">
        <v>56</v>
      </c>
      <c r="F56" s="72">
        <v>1</v>
      </c>
      <c r="G56" s="73">
        <f t="shared" si="12"/>
        <v>30</v>
      </c>
      <c r="H56" s="73">
        <f t="shared" si="1"/>
        <v>30</v>
      </c>
      <c r="I56" s="73">
        <f t="shared" si="2"/>
        <v>29.283000000000001</v>
      </c>
      <c r="J56" s="72" t="s">
        <v>78</v>
      </c>
      <c r="K56" s="74"/>
      <c r="M56" s="79" t="s">
        <v>13</v>
      </c>
      <c r="N56" s="80">
        <f t="shared" si="11"/>
        <v>12</v>
      </c>
      <c r="O56" s="76">
        <f>N56*F56</f>
        <v>12</v>
      </c>
      <c r="P56" s="81" t="s">
        <v>56</v>
      </c>
      <c r="S56" s="50" t="s">
        <v>48</v>
      </c>
      <c r="T56" s="52">
        <v>10</v>
      </c>
      <c r="U56" s="52">
        <f t="shared" si="9"/>
        <v>1</v>
      </c>
      <c r="Y56" s="91" t="s">
        <v>192</v>
      </c>
      <c r="Z56" s="92">
        <v>55</v>
      </c>
      <c r="AA56" s="92">
        <f t="shared" si="10"/>
        <v>22</v>
      </c>
    </row>
    <row r="57" spans="1:27" x14ac:dyDescent="0.25">
      <c r="A57" s="95">
        <v>45482</v>
      </c>
      <c r="B57" s="72" t="s">
        <v>591</v>
      </c>
      <c r="C57" s="72" t="s">
        <v>8</v>
      </c>
      <c r="D57" s="72" t="s">
        <v>18</v>
      </c>
      <c r="E57" s="72" t="s">
        <v>82</v>
      </c>
      <c r="F57" s="72">
        <v>1</v>
      </c>
      <c r="G57" s="73">
        <f t="shared" si="12"/>
        <v>40</v>
      </c>
      <c r="H57" s="73">
        <f t="shared" si="1"/>
        <v>40</v>
      </c>
      <c r="I57" s="73">
        <f t="shared" si="2"/>
        <v>40</v>
      </c>
      <c r="J57" s="72" t="s">
        <v>83</v>
      </c>
      <c r="K57" s="74"/>
      <c r="M57" s="79"/>
      <c r="N57" s="80" t="e">
        <f t="shared" si="11"/>
        <v>#N/A</v>
      </c>
      <c r="O57" s="76"/>
      <c r="P57" s="81"/>
      <c r="S57" s="50" t="s">
        <v>44</v>
      </c>
      <c r="T57" s="52">
        <v>5</v>
      </c>
      <c r="U57" s="52">
        <f t="shared" si="9"/>
        <v>0.5</v>
      </c>
      <c r="Y57" s="91" t="s">
        <v>193</v>
      </c>
      <c r="Z57" s="92">
        <v>53.685499999999998</v>
      </c>
      <c r="AA57" s="92">
        <f t="shared" si="10"/>
        <v>21.4742</v>
      </c>
    </row>
    <row r="58" spans="1:27" x14ac:dyDescent="0.25">
      <c r="A58" s="95">
        <v>45482</v>
      </c>
      <c r="B58" s="72" t="s">
        <v>667</v>
      </c>
      <c r="C58" s="72" t="s">
        <v>8</v>
      </c>
      <c r="D58" s="72" t="s">
        <v>18</v>
      </c>
      <c r="E58" s="72" t="s">
        <v>82</v>
      </c>
      <c r="F58" s="72">
        <v>2</v>
      </c>
      <c r="G58" s="73">
        <f t="shared" si="12"/>
        <v>40</v>
      </c>
      <c r="H58" s="73">
        <f t="shared" si="1"/>
        <v>80</v>
      </c>
      <c r="I58" s="73">
        <f t="shared" si="2"/>
        <v>80</v>
      </c>
      <c r="J58" s="72" t="s">
        <v>83</v>
      </c>
      <c r="K58" s="74"/>
      <c r="M58" s="79"/>
      <c r="N58" s="80" t="e">
        <f t="shared" si="11"/>
        <v>#N/A</v>
      </c>
      <c r="O58" s="76"/>
      <c r="P58" s="81"/>
      <c r="S58" s="50" t="s">
        <v>37</v>
      </c>
      <c r="T58" s="52">
        <v>7</v>
      </c>
      <c r="U58" s="52">
        <f t="shared" si="9"/>
        <v>0.70000000000000007</v>
      </c>
      <c r="Y58" s="91" t="s">
        <v>195</v>
      </c>
      <c r="Z58" s="92">
        <v>52.255499999999998</v>
      </c>
      <c r="AA58" s="92">
        <f t="shared" si="10"/>
        <v>20.902200000000001</v>
      </c>
    </row>
    <row r="59" spans="1:27" x14ac:dyDescent="0.25">
      <c r="A59" s="95">
        <v>45482</v>
      </c>
      <c r="B59" s="72" t="s">
        <v>667</v>
      </c>
      <c r="C59" s="72" t="s">
        <v>8</v>
      </c>
      <c r="D59" s="72" t="s">
        <v>24</v>
      </c>
      <c r="E59" s="72" t="s">
        <v>82</v>
      </c>
      <c r="F59" s="72">
        <v>1</v>
      </c>
      <c r="G59" s="73">
        <f t="shared" si="12"/>
        <v>10</v>
      </c>
      <c r="H59" s="73">
        <f t="shared" si="1"/>
        <v>10</v>
      </c>
      <c r="I59" s="73">
        <f t="shared" si="2"/>
        <v>10</v>
      </c>
      <c r="J59" s="72" t="s">
        <v>83</v>
      </c>
      <c r="K59" s="74"/>
      <c r="M59" s="79"/>
      <c r="N59" s="80" t="e">
        <f t="shared" si="11"/>
        <v>#N/A</v>
      </c>
      <c r="O59" s="76"/>
      <c r="P59" s="81"/>
      <c r="S59" s="50" t="s">
        <v>179</v>
      </c>
      <c r="T59" s="52">
        <v>3.5</v>
      </c>
      <c r="U59" s="52">
        <f t="shared" si="9"/>
        <v>0.35000000000000003</v>
      </c>
      <c r="Y59" s="91" t="s">
        <v>197</v>
      </c>
      <c r="Z59" s="92">
        <v>100</v>
      </c>
      <c r="AA59" s="92">
        <f t="shared" si="10"/>
        <v>40</v>
      </c>
    </row>
    <row r="60" spans="1:27" x14ac:dyDescent="0.25">
      <c r="A60" s="95">
        <v>45483</v>
      </c>
      <c r="B60" s="72" t="s">
        <v>485</v>
      </c>
      <c r="C60" s="72" t="s">
        <v>8</v>
      </c>
      <c r="D60" s="72" t="s">
        <v>18</v>
      </c>
      <c r="E60" s="72" t="s">
        <v>82</v>
      </c>
      <c r="F60" s="72">
        <v>1</v>
      </c>
      <c r="G60" s="73">
        <f t="shared" si="12"/>
        <v>40</v>
      </c>
      <c r="H60" s="73">
        <f t="shared" si="1"/>
        <v>40</v>
      </c>
      <c r="I60" s="73">
        <f t="shared" si="2"/>
        <v>38.003999999999998</v>
      </c>
      <c r="J60" s="72" t="s">
        <v>86</v>
      </c>
      <c r="K60" s="74"/>
      <c r="M60" s="79"/>
      <c r="N60" s="80" t="e">
        <f t="shared" si="11"/>
        <v>#N/A</v>
      </c>
      <c r="O60" s="76"/>
      <c r="P60" s="81"/>
      <c r="S60" s="50" t="s">
        <v>46</v>
      </c>
      <c r="T60" s="52">
        <v>5</v>
      </c>
      <c r="U60" s="52">
        <f t="shared" si="9"/>
        <v>0.5</v>
      </c>
      <c r="Y60" s="91" t="s">
        <v>199</v>
      </c>
      <c r="Z60" s="92">
        <v>100</v>
      </c>
      <c r="AA60" s="92">
        <f t="shared" si="10"/>
        <v>40</v>
      </c>
    </row>
    <row r="61" spans="1:27" x14ac:dyDescent="0.25">
      <c r="A61" s="95">
        <v>45483</v>
      </c>
      <c r="B61" s="72" t="s">
        <v>668</v>
      </c>
      <c r="C61" s="72" t="s">
        <v>8</v>
      </c>
      <c r="D61" s="72" t="s">
        <v>16</v>
      </c>
      <c r="E61" s="72" t="s">
        <v>82</v>
      </c>
      <c r="F61" s="72">
        <v>1</v>
      </c>
      <c r="G61" s="73">
        <f t="shared" si="12"/>
        <v>80</v>
      </c>
      <c r="H61" s="73">
        <f t="shared" si="1"/>
        <v>80</v>
      </c>
      <c r="I61" s="73">
        <f t="shared" si="2"/>
        <v>80</v>
      </c>
      <c r="J61" s="72" t="s">
        <v>79</v>
      </c>
      <c r="K61" s="74"/>
      <c r="M61" s="79"/>
      <c r="N61" s="80" t="e">
        <f t="shared" si="11"/>
        <v>#N/A</v>
      </c>
      <c r="O61" s="76"/>
      <c r="P61" s="81"/>
      <c r="S61" s="50" t="s">
        <v>183</v>
      </c>
      <c r="T61" s="52">
        <v>7</v>
      </c>
      <c r="U61" s="52">
        <f t="shared" si="9"/>
        <v>0.70000000000000007</v>
      </c>
      <c r="Y61" s="91" t="s">
        <v>201</v>
      </c>
      <c r="Z61" s="92">
        <v>97.61</v>
      </c>
      <c r="AA61" s="92">
        <f t="shared" si="10"/>
        <v>39.044000000000004</v>
      </c>
    </row>
    <row r="62" spans="1:27" x14ac:dyDescent="0.25">
      <c r="A62" s="95">
        <v>45483</v>
      </c>
      <c r="B62" s="72" t="s">
        <v>593</v>
      </c>
      <c r="C62" s="72" t="s">
        <v>8</v>
      </c>
      <c r="D62" s="72" t="s">
        <v>18</v>
      </c>
      <c r="E62" s="72" t="s">
        <v>82</v>
      </c>
      <c r="F62" s="72">
        <v>1</v>
      </c>
      <c r="G62" s="73">
        <f t="shared" si="12"/>
        <v>40</v>
      </c>
      <c r="H62" s="73">
        <f t="shared" si="1"/>
        <v>40</v>
      </c>
      <c r="I62" s="73">
        <f t="shared" si="2"/>
        <v>39.043999999999997</v>
      </c>
      <c r="J62" s="72" t="s">
        <v>78</v>
      </c>
      <c r="K62" s="74"/>
      <c r="M62" s="79"/>
      <c r="N62" s="80" t="e">
        <f t="shared" si="11"/>
        <v>#N/A</v>
      </c>
      <c r="O62" s="76"/>
      <c r="P62" s="81"/>
      <c r="S62" s="50" t="s">
        <v>35</v>
      </c>
      <c r="T62" s="52">
        <v>7</v>
      </c>
      <c r="U62" s="52">
        <f t="shared" si="9"/>
        <v>0.70000000000000007</v>
      </c>
      <c r="Y62" s="91" t="s">
        <v>203</v>
      </c>
      <c r="Z62" s="92">
        <v>95.01</v>
      </c>
      <c r="AA62" s="92">
        <f t="shared" si="10"/>
        <v>38.004000000000005</v>
      </c>
    </row>
    <row r="63" spans="1:27" x14ac:dyDescent="0.25">
      <c r="A63" s="95">
        <v>45483</v>
      </c>
      <c r="B63" s="72" t="s">
        <v>511</v>
      </c>
      <c r="C63" s="72" t="s">
        <v>8</v>
      </c>
      <c r="D63" s="72" t="s">
        <v>18</v>
      </c>
      <c r="E63" s="72" t="s">
        <v>82</v>
      </c>
      <c r="F63" s="72">
        <v>1</v>
      </c>
      <c r="G63" s="73">
        <f t="shared" si="12"/>
        <v>40</v>
      </c>
      <c r="H63" s="73">
        <f t="shared" si="1"/>
        <v>40</v>
      </c>
      <c r="I63" s="73">
        <f t="shared" si="2"/>
        <v>38.003999999999998</v>
      </c>
      <c r="J63" s="72" t="s">
        <v>86</v>
      </c>
      <c r="K63" s="74"/>
      <c r="M63" s="79"/>
      <c r="N63" s="80" t="e">
        <f t="shared" si="11"/>
        <v>#N/A</v>
      </c>
      <c r="O63" s="76"/>
      <c r="P63" s="81"/>
      <c r="S63" s="50" t="s">
        <v>155</v>
      </c>
      <c r="T63" s="52">
        <v>3.5</v>
      </c>
      <c r="U63" s="52">
        <f t="shared" si="9"/>
        <v>0.35000000000000003</v>
      </c>
      <c r="Y63" s="91" t="s">
        <v>205</v>
      </c>
      <c r="Z63" s="92">
        <v>80</v>
      </c>
      <c r="AA63" s="92">
        <f t="shared" si="10"/>
        <v>32</v>
      </c>
    </row>
    <row r="64" spans="1:27" x14ac:dyDescent="0.25">
      <c r="A64" s="95">
        <v>45483</v>
      </c>
      <c r="B64" s="72" t="s">
        <v>669</v>
      </c>
      <c r="C64" s="72" t="s">
        <v>10</v>
      </c>
      <c r="D64" s="72" t="s">
        <v>59</v>
      </c>
      <c r="E64" s="72" t="s">
        <v>56</v>
      </c>
      <c r="F64" s="72">
        <v>2</v>
      </c>
      <c r="G64" s="73">
        <v>14</v>
      </c>
      <c r="H64" s="73">
        <f t="shared" si="1"/>
        <v>28</v>
      </c>
      <c r="I64" s="73">
        <f t="shared" si="2"/>
        <v>28</v>
      </c>
      <c r="J64" s="72" t="s">
        <v>83</v>
      </c>
      <c r="K64" s="74"/>
      <c r="M64" s="79" t="s">
        <v>59</v>
      </c>
      <c r="N64" s="80">
        <f>G64*0.1</f>
        <v>1.4000000000000001</v>
      </c>
      <c r="O64" s="76">
        <f>N64*F64</f>
        <v>2.8000000000000003</v>
      </c>
      <c r="P64" s="81" t="s">
        <v>56</v>
      </c>
      <c r="S64" s="50" t="s">
        <v>45</v>
      </c>
      <c r="T64" s="52">
        <v>3.5</v>
      </c>
      <c r="U64" s="52">
        <f t="shared" si="9"/>
        <v>0.35000000000000003</v>
      </c>
      <c r="Y64" s="91" t="s">
        <v>207</v>
      </c>
      <c r="Z64" s="92">
        <v>80</v>
      </c>
      <c r="AA64" s="92">
        <f t="shared" si="10"/>
        <v>32</v>
      </c>
    </row>
    <row r="65" spans="1:27" x14ac:dyDescent="0.25">
      <c r="A65" s="95">
        <v>45484</v>
      </c>
      <c r="B65" s="72" t="s">
        <v>670</v>
      </c>
      <c r="C65" s="72" t="s">
        <v>8</v>
      </c>
      <c r="D65" s="72" t="s">
        <v>18</v>
      </c>
      <c r="E65" s="72" t="s">
        <v>56</v>
      </c>
      <c r="F65" s="72">
        <v>1</v>
      </c>
      <c r="G65" s="73">
        <f>VLOOKUP(D65,$S$3:$T$64,2,0)</f>
        <v>40</v>
      </c>
      <c r="H65" s="73">
        <f t="shared" si="1"/>
        <v>40</v>
      </c>
      <c r="I65" s="73">
        <f t="shared" si="2"/>
        <v>39.043999999999997</v>
      </c>
      <c r="J65" s="72" t="s">
        <v>78</v>
      </c>
      <c r="K65" s="74"/>
      <c r="M65" s="79" t="s">
        <v>18</v>
      </c>
      <c r="N65" s="80">
        <f t="shared" ref="N65:N71" si="13">VLOOKUP(M65,$S$3:$U$64,3,0)</f>
        <v>16</v>
      </c>
      <c r="O65" s="76">
        <f>N65*F65</f>
        <v>16</v>
      </c>
      <c r="P65" s="81" t="s">
        <v>56</v>
      </c>
      <c r="Y65" s="91" t="s">
        <v>208</v>
      </c>
      <c r="Z65" s="92">
        <v>78.087999999999994</v>
      </c>
      <c r="AA65" s="92">
        <f t="shared" si="10"/>
        <v>31.235199999999999</v>
      </c>
    </row>
    <row r="66" spans="1:27" x14ac:dyDescent="0.25">
      <c r="A66" s="95">
        <v>45484</v>
      </c>
      <c r="B66" s="72" t="s">
        <v>558</v>
      </c>
      <c r="C66" s="72" t="s">
        <v>8</v>
      </c>
      <c r="D66" s="72" t="s">
        <v>18</v>
      </c>
      <c r="E66" s="72" t="s">
        <v>82</v>
      </c>
      <c r="F66" s="72">
        <v>1</v>
      </c>
      <c r="G66" s="73">
        <f>VLOOKUP(D66,$S$3:$T$64,2,0)</f>
        <v>40</v>
      </c>
      <c r="H66" s="73">
        <f t="shared" si="1"/>
        <v>40</v>
      </c>
      <c r="I66" s="73">
        <f t="shared" si="2"/>
        <v>39.043999999999997</v>
      </c>
      <c r="J66" s="72" t="s">
        <v>78</v>
      </c>
      <c r="K66" s="74"/>
      <c r="M66" s="79"/>
      <c r="N66" s="80" t="e">
        <f t="shared" si="13"/>
        <v>#N/A</v>
      </c>
      <c r="O66" s="76"/>
      <c r="P66" s="81"/>
      <c r="Y66" s="91" t="s">
        <v>209</v>
      </c>
      <c r="Z66" s="92">
        <v>76.007999999999996</v>
      </c>
      <c r="AA66" s="92">
        <f t="shared" si="10"/>
        <v>30.403199999999998</v>
      </c>
    </row>
    <row r="67" spans="1:27" x14ac:dyDescent="0.25">
      <c r="A67" s="95">
        <v>45484</v>
      </c>
      <c r="B67" s="72" t="s">
        <v>558</v>
      </c>
      <c r="C67" s="72" t="s">
        <v>8</v>
      </c>
      <c r="D67" s="72" t="s">
        <v>59</v>
      </c>
      <c r="E67" s="72" t="s">
        <v>82</v>
      </c>
      <c r="F67" s="72">
        <v>1</v>
      </c>
      <c r="G67" s="73">
        <v>20</v>
      </c>
      <c r="H67" s="73">
        <f t="shared" ref="H67:H130" si="14">F67*G67</f>
        <v>20</v>
      </c>
      <c r="I67" s="73">
        <f t="shared" ref="I67:I130" si="15">IF(J67="Cartão de Debito",H67-(H67*$AC$5),IF(J67="Cartão de Credito",H67-(H67*$AC$6), IF(J67="Pix",H67-(H67*$AC$7), IF(J67="Dinheiro (R$)", H67-(H67*$AC$8)))))</f>
        <v>19.521999999999998</v>
      </c>
      <c r="J67" s="72" t="s">
        <v>78</v>
      </c>
      <c r="K67" s="74"/>
      <c r="M67" s="79"/>
      <c r="N67" s="80" t="e">
        <f t="shared" si="13"/>
        <v>#N/A</v>
      </c>
      <c r="O67" s="76"/>
      <c r="P67" s="81"/>
      <c r="Y67" s="91" t="s">
        <v>211</v>
      </c>
      <c r="Z67" s="92">
        <v>130</v>
      </c>
      <c r="AA67" s="92">
        <f t="shared" ref="AA67:AA74" si="16">Z67*0.4</f>
        <v>52</v>
      </c>
    </row>
    <row r="68" spans="1:27" x14ac:dyDescent="0.25">
      <c r="A68" s="95">
        <v>45484</v>
      </c>
      <c r="B68" s="72" t="s">
        <v>490</v>
      </c>
      <c r="C68" s="72" t="s">
        <v>8</v>
      </c>
      <c r="D68" s="72" t="s">
        <v>18</v>
      </c>
      <c r="E68" s="72" t="s">
        <v>82</v>
      </c>
      <c r="F68" s="72">
        <v>1</v>
      </c>
      <c r="G68" s="73">
        <f>VLOOKUP(D68,$S$3:$T$64,2,0)</f>
        <v>40</v>
      </c>
      <c r="H68" s="73">
        <f t="shared" si="14"/>
        <v>40</v>
      </c>
      <c r="I68" s="73">
        <f t="shared" si="15"/>
        <v>39.043999999999997</v>
      </c>
      <c r="J68" s="72" t="s">
        <v>78</v>
      </c>
      <c r="K68" s="74"/>
      <c r="M68" s="79"/>
      <c r="N68" s="80" t="e">
        <f t="shared" si="13"/>
        <v>#N/A</v>
      </c>
      <c r="O68" s="76"/>
      <c r="P68" s="81"/>
      <c r="Y68" s="91" t="s">
        <v>213</v>
      </c>
      <c r="Z68" s="92">
        <v>130</v>
      </c>
      <c r="AA68" s="92">
        <f t="shared" si="16"/>
        <v>52</v>
      </c>
    </row>
    <row r="69" spans="1:27" x14ac:dyDescent="0.25">
      <c r="A69" s="95">
        <v>45484</v>
      </c>
      <c r="B69" s="72" t="s">
        <v>200</v>
      </c>
      <c r="C69" s="72" t="s">
        <v>8</v>
      </c>
      <c r="D69" s="72" t="s">
        <v>18</v>
      </c>
      <c r="E69" s="72" t="s">
        <v>82</v>
      </c>
      <c r="F69" s="72">
        <v>2</v>
      </c>
      <c r="G69" s="73">
        <f>VLOOKUP(D69,$S$3:$T$64,2,0)</f>
        <v>40</v>
      </c>
      <c r="H69" s="73">
        <f t="shared" si="14"/>
        <v>80</v>
      </c>
      <c r="I69" s="73">
        <f t="shared" si="15"/>
        <v>80</v>
      </c>
      <c r="J69" s="72" t="s">
        <v>83</v>
      </c>
      <c r="K69" s="74"/>
      <c r="M69" s="79"/>
      <c r="N69" s="80" t="e">
        <f t="shared" si="13"/>
        <v>#N/A</v>
      </c>
      <c r="O69" s="76"/>
      <c r="P69" s="81"/>
      <c r="Y69" s="91" t="s">
        <v>214</v>
      </c>
      <c r="Z69" s="92">
        <v>126.893</v>
      </c>
      <c r="AA69" s="92">
        <f t="shared" si="16"/>
        <v>50.757200000000005</v>
      </c>
    </row>
    <row r="70" spans="1:27" x14ac:dyDescent="0.25">
      <c r="A70" s="95">
        <v>45484</v>
      </c>
      <c r="B70" s="72" t="s">
        <v>593</v>
      </c>
      <c r="C70" s="72" t="s">
        <v>8</v>
      </c>
      <c r="D70" s="72" t="s">
        <v>19</v>
      </c>
      <c r="E70" s="72" t="s">
        <v>82</v>
      </c>
      <c r="F70" s="72">
        <v>2</v>
      </c>
      <c r="G70" s="73">
        <v>35</v>
      </c>
      <c r="H70" s="73">
        <f t="shared" si="14"/>
        <v>70</v>
      </c>
      <c r="I70" s="73">
        <f t="shared" si="15"/>
        <v>70</v>
      </c>
      <c r="J70" s="72" t="s">
        <v>83</v>
      </c>
      <c r="K70" s="74"/>
      <c r="M70" s="79"/>
      <c r="N70" s="80" t="e">
        <f t="shared" si="13"/>
        <v>#N/A</v>
      </c>
      <c r="O70" s="76"/>
      <c r="P70" s="81"/>
      <c r="Y70" s="91" t="s">
        <v>208</v>
      </c>
      <c r="Z70" s="92">
        <v>78.087999999999994</v>
      </c>
      <c r="AA70" s="92">
        <f t="shared" si="16"/>
        <v>31.235199999999999</v>
      </c>
    </row>
    <row r="71" spans="1:27" x14ac:dyDescent="0.25">
      <c r="A71" s="95">
        <v>45484</v>
      </c>
      <c r="B71" s="72" t="s">
        <v>671</v>
      </c>
      <c r="C71" s="72" t="s">
        <v>10</v>
      </c>
      <c r="D71" s="72" t="s">
        <v>18</v>
      </c>
      <c r="E71" s="72" t="s">
        <v>56</v>
      </c>
      <c r="F71" s="72">
        <v>1</v>
      </c>
      <c r="G71" s="73">
        <f>VLOOKUP(D71,$S$3:$T$64,2,0)</f>
        <v>40</v>
      </c>
      <c r="H71" s="73">
        <f t="shared" si="14"/>
        <v>40</v>
      </c>
      <c r="I71" s="73">
        <f t="shared" si="15"/>
        <v>39.043999999999997</v>
      </c>
      <c r="J71" s="72" t="s">
        <v>78</v>
      </c>
      <c r="K71" s="74"/>
      <c r="M71" s="79" t="s">
        <v>18</v>
      </c>
      <c r="N71" s="80">
        <f t="shared" si="13"/>
        <v>16</v>
      </c>
      <c r="O71" s="76">
        <f>N71*F71</f>
        <v>16</v>
      </c>
      <c r="P71" s="81" t="s">
        <v>56</v>
      </c>
      <c r="Y71" s="91" t="s">
        <v>219</v>
      </c>
      <c r="Z71" s="92">
        <v>90</v>
      </c>
      <c r="AA71" s="92">
        <f t="shared" si="16"/>
        <v>36</v>
      </c>
    </row>
    <row r="72" spans="1:27" x14ac:dyDescent="0.25">
      <c r="A72" s="95">
        <v>45484</v>
      </c>
      <c r="B72" s="72" t="s">
        <v>671</v>
      </c>
      <c r="C72" s="72" t="s">
        <v>10</v>
      </c>
      <c r="D72" s="72" t="s">
        <v>59</v>
      </c>
      <c r="E72" s="72" t="s">
        <v>56</v>
      </c>
      <c r="F72" s="72">
        <v>2</v>
      </c>
      <c r="G72" s="73">
        <v>14</v>
      </c>
      <c r="H72" s="73">
        <f t="shared" si="14"/>
        <v>28</v>
      </c>
      <c r="I72" s="73">
        <f t="shared" si="15"/>
        <v>27.3308</v>
      </c>
      <c r="J72" s="72" t="s">
        <v>78</v>
      </c>
      <c r="K72" s="74"/>
      <c r="M72" s="79" t="s">
        <v>59</v>
      </c>
      <c r="N72" s="80">
        <f>G72*0.1</f>
        <v>1.4000000000000001</v>
      </c>
      <c r="O72" s="76">
        <f>N72*F72</f>
        <v>2.8000000000000003</v>
      </c>
      <c r="P72" s="81" t="s">
        <v>56</v>
      </c>
      <c r="Y72" s="91" t="s">
        <v>221</v>
      </c>
      <c r="Z72" s="92">
        <v>90</v>
      </c>
      <c r="AA72" s="92">
        <f t="shared" si="16"/>
        <v>36</v>
      </c>
    </row>
    <row r="73" spans="1:27" x14ac:dyDescent="0.25">
      <c r="A73" s="95">
        <v>45484</v>
      </c>
      <c r="B73" s="72" t="s">
        <v>672</v>
      </c>
      <c r="C73" s="72" t="s">
        <v>8</v>
      </c>
      <c r="D73" s="72" t="s">
        <v>19</v>
      </c>
      <c r="E73" s="72" t="s">
        <v>82</v>
      </c>
      <c r="F73" s="72">
        <v>1</v>
      </c>
      <c r="G73" s="73">
        <v>30</v>
      </c>
      <c r="H73" s="73">
        <f t="shared" si="14"/>
        <v>30</v>
      </c>
      <c r="I73" s="73">
        <f t="shared" si="15"/>
        <v>30</v>
      </c>
      <c r="J73" s="72" t="s">
        <v>83</v>
      </c>
      <c r="K73" s="74"/>
      <c r="M73" s="79"/>
      <c r="N73" s="80" t="e">
        <f>VLOOKUP(M73,$S$3:$U$64,3,0)</f>
        <v>#N/A</v>
      </c>
      <c r="O73" s="76"/>
      <c r="P73" s="81"/>
      <c r="Y73" s="91" t="s">
        <v>222</v>
      </c>
      <c r="Z73" s="92">
        <v>87.849000000000004</v>
      </c>
      <c r="AA73" s="92">
        <f t="shared" si="16"/>
        <v>35.139600000000002</v>
      </c>
    </row>
    <row r="74" spans="1:27" x14ac:dyDescent="0.25">
      <c r="A74" s="95">
        <v>45484</v>
      </c>
      <c r="B74" s="72" t="s">
        <v>673</v>
      </c>
      <c r="C74" s="72" t="s">
        <v>8</v>
      </c>
      <c r="D74" s="72" t="s">
        <v>18</v>
      </c>
      <c r="E74" s="72" t="s">
        <v>82</v>
      </c>
      <c r="F74" s="72">
        <v>1</v>
      </c>
      <c r="G74" s="73">
        <f t="shared" ref="G74:G90" si="17">VLOOKUP(D74,$S$3:$T$64,2,0)</f>
        <v>40</v>
      </c>
      <c r="H74" s="73">
        <f t="shared" si="14"/>
        <v>40</v>
      </c>
      <c r="I74" s="73">
        <f t="shared" si="15"/>
        <v>40</v>
      </c>
      <c r="J74" s="72" t="s">
        <v>83</v>
      </c>
      <c r="K74" s="74"/>
      <c r="M74" s="79"/>
      <c r="N74" s="80" t="e">
        <f>VLOOKUP(M74,$S$3:$U$64,3,0)</f>
        <v>#N/A</v>
      </c>
      <c r="O74" s="76"/>
      <c r="P74" s="81"/>
      <c r="Y74" s="91" t="s">
        <v>224</v>
      </c>
      <c r="Z74" s="92">
        <v>85.509</v>
      </c>
      <c r="AA74" s="92">
        <f t="shared" si="16"/>
        <v>34.203600000000002</v>
      </c>
    </row>
    <row r="75" spans="1:27" x14ac:dyDescent="0.25">
      <c r="A75" s="95">
        <v>45484</v>
      </c>
      <c r="B75" s="72" t="s">
        <v>482</v>
      </c>
      <c r="C75" s="72" t="s">
        <v>8</v>
      </c>
      <c r="D75" s="72" t="s">
        <v>18</v>
      </c>
      <c r="E75" s="72" t="s">
        <v>56</v>
      </c>
      <c r="F75" s="72">
        <v>1</v>
      </c>
      <c r="G75" s="73">
        <f t="shared" si="17"/>
        <v>40</v>
      </c>
      <c r="H75" s="73">
        <f t="shared" si="14"/>
        <v>40</v>
      </c>
      <c r="I75" s="73">
        <f t="shared" si="15"/>
        <v>40</v>
      </c>
      <c r="J75" s="72" t="s">
        <v>79</v>
      </c>
      <c r="K75" s="74" t="s">
        <v>674</v>
      </c>
      <c r="M75" s="79" t="s">
        <v>18</v>
      </c>
      <c r="N75" s="80">
        <f>VLOOKUP(M75,$S$3:$U$64,3,0)</f>
        <v>16</v>
      </c>
      <c r="O75" s="76">
        <f>N75*F75</f>
        <v>16</v>
      </c>
      <c r="P75" s="81" t="s">
        <v>56</v>
      </c>
      <c r="Y75" s="91" t="s">
        <v>226</v>
      </c>
      <c r="Z75" s="92">
        <v>30</v>
      </c>
      <c r="AA75" s="92">
        <f t="shared" ref="AA75:AA118" si="18">Z75*0.1</f>
        <v>3</v>
      </c>
    </row>
    <row r="76" spans="1:27" x14ac:dyDescent="0.25">
      <c r="A76" s="95">
        <v>45485</v>
      </c>
      <c r="B76" s="72" t="s">
        <v>580</v>
      </c>
      <c r="C76" s="72" t="s">
        <v>10</v>
      </c>
      <c r="D76" s="72" t="s">
        <v>18</v>
      </c>
      <c r="E76" s="72" t="s">
        <v>56</v>
      </c>
      <c r="F76" s="72">
        <v>1</v>
      </c>
      <c r="G76" s="73">
        <f t="shared" si="17"/>
        <v>40</v>
      </c>
      <c r="H76" s="73">
        <f t="shared" si="14"/>
        <v>40</v>
      </c>
      <c r="I76" s="73">
        <f t="shared" si="15"/>
        <v>40</v>
      </c>
      <c r="J76" s="72" t="s">
        <v>83</v>
      </c>
      <c r="K76" s="74"/>
      <c r="M76" s="79" t="s">
        <v>18</v>
      </c>
      <c r="N76" s="80">
        <f>VLOOKUP(M76,$S$3:$U$64,3,0)</f>
        <v>16</v>
      </c>
      <c r="O76" s="76">
        <f>N76*F76</f>
        <v>16</v>
      </c>
      <c r="P76" s="81" t="s">
        <v>56</v>
      </c>
      <c r="Y76" s="91" t="s">
        <v>228</v>
      </c>
      <c r="Z76" s="92">
        <v>30</v>
      </c>
      <c r="AA76" s="92">
        <f t="shared" si="18"/>
        <v>3</v>
      </c>
    </row>
    <row r="77" spans="1:27" x14ac:dyDescent="0.25">
      <c r="A77" s="95">
        <v>45485</v>
      </c>
      <c r="B77" s="72" t="s">
        <v>580</v>
      </c>
      <c r="C77" s="72" t="s">
        <v>10</v>
      </c>
      <c r="D77" s="72" t="s">
        <v>34</v>
      </c>
      <c r="E77" s="72" t="s">
        <v>56</v>
      </c>
      <c r="F77" s="72">
        <v>1</v>
      </c>
      <c r="G77" s="73">
        <f t="shared" si="17"/>
        <v>10</v>
      </c>
      <c r="H77" s="73">
        <f t="shared" si="14"/>
        <v>10</v>
      </c>
      <c r="I77" s="73">
        <f t="shared" si="15"/>
        <v>10</v>
      </c>
      <c r="J77" s="72" t="s">
        <v>83</v>
      </c>
      <c r="K77" s="74"/>
      <c r="M77" s="79" t="s">
        <v>34</v>
      </c>
      <c r="N77" s="80">
        <f>H77*0.1</f>
        <v>1</v>
      </c>
      <c r="O77" s="76">
        <f>N77*F77</f>
        <v>1</v>
      </c>
      <c r="P77" s="81" t="s">
        <v>56</v>
      </c>
      <c r="Y77" s="91" t="s">
        <v>230</v>
      </c>
      <c r="Z77" s="92">
        <v>29.283000000000001</v>
      </c>
      <c r="AA77" s="92">
        <f t="shared" si="18"/>
        <v>2.9283000000000001</v>
      </c>
    </row>
    <row r="78" spans="1:27" x14ac:dyDescent="0.25">
      <c r="A78" s="95">
        <v>45485</v>
      </c>
      <c r="B78" s="72" t="s">
        <v>554</v>
      </c>
      <c r="C78" s="72" t="s">
        <v>8</v>
      </c>
      <c r="D78" s="72" t="s">
        <v>22</v>
      </c>
      <c r="E78" s="72" t="s">
        <v>82</v>
      </c>
      <c r="F78" s="72">
        <v>2</v>
      </c>
      <c r="G78" s="73">
        <f t="shared" si="17"/>
        <v>30</v>
      </c>
      <c r="H78" s="73">
        <f t="shared" si="14"/>
        <v>60</v>
      </c>
      <c r="I78" s="73">
        <f t="shared" si="15"/>
        <v>60</v>
      </c>
      <c r="J78" s="72" t="s">
        <v>83</v>
      </c>
      <c r="K78" s="74"/>
      <c r="M78" s="79"/>
      <c r="N78" s="80" t="e">
        <f t="shared" ref="N78:N90" si="19">VLOOKUP(M78,$S$3:$U$64,3,0)</f>
        <v>#N/A</v>
      </c>
      <c r="O78" s="76"/>
      <c r="P78" s="81"/>
      <c r="Y78" s="91" t="s">
        <v>231</v>
      </c>
      <c r="Z78" s="92">
        <v>28.503</v>
      </c>
      <c r="AA78" s="92">
        <f t="shared" si="18"/>
        <v>2.8503000000000003</v>
      </c>
    </row>
    <row r="79" spans="1:27" x14ac:dyDescent="0.25">
      <c r="A79" s="95">
        <v>45485</v>
      </c>
      <c r="B79" s="72" t="s">
        <v>675</v>
      </c>
      <c r="C79" s="72" t="s">
        <v>8</v>
      </c>
      <c r="D79" s="72" t="s">
        <v>17</v>
      </c>
      <c r="E79" s="72" t="s">
        <v>82</v>
      </c>
      <c r="F79" s="72">
        <v>1</v>
      </c>
      <c r="G79" s="73">
        <f t="shared" si="17"/>
        <v>50</v>
      </c>
      <c r="H79" s="73">
        <f t="shared" si="14"/>
        <v>50</v>
      </c>
      <c r="I79" s="73">
        <f t="shared" si="15"/>
        <v>47.505000000000003</v>
      </c>
      <c r="J79" s="72" t="s">
        <v>86</v>
      </c>
      <c r="K79" s="74"/>
      <c r="M79" s="79"/>
      <c r="N79" s="80" t="e">
        <f t="shared" si="19"/>
        <v>#N/A</v>
      </c>
      <c r="O79" s="76"/>
      <c r="P79" s="81"/>
      <c r="Q79" s="106"/>
      <c r="Y79" s="91" t="s">
        <v>232</v>
      </c>
      <c r="Z79" s="92">
        <v>30</v>
      </c>
      <c r="AA79" s="92">
        <f t="shared" si="18"/>
        <v>3</v>
      </c>
    </row>
    <row r="80" spans="1:27" x14ac:dyDescent="0.25">
      <c r="A80" s="95">
        <v>45485</v>
      </c>
      <c r="B80" s="72" t="s">
        <v>675</v>
      </c>
      <c r="C80" s="72" t="s">
        <v>8</v>
      </c>
      <c r="D80" s="72" t="s">
        <v>23</v>
      </c>
      <c r="E80" s="72" t="s">
        <v>82</v>
      </c>
      <c r="F80" s="72">
        <v>1</v>
      </c>
      <c r="G80" s="73">
        <f t="shared" si="17"/>
        <v>5</v>
      </c>
      <c r="H80" s="73">
        <f t="shared" si="14"/>
        <v>5</v>
      </c>
      <c r="I80" s="73">
        <f t="shared" si="15"/>
        <v>4.7504999999999997</v>
      </c>
      <c r="J80" s="72" t="s">
        <v>86</v>
      </c>
      <c r="K80" s="74"/>
      <c r="M80" s="79"/>
      <c r="N80" s="80" t="e">
        <f t="shared" si="19"/>
        <v>#N/A</v>
      </c>
      <c r="O80" s="76"/>
      <c r="P80" s="81"/>
      <c r="Y80" s="91" t="s">
        <v>234</v>
      </c>
      <c r="Z80" s="92">
        <v>30</v>
      </c>
      <c r="AA80" s="92">
        <f t="shared" si="18"/>
        <v>3</v>
      </c>
    </row>
    <row r="81" spans="1:27" x14ac:dyDescent="0.25">
      <c r="A81" s="95">
        <v>45485</v>
      </c>
      <c r="B81" s="72" t="s">
        <v>676</v>
      </c>
      <c r="C81" s="72" t="s">
        <v>8</v>
      </c>
      <c r="D81" s="72" t="s">
        <v>17</v>
      </c>
      <c r="E81" s="72" t="s">
        <v>82</v>
      </c>
      <c r="F81" s="72">
        <v>1</v>
      </c>
      <c r="G81" s="73">
        <f t="shared" si="17"/>
        <v>50</v>
      </c>
      <c r="H81" s="73">
        <f t="shared" si="14"/>
        <v>50</v>
      </c>
      <c r="I81" s="73">
        <f t="shared" si="15"/>
        <v>48.805</v>
      </c>
      <c r="J81" s="72" t="s">
        <v>78</v>
      </c>
      <c r="K81" s="74"/>
      <c r="M81" s="79"/>
      <c r="N81" s="80" t="e">
        <f t="shared" si="19"/>
        <v>#N/A</v>
      </c>
      <c r="O81" s="76"/>
      <c r="P81" s="81"/>
      <c r="Y81" s="91" t="s">
        <v>235</v>
      </c>
      <c r="Z81" s="92">
        <v>29.283000000000001</v>
      </c>
      <c r="AA81" s="92">
        <f t="shared" si="18"/>
        <v>2.9283000000000001</v>
      </c>
    </row>
    <row r="82" spans="1:27" x14ac:dyDescent="0.25">
      <c r="A82" s="95">
        <v>45485</v>
      </c>
      <c r="B82" s="72" t="s">
        <v>324</v>
      </c>
      <c r="C82" s="72" t="s">
        <v>8</v>
      </c>
      <c r="D82" s="72" t="s">
        <v>23</v>
      </c>
      <c r="E82" s="72" t="s">
        <v>82</v>
      </c>
      <c r="F82" s="72">
        <v>1</v>
      </c>
      <c r="G82" s="73">
        <f t="shared" si="17"/>
        <v>5</v>
      </c>
      <c r="H82" s="73">
        <f t="shared" si="14"/>
        <v>5</v>
      </c>
      <c r="I82" s="73">
        <f t="shared" si="15"/>
        <v>4.8804999999999996</v>
      </c>
      <c r="J82" s="72" t="s">
        <v>78</v>
      </c>
      <c r="K82" s="74"/>
      <c r="M82" s="79"/>
      <c r="N82" s="80" t="e">
        <f t="shared" si="19"/>
        <v>#N/A</v>
      </c>
      <c r="O82" s="76"/>
      <c r="P82" s="81"/>
      <c r="Y82" s="91" t="s">
        <v>237</v>
      </c>
      <c r="Z82" s="92">
        <v>28.503</v>
      </c>
      <c r="AA82" s="92">
        <f t="shared" si="18"/>
        <v>2.8503000000000003</v>
      </c>
    </row>
    <row r="83" spans="1:27" x14ac:dyDescent="0.25">
      <c r="A83" s="95">
        <v>45485</v>
      </c>
      <c r="B83" s="72" t="s">
        <v>552</v>
      </c>
      <c r="C83" s="72" t="s">
        <v>8</v>
      </c>
      <c r="D83" s="72" t="s">
        <v>22</v>
      </c>
      <c r="E83" s="72" t="s">
        <v>82</v>
      </c>
      <c r="F83" s="72">
        <v>1</v>
      </c>
      <c r="G83" s="73">
        <f t="shared" si="17"/>
        <v>30</v>
      </c>
      <c r="H83" s="73">
        <f t="shared" si="14"/>
        <v>30</v>
      </c>
      <c r="I83" s="73">
        <f t="shared" si="15"/>
        <v>30</v>
      </c>
      <c r="J83" s="72" t="s">
        <v>83</v>
      </c>
      <c r="K83" s="74"/>
      <c r="M83" s="79"/>
      <c r="N83" s="80" t="e">
        <f t="shared" si="19"/>
        <v>#N/A</v>
      </c>
      <c r="O83" s="76"/>
      <c r="P83" s="81"/>
      <c r="Y83" s="91" t="s">
        <v>239</v>
      </c>
      <c r="Z83" s="92">
        <v>30</v>
      </c>
      <c r="AA83" s="92">
        <f t="shared" si="18"/>
        <v>3</v>
      </c>
    </row>
    <row r="84" spans="1:27" x14ac:dyDescent="0.25">
      <c r="A84" s="95">
        <v>45485</v>
      </c>
      <c r="B84" s="72" t="s">
        <v>677</v>
      </c>
      <c r="C84" s="72" t="s">
        <v>10</v>
      </c>
      <c r="D84" s="72" t="s">
        <v>40</v>
      </c>
      <c r="E84" s="72" t="s">
        <v>56</v>
      </c>
      <c r="F84" s="72">
        <v>1</v>
      </c>
      <c r="G84" s="73">
        <f t="shared" si="17"/>
        <v>45</v>
      </c>
      <c r="H84" s="73">
        <f t="shared" si="14"/>
        <v>45</v>
      </c>
      <c r="I84" s="73">
        <f t="shared" si="15"/>
        <v>43.924500000000002</v>
      </c>
      <c r="J84" s="72" t="s">
        <v>78</v>
      </c>
      <c r="K84" s="74"/>
      <c r="M84" s="79" t="s">
        <v>40</v>
      </c>
      <c r="N84" s="80">
        <f t="shared" si="19"/>
        <v>18</v>
      </c>
      <c r="O84" s="76">
        <f>N84*F84</f>
        <v>18</v>
      </c>
      <c r="P84" s="81" t="s">
        <v>56</v>
      </c>
      <c r="Y84" s="91" t="s">
        <v>241</v>
      </c>
      <c r="Z84" s="92">
        <v>30</v>
      </c>
      <c r="AA84" s="92">
        <f t="shared" si="18"/>
        <v>3</v>
      </c>
    </row>
    <row r="85" spans="1:27" x14ac:dyDescent="0.25">
      <c r="A85" s="95">
        <v>45485</v>
      </c>
      <c r="B85" s="72" t="s">
        <v>562</v>
      </c>
      <c r="C85" s="72" t="s">
        <v>8</v>
      </c>
      <c r="D85" s="72" t="s">
        <v>30</v>
      </c>
      <c r="E85" s="72" t="s">
        <v>82</v>
      </c>
      <c r="F85" s="72">
        <v>1</v>
      </c>
      <c r="G85" s="73">
        <f t="shared" si="17"/>
        <v>90</v>
      </c>
      <c r="H85" s="73">
        <f t="shared" si="14"/>
        <v>90</v>
      </c>
      <c r="I85" s="73">
        <f t="shared" si="15"/>
        <v>85.509</v>
      </c>
      <c r="J85" s="72" t="s">
        <v>86</v>
      </c>
      <c r="K85" s="74"/>
      <c r="M85" s="79"/>
      <c r="N85" s="80" t="e">
        <f t="shared" si="19"/>
        <v>#N/A</v>
      </c>
      <c r="O85" s="76"/>
      <c r="P85" s="81"/>
      <c r="Y85" s="91" t="s">
        <v>242</v>
      </c>
      <c r="Z85" s="92">
        <v>29.283000000000001</v>
      </c>
      <c r="AA85" s="92">
        <f t="shared" si="18"/>
        <v>2.9283000000000001</v>
      </c>
    </row>
    <row r="86" spans="1:27" x14ac:dyDescent="0.25">
      <c r="A86" s="95">
        <v>45485</v>
      </c>
      <c r="B86" s="72" t="s">
        <v>621</v>
      </c>
      <c r="C86" s="72" t="s">
        <v>8</v>
      </c>
      <c r="D86" s="72" t="s">
        <v>15</v>
      </c>
      <c r="E86" s="72" t="s">
        <v>82</v>
      </c>
      <c r="F86" s="72">
        <v>1</v>
      </c>
      <c r="G86" s="73">
        <f t="shared" si="17"/>
        <v>70</v>
      </c>
      <c r="H86" s="73">
        <f t="shared" si="14"/>
        <v>70</v>
      </c>
      <c r="I86" s="73">
        <f t="shared" si="15"/>
        <v>66.507000000000005</v>
      </c>
      <c r="J86" s="72" t="s">
        <v>86</v>
      </c>
      <c r="K86" s="74"/>
      <c r="M86" s="79"/>
      <c r="N86" s="80" t="e">
        <f t="shared" si="19"/>
        <v>#N/A</v>
      </c>
      <c r="O86" s="76"/>
      <c r="P86" s="81"/>
      <c r="Y86" s="91" t="s">
        <v>243</v>
      </c>
      <c r="Z86" s="92">
        <v>28.503</v>
      </c>
      <c r="AA86" s="92">
        <f t="shared" si="18"/>
        <v>2.8503000000000003</v>
      </c>
    </row>
    <row r="87" spans="1:27" x14ac:dyDescent="0.25">
      <c r="A87" s="95">
        <v>45486</v>
      </c>
      <c r="B87" s="72" t="s">
        <v>475</v>
      </c>
      <c r="C87" s="72" t="s">
        <v>8</v>
      </c>
      <c r="D87" s="72" t="s">
        <v>17</v>
      </c>
      <c r="E87" s="72" t="s">
        <v>56</v>
      </c>
      <c r="F87" s="72">
        <v>1</v>
      </c>
      <c r="G87" s="73">
        <f t="shared" si="17"/>
        <v>50</v>
      </c>
      <c r="H87" s="73">
        <f t="shared" si="14"/>
        <v>50</v>
      </c>
      <c r="I87" s="73">
        <f t="shared" si="15"/>
        <v>50</v>
      </c>
      <c r="J87" s="72" t="s">
        <v>79</v>
      </c>
      <c r="K87" s="74"/>
      <c r="M87" s="79" t="s">
        <v>17</v>
      </c>
      <c r="N87" s="80">
        <f t="shared" si="19"/>
        <v>20</v>
      </c>
      <c r="O87" s="76">
        <f t="shared" ref="O87:O93" si="20">N87*F87</f>
        <v>20</v>
      </c>
      <c r="P87" s="81" t="s">
        <v>56</v>
      </c>
      <c r="Y87" s="91" t="s">
        <v>245</v>
      </c>
      <c r="Z87" s="92">
        <v>10</v>
      </c>
      <c r="AA87" s="92">
        <f t="shared" si="18"/>
        <v>1</v>
      </c>
    </row>
    <row r="88" spans="1:27" x14ac:dyDescent="0.25">
      <c r="A88" s="95">
        <v>45486</v>
      </c>
      <c r="B88" s="72" t="s">
        <v>678</v>
      </c>
      <c r="C88" s="72" t="s">
        <v>8</v>
      </c>
      <c r="D88" s="72" t="s">
        <v>19</v>
      </c>
      <c r="E88" s="72" t="s">
        <v>56</v>
      </c>
      <c r="F88" s="72">
        <v>1</v>
      </c>
      <c r="G88" s="73">
        <f t="shared" si="17"/>
        <v>40</v>
      </c>
      <c r="H88" s="73">
        <f t="shared" si="14"/>
        <v>40</v>
      </c>
      <c r="I88" s="73">
        <f t="shared" si="15"/>
        <v>40</v>
      </c>
      <c r="J88" s="72" t="s">
        <v>83</v>
      </c>
      <c r="K88" s="74"/>
      <c r="M88" s="79" t="s">
        <v>19</v>
      </c>
      <c r="N88" s="80">
        <f t="shared" si="19"/>
        <v>16</v>
      </c>
      <c r="O88" s="76">
        <f t="shared" si="20"/>
        <v>16</v>
      </c>
      <c r="P88" s="81" t="s">
        <v>56</v>
      </c>
      <c r="Y88" s="91" t="s">
        <v>246</v>
      </c>
      <c r="Z88" s="92">
        <v>10</v>
      </c>
      <c r="AA88" s="92">
        <f t="shared" si="18"/>
        <v>1</v>
      </c>
    </row>
    <row r="89" spans="1:27" x14ac:dyDescent="0.25">
      <c r="A89" s="95">
        <v>45486</v>
      </c>
      <c r="B89" s="72" t="s">
        <v>555</v>
      </c>
      <c r="C89" s="72" t="s">
        <v>8</v>
      </c>
      <c r="D89" s="72" t="s">
        <v>18</v>
      </c>
      <c r="E89" s="72" t="s">
        <v>56</v>
      </c>
      <c r="F89" s="72">
        <v>1</v>
      </c>
      <c r="G89" s="73">
        <f t="shared" si="17"/>
        <v>40</v>
      </c>
      <c r="H89" s="73">
        <f t="shared" si="14"/>
        <v>40</v>
      </c>
      <c r="I89" s="73">
        <f t="shared" si="15"/>
        <v>40</v>
      </c>
      <c r="J89" s="72" t="s">
        <v>83</v>
      </c>
      <c r="K89" s="74"/>
      <c r="M89" s="79" t="s">
        <v>18</v>
      </c>
      <c r="N89" s="80">
        <f t="shared" si="19"/>
        <v>16</v>
      </c>
      <c r="O89" s="76">
        <f t="shared" si="20"/>
        <v>16</v>
      </c>
      <c r="P89" s="81" t="s">
        <v>56</v>
      </c>
      <c r="Y89" s="91" t="s">
        <v>248</v>
      </c>
      <c r="Z89" s="92">
        <v>9.7609999999999992</v>
      </c>
      <c r="AA89" s="92">
        <f t="shared" si="18"/>
        <v>0.97609999999999997</v>
      </c>
    </row>
    <row r="90" spans="1:27" x14ac:dyDescent="0.25">
      <c r="A90" s="95">
        <v>45486</v>
      </c>
      <c r="B90" s="72" t="s">
        <v>508</v>
      </c>
      <c r="C90" s="72" t="s">
        <v>8</v>
      </c>
      <c r="D90" s="72" t="s">
        <v>16</v>
      </c>
      <c r="E90" s="72" t="s">
        <v>56</v>
      </c>
      <c r="F90" s="72">
        <v>1</v>
      </c>
      <c r="G90" s="73">
        <f t="shared" si="17"/>
        <v>80</v>
      </c>
      <c r="H90" s="73">
        <f t="shared" si="14"/>
        <v>80</v>
      </c>
      <c r="I90" s="73">
        <f t="shared" si="15"/>
        <v>76.007999999999996</v>
      </c>
      <c r="J90" s="72" t="s">
        <v>86</v>
      </c>
      <c r="K90" s="74"/>
      <c r="M90" s="79" t="s">
        <v>16</v>
      </c>
      <c r="N90" s="80">
        <f t="shared" si="19"/>
        <v>32</v>
      </c>
      <c r="O90" s="76">
        <f t="shared" si="20"/>
        <v>32</v>
      </c>
      <c r="P90" s="81" t="s">
        <v>56</v>
      </c>
      <c r="Y90" s="91" t="s">
        <v>249</v>
      </c>
      <c r="Z90" s="92">
        <v>9.5009999999999994</v>
      </c>
      <c r="AA90" s="92">
        <f t="shared" si="18"/>
        <v>0.95009999999999994</v>
      </c>
    </row>
    <row r="91" spans="1:27" x14ac:dyDescent="0.25">
      <c r="A91" s="95">
        <v>45486</v>
      </c>
      <c r="B91" s="72" t="s">
        <v>508</v>
      </c>
      <c r="C91" s="72" t="s">
        <v>8</v>
      </c>
      <c r="D91" s="72" t="s">
        <v>48</v>
      </c>
      <c r="E91" s="72" t="s">
        <v>56</v>
      </c>
      <c r="F91" s="72">
        <v>1</v>
      </c>
      <c r="G91" s="73">
        <v>12</v>
      </c>
      <c r="H91" s="73">
        <f t="shared" si="14"/>
        <v>12</v>
      </c>
      <c r="I91" s="73">
        <f t="shared" si="15"/>
        <v>11.401199999999999</v>
      </c>
      <c r="J91" s="72" t="s">
        <v>86</v>
      </c>
      <c r="K91" s="74"/>
      <c r="M91" s="79" t="s">
        <v>48</v>
      </c>
      <c r="N91" s="80">
        <f>G91*0.1</f>
        <v>1.2000000000000002</v>
      </c>
      <c r="O91" s="76">
        <f t="shared" si="20"/>
        <v>1.2000000000000002</v>
      </c>
      <c r="P91" s="81" t="s">
        <v>56</v>
      </c>
      <c r="Y91" s="91" t="s">
        <v>250</v>
      </c>
      <c r="Z91" s="92">
        <v>20</v>
      </c>
      <c r="AA91" s="92">
        <f t="shared" si="18"/>
        <v>2</v>
      </c>
    </row>
    <row r="92" spans="1:27" x14ac:dyDescent="0.25">
      <c r="A92" s="95">
        <v>45486</v>
      </c>
      <c r="B92" s="72" t="s">
        <v>679</v>
      </c>
      <c r="C92" s="72" t="s">
        <v>10</v>
      </c>
      <c r="D92" s="72" t="s">
        <v>22</v>
      </c>
      <c r="E92" s="72" t="s">
        <v>56</v>
      </c>
      <c r="F92" s="72">
        <v>1</v>
      </c>
      <c r="G92" s="73">
        <f t="shared" ref="G92:G128" si="21">VLOOKUP(D92,$S$3:$T$64,2,0)</f>
        <v>30</v>
      </c>
      <c r="H92" s="73">
        <f t="shared" si="14"/>
        <v>30</v>
      </c>
      <c r="I92" s="73">
        <f t="shared" si="15"/>
        <v>30</v>
      </c>
      <c r="J92" s="72" t="s">
        <v>83</v>
      </c>
      <c r="K92" s="74"/>
      <c r="M92" s="79" t="s">
        <v>22</v>
      </c>
      <c r="N92" s="80">
        <f t="shared" ref="N92:N123" si="22">VLOOKUP(M92,$S$3:$U$64,3,0)</f>
        <v>12</v>
      </c>
      <c r="O92" s="76">
        <f t="shared" si="20"/>
        <v>12</v>
      </c>
      <c r="P92" s="81" t="s">
        <v>56</v>
      </c>
      <c r="Y92" s="91" t="s">
        <v>252</v>
      </c>
      <c r="Z92" s="92">
        <v>20</v>
      </c>
      <c r="AA92" s="92">
        <f t="shared" si="18"/>
        <v>2</v>
      </c>
    </row>
    <row r="93" spans="1:27" x14ac:dyDescent="0.25">
      <c r="A93" s="95">
        <v>45486</v>
      </c>
      <c r="B93" s="72" t="s">
        <v>679</v>
      </c>
      <c r="C93" s="72" t="s">
        <v>10</v>
      </c>
      <c r="D93" s="72" t="s">
        <v>23</v>
      </c>
      <c r="E93" s="72" t="s">
        <v>56</v>
      </c>
      <c r="F93" s="72">
        <v>1</v>
      </c>
      <c r="G93" s="73">
        <f t="shared" si="21"/>
        <v>5</v>
      </c>
      <c r="H93" s="73">
        <f t="shared" si="14"/>
        <v>5</v>
      </c>
      <c r="I93" s="73">
        <f t="shared" si="15"/>
        <v>5</v>
      </c>
      <c r="J93" s="72" t="s">
        <v>83</v>
      </c>
      <c r="K93" s="74"/>
      <c r="M93" s="79" t="s">
        <v>23</v>
      </c>
      <c r="N93" s="80">
        <f t="shared" si="22"/>
        <v>2</v>
      </c>
      <c r="O93" s="76">
        <f t="shared" si="20"/>
        <v>2</v>
      </c>
      <c r="P93" s="81" t="s">
        <v>56</v>
      </c>
      <c r="Y93" s="91" t="s">
        <v>253</v>
      </c>
      <c r="Z93" s="92">
        <v>19.521999999999998</v>
      </c>
      <c r="AA93" s="92">
        <f t="shared" si="18"/>
        <v>1.9521999999999999</v>
      </c>
    </row>
    <row r="94" spans="1:27" x14ac:dyDescent="0.25">
      <c r="A94" s="95">
        <v>45486</v>
      </c>
      <c r="B94" s="72" t="s">
        <v>204</v>
      </c>
      <c r="C94" s="72" t="s">
        <v>8</v>
      </c>
      <c r="D94" s="72" t="s">
        <v>13</v>
      </c>
      <c r="E94" s="72" t="s">
        <v>82</v>
      </c>
      <c r="F94" s="72">
        <v>1</v>
      </c>
      <c r="G94" s="73">
        <f t="shared" si="21"/>
        <v>30</v>
      </c>
      <c r="H94" s="73">
        <f t="shared" si="14"/>
        <v>30</v>
      </c>
      <c r="I94" s="73">
        <f t="shared" si="15"/>
        <v>28.503</v>
      </c>
      <c r="J94" s="72" t="s">
        <v>86</v>
      </c>
      <c r="K94" s="74"/>
      <c r="M94" s="79"/>
      <c r="N94" s="80" t="e">
        <f t="shared" si="22"/>
        <v>#N/A</v>
      </c>
      <c r="O94" s="76"/>
      <c r="P94" s="81"/>
      <c r="Y94" s="91" t="s">
        <v>254</v>
      </c>
      <c r="Z94" s="92">
        <v>19.001999999999999</v>
      </c>
      <c r="AA94" s="92">
        <f t="shared" si="18"/>
        <v>1.9001999999999999</v>
      </c>
    </row>
    <row r="95" spans="1:27" x14ac:dyDescent="0.25">
      <c r="A95" s="95">
        <v>45486</v>
      </c>
      <c r="B95" s="72" t="s">
        <v>568</v>
      </c>
      <c r="C95" s="72" t="s">
        <v>8</v>
      </c>
      <c r="D95" s="72" t="s">
        <v>40</v>
      </c>
      <c r="E95" s="72" t="s">
        <v>82</v>
      </c>
      <c r="F95" s="72">
        <v>1</v>
      </c>
      <c r="G95" s="73">
        <f t="shared" si="21"/>
        <v>45</v>
      </c>
      <c r="H95" s="73">
        <f t="shared" si="14"/>
        <v>45</v>
      </c>
      <c r="I95" s="73">
        <f t="shared" si="15"/>
        <v>45</v>
      </c>
      <c r="J95" s="72" t="s">
        <v>83</v>
      </c>
      <c r="K95" s="74"/>
      <c r="M95" s="79"/>
      <c r="N95" s="80" t="e">
        <f t="shared" si="22"/>
        <v>#N/A</v>
      </c>
      <c r="O95" s="76"/>
      <c r="P95" s="81"/>
      <c r="Y95" s="91" t="s">
        <v>255</v>
      </c>
      <c r="Z95" s="92">
        <v>10</v>
      </c>
      <c r="AA95" s="92">
        <f t="shared" si="18"/>
        <v>1</v>
      </c>
    </row>
    <row r="96" spans="1:27" x14ac:dyDescent="0.25">
      <c r="A96" s="95">
        <v>45486</v>
      </c>
      <c r="B96" s="72" t="s">
        <v>680</v>
      </c>
      <c r="C96" s="72" t="s">
        <v>8</v>
      </c>
      <c r="D96" s="72" t="s">
        <v>18</v>
      </c>
      <c r="E96" s="72" t="s">
        <v>82</v>
      </c>
      <c r="F96" s="72">
        <v>1</v>
      </c>
      <c r="G96" s="73">
        <f t="shared" si="21"/>
        <v>40</v>
      </c>
      <c r="H96" s="73">
        <f t="shared" si="14"/>
        <v>40</v>
      </c>
      <c r="I96" s="73">
        <f t="shared" si="15"/>
        <v>38.003999999999998</v>
      </c>
      <c r="J96" s="72" t="s">
        <v>86</v>
      </c>
      <c r="K96" s="74"/>
      <c r="M96" s="79"/>
      <c r="N96" s="80" t="e">
        <f t="shared" si="22"/>
        <v>#N/A</v>
      </c>
      <c r="O96" s="76"/>
      <c r="P96" s="81"/>
      <c r="Y96" s="91" t="s">
        <v>257</v>
      </c>
      <c r="Z96" s="92">
        <v>10</v>
      </c>
      <c r="AA96" s="92">
        <f t="shared" si="18"/>
        <v>1</v>
      </c>
    </row>
    <row r="97" spans="1:27" x14ac:dyDescent="0.25">
      <c r="A97" s="95">
        <v>45486</v>
      </c>
      <c r="B97" s="72" t="s">
        <v>681</v>
      </c>
      <c r="C97" s="72" t="s">
        <v>8</v>
      </c>
      <c r="D97" s="72" t="s">
        <v>18</v>
      </c>
      <c r="E97" s="72" t="s">
        <v>82</v>
      </c>
      <c r="F97" s="72">
        <v>1</v>
      </c>
      <c r="G97" s="73">
        <f t="shared" si="21"/>
        <v>40</v>
      </c>
      <c r="H97" s="73">
        <f t="shared" si="14"/>
        <v>40</v>
      </c>
      <c r="I97" s="73">
        <f t="shared" si="15"/>
        <v>38.003999999999998</v>
      </c>
      <c r="J97" s="72" t="s">
        <v>86</v>
      </c>
      <c r="K97" s="74"/>
      <c r="M97" s="79"/>
      <c r="N97" s="80" t="e">
        <f t="shared" si="22"/>
        <v>#N/A</v>
      </c>
      <c r="O97" s="76"/>
      <c r="P97" s="81"/>
      <c r="Y97" s="91" t="s">
        <v>259</v>
      </c>
      <c r="Z97" s="92">
        <v>9.7609999999999992</v>
      </c>
      <c r="AA97" s="92">
        <f t="shared" si="18"/>
        <v>0.97609999999999997</v>
      </c>
    </row>
    <row r="98" spans="1:27" x14ac:dyDescent="0.25">
      <c r="A98" s="95">
        <v>45486</v>
      </c>
      <c r="B98" s="72" t="s">
        <v>536</v>
      </c>
      <c r="C98" s="72" t="s">
        <v>8</v>
      </c>
      <c r="D98" s="72" t="s">
        <v>18</v>
      </c>
      <c r="E98" s="72" t="s">
        <v>82</v>
      </c>
      <c r="F98" s="72">
        <v>1</v>
      </c>
      <c r="G98" s="73">
        <f t="shared" si="21"/>
        <v>40</v>
      </c>
      <c r="H98" s="73">
        <f t="shared" si="14"/>
        <v>40</v>
      </c>
      <c r="I98" s="73">
        <f t="shared" si="15"/>
        <v>40</v>
      </c>
      <c r="J98" s="72" t="s">
        <v>83</v>
      </c>
      <c r="K98" s="74"/>
      <c r="M98" s="79"/>
      <c r="N98" s="80" t="e">
        <f t="shared" si="22"/>
        <v>#N/A</v>
      </c>
      <c r="O98" s="76"/>
      <c r="P98" s="81"/>
      <c r="Y98" s="91" t="s">
        <v>261</v>
      </c>
      <c r="Z98" s="92">
        <v>9.5009999999999994</v>
      </c>
      <c r="AA98" s="92">
        <f t="shared" si="18"/>
        <v>0.95009999999999994</v>
      </c>
    </row>
    <row r="99" spans="1:27" x14ac:dyDescent="0.25">
      <c r="A99" s="95">
        <v>45486</v>
      </c>
      <c r="B99" s="72" t="s">
        <v>536</v>
      </c>
      <c r="C99" s="72" t="s">
        <v>8</v>
      </c>
      <c r="D99" s="72" t="s">
        <v>35</v>
      </c>
      <c r="E99" s="72" t="s">
        <v>82</v>
      </c>
      <c r="F99" s="72">
        <v>1</v>
      </c>
      <c r="G99" s="73">
        <f t="shared" si="21"/>
        <v>7</v>
      </c>
      <c r="H99" s="73">
        <f t="shared" si="14"/>
        <v>7</v>
      </c>
      <c r="I99" s="73">
        <f t="shared" si="15"/>
        <v>7</v>
      </c>
      <c r="J99" s="72" t="s">
        <v>83</v>
      </c>
      <c r="K99" s="74"/>
      <c r="M99" s="79"/>
      <c r="N99" s="80" t="e">
        <f t="shared" si="22"/>
        <v>#N/A</v>
      </c>
      <c r="O99" s="76"/>
      <c r="P99" s="81"/>
      <c r="Y99" s="91" t="s">
        <v>263</v>
      </c>
      <c r="Z99" s="92">
        <v>35</v>
      </c>
      <c r="AA99" s="92">
        <f t="shared" si="18"/>
        <v>3.5</v>
      </c>
    </row>
    <row r="100" spans="1:27" x14ac:dyDescent="0.25">
      <c r="A100" s="95">
        <v>45486</v>
      </c>
      <c r="B100" s="72" t="s">
        <v>531</v>
      </c>
      <c r="C100" s="72" t="s">
        <v>8</v>
      </c>
      <c r="D100" s="72" t="s">
        <v>18</v>
      </c>
      <c r="E100" s="72" t="s">
        <v>82</v>
      </c>
      <c r="F100" s="72">
        <v>1</v>
      </c>
      <c r="G100" s="73">
        <f t="shared" si="21"/>
        <v>40</v>
      </c>
      <c r="H100" s="73">
        <f t="shared" si="14"/>
        <v>40</v>
      </c>
      <c r="I100" s="73">
        <f t="shared" si="15"/>
        <v>38.003999999999998</v>
      </c>
      <c r="J100" s="72" t="s">
        <v>86</v>
      </c>
      <c r="K100" s="74"/>
      <c r="M100" s="79"/>
      <c r="N100" s="80" t="e">
        <f t="shared" si="22"/>
        <v>#N/A</v>
      </c>
      <c r="O100" s="76"/>
      <c r="P100" s="81"/>
      <c r="Y100" s="91" t="s">
        <v>265</v>
      </c>
      <c r="Z100" s="92">
        <v>35</v>
      </c>
      <c r="AA100" s="92">
        <f t="shared" si="18"/>
        <v>3.5</v>
      </c>
    </row>
    <row r="101" spans="1:27" x14ac:dyDescent="0.25">
      <c r="A101" s="95">
        <v>45486</v>
      </c>
      <c r="B101" s="72" t="s">
        <v>294</v>
      </c>
      <c r="C101" s="72" t="s">
        <v>8</v>
      </c>
      <c r="D101" s="72" t="s">
        <v>40</v>
      </c>
      <c r="E101" s="72" t="s">
        <v>82</v>
      </c>
      <c r="F101" s="72">
        <v>1</v>
      </c>
      <c r="G101" s="73">
        <f t="shared" si="21"/>
        <v>45</v>
      </c>
      <c r="H101" s="73">
        <f t="shared" si="14"/>
        <v>45</v>
      </c>
      <c r="I101" s="73">
        <f t="shared" si="15"/>
        <v>45</v>
      </c>
      <c r="J101" s="72" t="s">
        <v>83</v>
      </c>
      <c r="K101" s="74"/>
      <c r="M101" s="79"/>
      <c r="N101" s="80" t="e">
        <f t="shared" si="22"/>
        <v>#N/A</v>
      </c>
      <c r="O101" s="76"/>
      <c r="P101" s="81"/>
      <c r="Y101" s="91" t="s">
        <v>267</v>
      </c>
      <c r="Z101" s="92">
        <v>34.163499999999999</v>
      </c>
      <c r="AA101" s="92">
        <f t="shared" si="18"/>
        <v>3.41635</v>
      </c>
    </row>
    <row r="102" spans="1:27" x14ac:dyDescent="0.25">
      <c r="A102" s="95">
        <v>45486</v>
      </c>
      <c r="B102" s="72" t="s">
        <v>262</v>
      </c>
      <c r="C102" s="72" t="s">
        <v>10</v>
      </c>
      <c r="D102" s="72" t="s">
        <v>16</v>
      </c>
      <c r="E102" s="72" t="s">
        <v>56</v>
      </c>
      <c r="F102" s="72">
        <v>1</v>
      </c>
      <c r="G102" s="73">
        <f t="shared" si="21"/>
        <v>80</v>
      </c>
      <c r="H102" s="73">
        <f t="shared" si="14"/>
        <v>80</v>
      </c>
      <c r="I102" s="73">
        <f t="shared" si="15"/>
        <v>76.007999999999996</v>
      </c>
      <c r="J102" s="72" t="s">
        <v>86</v>
      </c>
      <c r="K102" s="74"/>
      <c r="M102" s="79" t="s">
        <v>16</v>
      </c>
      <c r="N102" s="80">
        <f t="shared" si="22"/>
        <v>32</v>
      </c>
      <c r="O102" s="76">
        <f>N102*F102</f>
        <v>32</v>
      </c>
      <c r="P102" s="81" t="s">
        <v>56</v>
      </c>
      <c r="Y102" s="91" t="s">
        <v>271</v>
      </c>
      <c r="Z102" s="92">
        <v>35</v>
      </c>
      <c r="AA102" s="92">
        <f t="shared" si="18"/>
        <v>3.5</v>
      </c>
    </row>
    <row r="103" spans="1:27" x14ac:dyDescent="0.25">
      <c r="A103" s="95">
        <v>45486</v>
      </c>
      <c r="B103" s="72" t="s">
        <v>344</v>
      </c>
      <c r="C103" s="72" t="s">
        <v>8</v>
      </c>
      <c r="D103" s="72" t="s">
        <v>15</v>
      </c>
      <c r="E103" s="72" t="s">
        <v>56</v>
      </c>
      <c r="F103" s="72">
        <v>1</v>
      </c>
      <c r="G103" s="73">
        <f t="shared" si="21"/>
        <v>70</v>
      </c>
      <c r="H103" s="73">
        <f t="shared" si="14"/>
        <v>70</v>
      </c>
      <c r="I103" s="73">
        <f t="shared" si="15"/>
        <v>70</v>
      </c>
      <c r="J103" s="72" t="s">
        <v>83</v>
      </c>
      <c r="K103" s="74"/>
      <c r="M103" s="79" t="s">
        <v>15</v>
      </c>
      <c r="N103" s="80">
        <f t="shared" si="22"/>
        <v>28</v>
      </c>
      <c r="O103" s="76">
        <f>N103*F103</f>
        <v>28</v>
      </c>
      <c r="P103" s="81" t="s">
        <v>56</v>
      </c>
      <c r="Q103" s="106">
        <f>SUM(O56:O103)</f>
        <v>259.79999999999995</v>
      </c>
      <c r="Y103" s="91" t="s">
        <v>273</v>
      </c>
      <c r="Z103" s="92">
        <v>35</v>
      </c>
      <c r="AA103" s="92">
        <f t="shared" si="18"/>
        <v>3.5</v>
      </c>
    </row>
    <row r="104" spans="1:27" x14ac:dyDescent="0.25">
      <c r="A104" s="95">
        <v>45486</v>
      </c>
      <c r="B104" s="72" t="s">
        <v>178</v>
      </c>
      <c r="C104" s="72" t="s">
        <v>8</v>
      </c>
      <c r="D104" s="72" t="s">
        <v>18</v>
      </c>
      <c r="E104" s="72" t="s">
        <v>82</v>
      </c>
      <c r="F104" s="72">
        <v>1</v>
      </c>
      <c r="G104" s="73">
        <f t="shared" si="21"/>
        <v>40</v>
      </c>
      <c r="H104" s="73">
        <f t="shared" si="14"/>
        <v>40</v>
      </c>
      <c r="I104" s="73">
        <f t="shared" si="15"/>
        <v>39.043999999999997</v>
      </c>
      <c r="J104" s="72" t="s">
        <v>78</v>
      </c>
      <c r="K104" s="74"/>
      <c r="M104" s="79"/>
      <c r="N104" s="80" t="e">
        <f t="shared" si="22"/>
        <v>#N/A</v>
      </c>
      <c r="O104" s="76"/>
      <c r="P104" s="81"/>
      <c r="Y104" s="91" t="s">
        <v>275</v>
      </c>
      <c r="Z104" s="92">
        <v>34.163499999999999</v>
      </c>
      <c r="AA104" s="92">
        <f t="shared" si="18"/>
        <v>3.41635</v>
      </c>
    </row>
    <row r="105" spans="1:27" x14ac:dyDescent="0.25">
      <c r="A105" s="95">
        <v>45486</v>
      </c>
      <c r="B105" s="72" t="s">
        <v>238</v>
      </c>
      <c r="C105" s="72" t="s">
        <v>8</v>
      </c>
      <c r="D105" s="72" t="s">
        <v>17</v>
      </c>
      <c r="E105" s="72" t="s">
        <v>82</v>
      </c>
      <c r="F105" s="72">
        <v>1</v>
      </c>
      <c r="G105" s="73">
        <f t="shared" si="21"/>
        <v>50</v>
      </c>
      <c r="H105" s="73">
        <f t="shared" si="14"/>
        <v>50</v>
      </c>
      <c r="I105" s="73">
        <f t="shared" si="15"/>
        <v>47.505000000000003</v>
      </c>
      <c r="J105" s="72" t="s">
        <v>86</v>
      </c>
      <c r="K105" s="74"/>
      <c r="M105" s="79"/>
      <c r="N105" s="80" t="e">
        <f t="shared" si="22"/>
        <v>#N/A</v>
      </c>
      <c r="O105" s="76"/>
      <c r="P105" s="81"/>
      <c r="Y105" s="91" t="s">
        <v>277</v>
      </c>
      <c r="Z105" s="92">
        <v>33.253500000000003</v>
      </c>
      <c r="AA105" s="92">
        <f t="shared" si="18"/>
        <v>3.3253500000000003</v>
      </c>
    </row>
    <row r="106" spans="1:27" x14ac:dyDescent="0.25">
      <c r="A106" s="95">
        <v>45489</v>
      </c>
      <c r="B106" s="72" t="s">
        <v>289</v>
      </c>
      <c r="C106" s="72" t="s">
        <v>96</v>
      </c>
      <c r="D106" s="72" t="s">
        <v>15</v>
      </c>
      <c r="E106" s="72" t="s">
        <v>82</v>
      </c>
      <c r="F106" s="72">
        <v>1</v>
      </c>
      <c r="G106" s="73">
        <f t="shared" si="21"/>
        <v>70</v>
      </c>
      <c r="H106" s="73">
        <f t="shared" si="14"/>
        <v>70</v>
      </c>
      <c r="I106" s="73">
        <f t="shared" si="15"/>
        <v>68.326999999999998</v>
      </c>
      <c r="J106" s="72" t="s">
        <v>78</v>
      </c>
      <c r="K106" s="74"/>
      <c r="M106" s="79"/>
      <c r="N106" s="80" t="e">
        <f t="shared" si="22"/>
        <v>#N/A</v>
      </c>
      <c r="O106" s="76"/>
      <c r="P106" s="81"/>
      <c r="Y106" s="91" t="s">
        <v>278</v>
      </c>
      <c r="Z106" s="92">
        <v>35</v>
      </c>
      <c r="AA106" s="92">
        <f t="shared" si="18"/>
        <v>3.5</v>
      </c>
    </row>
    <row r="107" spans="1:27" x14ac:dyDescent="0.25">
      <c r="A107" s="95">
        <v>45489</v>
      </c>
      <c r="B107" s="72" t="s">
        <v>585</v>
      </c>
      <c r="C107" s="72" t="s">
        <v>8</v>
      </c>
      <c r="D107" s="72" t="s">
        <v>18</v>
      </c>
      <c r="E107" s="72" t="s">
        <v>82</v>
      </c>
      <c r="F107" s="72">
        <v>1</v>
      </c>
      <c r="G107" s="73">
        <f t="shared" si="21"/>
        <v>40</v>
      </c>
      <c r="H107" s="73">
        <f t="shared" si="14"/>
        <v>40</v>
      </c>
      <c r="I107" s="73">
        <f t="shared" si="15"/>
        <v>39.043999999999997</v>
      </c>
      <c r="J107" s="72" t="s">
        <v>78</v>
      </c>
      <c r="K107" s="74"/>
      <c r="M107" s="79"/>
      <c r="N107" s="80" t="e">
        <f t="shared" si="22"/>
        <v>#N/A</v>
      </c>
      <c r="O107" s="76"/>
      <c r="P107" s="81"/>
      <c r="Y107" s="91" t="s">
        <v>280</v>
      </c>
      <c r="Z107" s="92">
        <v>35</v>
      </c>
      <c r="AA107" s="92">
        <f t="shared" si="18"/>
        <v>3.5</v>
      </c>
    </row>
    <row r="108" spans="1:27" x14ac:dyDescent="0.25">
      <c r="A108" s="95">
        <v>45489</v>
      </c>
      <c r="B108" s="72" t="s">
        <v>682</v>
      </c>
      <c r="C108" s="72" t="s">
        <v>10</v>
      </c>
      <c r="D108" s="72" t="s">
        <v>17</v>
      </c>
      <c r="E108" s="72" t="s">
        <v>56</v>
      </c>
      <c r="F108" s="72">
        <v>1</v>
      </c>
      <c r="G108" s="73">
        <f t="shared" si="21"/>
        <v>50</v>
      </c>
      <c r="H108" s="73">
        <f t="shared" si="14"/>
        <v>50</v>
      </c>
      <c r="I108" s="73">
        <f t="shared" si="15"/>
        <v>50</v>
      </c>
      <c r="J108" s="72" t="s">
        <v>83</v>
      </c>
      <c r="K108" s="74"/>
      <c r="M108" s="79" t="s">
        <v>17</v>
      </c>
      <c r="N108" s="80">
        <f t="shared" si="22"/>
        <v>20</v>
      </c>
      <c r="O108" s="76">
        <f>N108*F108</f>
        <v>20</v>
      </c>
      <c r="P108" s="81" t="s">
        <v>56</v>
      </c>
      <c r="Y108" s="91" t="s">
        <v>282</v>
      </c>
      <c r="Z108" s="92">
        <v>34.163499999999999</v>
      </c>
      <c r="AA108" s="92">
        <f t="shared" si="18"/>
        <v>3.41635</v>
      </c>
    </row>
    <row r="109" spans="1:27" x14ac:dyDescent="0.25">
      <c r="A109" s="95">
        <v>45489</v>
      </c>
      <c r="B109" s="72" t="s">
        <v>683</v>
      </c>
      <c r="C109" s="72" t="s">
        <v>10</v>
      </c>
      <c r="D109" s="72" t="s">
        <v>15</v>
      </c>
      <c r="E109" s="72" t="s">
        <v>56</v>
      </c>
      <c r="F109" s="72">
        <v>1</v>
      </c>
      <c r="G109" s="73">
        <f t="shared" si="21"/>
        <v>70</v>
      </c>
      <c r="H109" s="73">
        <f t="shared" si="14"/>
        <v>70</v>
      </c>
      <c r="I109" s="73">
        <f t="shared" si="15"/>
        <v>70</v>
      </c>
      <c r="J109" s="72" t="s">
        <v>83</v>
      </c>
      <c r="K109" s="74"/>
      <c r="M109" s="79" t="s">
        <v>15</v>
      </c>
      <c r="N109" s="80">
        <f t="shared" si="22"/>
        <v>28</v>
      </c>
      <c r="O109" s="76">
        <f>N109*F109</f>
        <v>28</v>
      </c>
      <c r="P109" s="81" t="s">
        <v>56</v>
      </c>
      <c r="Y109" s="91" t="s">
        <v>285</v>
      </c>
      <c r="Z109" s="92">
        <v>33.253500000000003</v>
      </c>
      <c r="AA109" s="92">
        <f t="shared" si="18"/>
        <v>3.3253500000000003</v>
      </c>
    </row>
    <row r="110" spans="1:27" x14ac:dyDescent="0.25">
      <c r="A110" s="95">
        <v>45489</v>
      </c>
      <c r="B110" s="72" t="s">
        <v>289</v>
      </c>
      <c r="C110" s="72" t="s">
        <v>10</v>
      </c>
      <c r="D110" s="72" t="s">
        <v>18</v>
      </c>
      <c r="E110" s="72" t="s">
        <v>56</v>
      </c>
      <c r="F110" s="72">
        <v>1</v>
      </c>
      <c r="G110" s="73">
        <f t="shared" si="21"/>
        <v>40</v>
      </c>
      <c r="H110" s="73">
        <f t="shared" si="14"/>
        <v>40</v>
      </c>
      <c r="I110" s="73">
        <f t="shared" si="15"/>
        <v>39.043999999999997</v>
      </c>
      <c r="J110" s="72" t="s">
        <v>78</v>
      </c>
      <c r="K110" s="74"/>
      <c r="M110" s="79" t="s">
        <v>18</v>
      </c>
      <c r="N110" s="80">
        <f t="shared" si="22"/>
        <v>16</v>
      </c>
      <c r="O110" s="76">
        <f>N110*F110</f>
        <v>16</v>
      </c>
      <c r="P110" s="81" t="s">
        <v>56</v>
      </c>
      <c r="Y110" s="91" t="s">
        <v>286</v>
      </c>
      <c r="Z110" s="92">
        <v>35</v>
      </c>
      <c r="AA110" s="92">
        <f t="shared" si="18"/>
        <v>3.5</v>
      </c>
    </row>
    <row r="111" spans="1:27" x14ac:dyDescent="0.25">
      <c r="A111" s="95">
        <v>45489</v>
      </c>
      <c r="B111" s="72" t="s">
        <v>194</v>
      </c>
      <c r="C111" s="72" t="s">
        <v>8</v>
      </c>
      <c r="D111" s="72" t="s">
        <v>18</v>
      </c>
      <c r="E111" s="72" t="s">
        <v>82</v>
      </c>
      <c r="F111" s="72">
        <v>1</v>
      </c>
      <c r="G111" s="73">
        <f t="shared" si="21"/>
        <v>40</v>
      </c>
      <c r="H111" s="73">
        <f t="shared" si="14"/>
        <v>40</v>
      </c>
      <c r="I111" s="73">
        <f t="shared" si="15"/>
        <v>40</v>
      </c>
      <c r="J111" s="72" t="s">
        <v>83</v>
      </c>
      <c r="K111" s="74"/>
      <c r="M111" s="79"/>
      <c r="N111" s="80" t="e">
        <f t="shared" si="22"/>
        <v>#N/A</v>
      </c>
      <c r="O111" s="76"/>
      <c r="P111" s="81"/>
      <c r="Y111" s="91" t="s">
        <v>287</v>
      </c>
      <c r="Z111" s="92">
        <v>35</v>
      </c>
      <c r="AA111" s="92">
        <f t="shared" si="18"/>
        <v>3.5</v>
      </c>
    </row>
    <row r="112" spans="1:27" x14ac:dyDescent="0.25">
      <c r="A112" s="95">
        <v>45489</v>
      </c>
      <c r="B112" s="72" t="s">
        <v>194</v>
      </c>
      <c r="C112" s="72" t="s">
        <v>8</v>
      </c>
      <c r="D112" s="72" t="s">
        <v>35</v>
      </c>
      <c r="E112" s="72" t="s">
        <v>82</v>
      </c>
      <c r="F112" s="72">
        <v>1</v>
      </c>
      <c r="G112" s="73">
        <f t="shared" si="21"/>
        <v>7</v>
      </c>
      <c r="H112" s="73">
        <f t="shared" si="14"/>
        <v>7</v>
      </c>
      <c r="I112" s="73">
        <f t="shared" si="15"/>
        <v>7</v>
      </c>
      <c r="J112" s="72" t="s">
        <v>83</v>
      </c>
      <c r="K112" s="74"/>
      <c r="M112" s="79"/>
      <c r="N112" s="80" t="e">
        <f t="shared" si="22"/>
        <v>#N/A</v>
      </c>
      <c r="O112" s="76"/>
      <c r="P112" s="81"/>
      <c r="Y112" s="91" t="s">
        <v>288</v>
      </c>
      <c r="Z112" s="92">
        <v>34.163499999999999</v>
      </c>
      <c r="AA112" s="92">
        <f t="shared" si="18"/>
        <v>3.41635</v>
      </c>
    </row>
    <row r="113" spans="1:27" x14ac:dyDescent="0.25">
      <c r="A113" s="95">
        <v>45489</v>
      </c>
      <c r="B113" s="72" t="s">
        <v>498</v>
      </c>
      <c r="C113" s="72" t="s">
        <v>8</v>
      </c>
      <c r="D113" s="72" t="s">
        <v>18</v>
      </c>
      <c r="E113" s="72" t="s">
        <v>82</v>
      </c>
      <c r="F113" s="72">
        <v>1</v>
      </c>
      <c r="G113" s="73">
        <f t="shared" si="21"/>
        <v>40</v>
      </c>
      <c r="H113" s="73">
        <f t="shared" si="14"/>
        <v>40</v>
      </c>
      <c r="I113" s="73">
        <f t="shared" si="15"/>
        <v>40</v>
      </c>
      <c r="J113" s="72" t="s">
        <v>83</v>
      </c>
      <c r="K113" s="74"/>
      <c r="M113" s="79"/>
      <c r="N113" s="80" t="e">
        <f t="shared" si="22"/>
        <v>#N/A</v>
      </c>
      <c r="O113" s="76"/>
      <c r="P113" s="81"/>
      <c r="Y113" s="91" t="s">
        <v>290</v>
      </c>
      <c r="Z113" s="92">
        <v>33.253500000000003</v>
      </c>
      <c r="AA113" s="92">
        <f t="shared" si="18"/>
        <v>3.3253500000000003</v>
      </c>
    </row>
    <row r="114" spans="1:27" x14ac:dyDescent="0.25">
      <c r="A114" s="95">
        <v>45489</v>
      </c>
      <c r="B114" s="72" t="s">
        <v>516</v>
      </c>
      <c r="C114" s="72" t="s">
        <v>8</v>
      </c>
      <c r="D114" s="72" t="s">
        <v>18</v>
      </c>
      <c r="E114" s="72" t="s">
        <v>82</v>
      </c>
      <c r="F114" s="72">
        <v>1</v>
      </c>
      <c r="G114" s="73">
        <f t="shared" si="21"/>
        <v>40</v>
      </c>
      <c r="H114" s="73">
        <f t="shared" si="14"/>
        <v>40</v>
      </c>
      <c r="I114" s="73">
        <f t="shared" si="15"/>
        <v>40</v>
      </c>
      <c r="J114" s="72" t="s">
        <v>83</v>
      </c>
      <c r="K114" s="74"/>
      <c r="M114" s="79"/>
      <c r="N114" s="80" t="e">
        <f t="shared" si="22"/>
        <v>#N/A</v>
      </c>
      <c r="O114" s="76"/>
      <c r="P114" s="81"/>
      <c r="Y114" s="91" t="s">
        <v>292</v>
      </c>
      <c r="Z114" s="92">
        <v>60</v>
      </c>
      <c r="AA114" s="92">
        <f t="shared" si="18"/>
        <v>6</v>
      </c>
    </row>
    <row r="115" spans="1:27" x14ac:dyDescent="0.25">
      <c r="A115" s="95">
        <v>45489</v>
      </c>
      <c r="B115" s="72" t="s">
        <v>182</v>
      </c>
      <c r="C115" s="72" t="s">
        <v>96</v>
      </c>
      <c r="D115" s="72" t="s">
        <v>40</v>
      </c>
      <c r="E115" s="72" t="s">
        <v>82</v>
      </c>
      <c r="F115" s="72">
        <v>1</v>
      </c>
      <c r="G115" s="73">
        <f t="shared" si="21"/>
        <v>45</v>
      </c>
      <c r="H115" s="73">
        <f t="shared" si="14"/>
        <v>45</v>
      </c>
      <c r="I115" s="73">
        <f t="shared" si="15"/>
        <v>45</v>
      </c>
      <c r="J115" s="72" t="s">
        <v>83</v>
      </c>
      <c r="K115" s="74"/>
      <c r="M115" s="79"/>
      <c r="N115" s="80" t="e">
        <f t="shared" si="22"/>
        <v>#N/A</v>
      </c>
      <c r="O115" s="76"/>
      <c r="P115" s="81"/>
      <c r="Y115" s="91" t="s">
        <v>293</v>
      </c>
      <c r="Z115" s="92">
        <v>60</v>
      </c>
      <c r="AA115" s="92">
        <f t="shared" si="18"/>
        <v>6</v>
      </c>
    </row>
    <row r="116" spans="1:27" x14ac:dyDescent="0.25">
      <c r="A116" s="95">
        <v>45489</v>
      </c>
      <c r="B116" s="72" t="s">
        <v>344</v>
      </c>
      <c r="C116" s="72" t="s">
        <v>8</v>
      </c>
      <c r="D116" s="72" t="s">
        <v>18</v>
      </c>
      <c r="E116" s="72" t="s">
        <v>56</v>
      </c>
      <c r="F116" s="72">
        <v>1</v>
      </c>
      <c r="G116" s="73">
        <f t="shared" si="21"/>
        <v>40</v>
      </c>
      <c r="H116" s="73">
        <f t="shared" si="14"/>
        <v>40</v>
      </c>
      <c r="I116" s="73">
        <f t="shared" si="15"/>
        <v>38.003999999999998</v>
      </c>
      <c r="J116" s="72" t="s">
        <v>86</v>
      </c>
      <c r="K116" s="74"/>
      <c r="M116" s="79" t="s">
        <v>18</v>
      </c>
      <c r="N116" s="80">
        <f t="shared" si="22"/>
        <v>16</v>
      </c>
      <c r="O116" s="76">
        <f>N116*F116</f>
        <v>16</v>
      </c>
      <c r="P116" s="81" t="s">
        <v>56</v>
      </c>
      <c r="Y116" s="91" t="s">
        <v>295</v>
      </c>
      <c r="Z116" s="92">
        <v>58.566000000000003</v>
      </c>
      <c r="AA116" s="92">
        <f t="shared" si="18"/>
        <v>5.8566000000000003</v>
      </c>
    </row>
    <row r="117" spans="1:27" x14ac:dyDescent="0.25">
      <c r="A117" s="95">
        <v>45489</v>
      </c>
      <c r="B117" s="72" t="s">
        <v>174</v>
      </c>
      <c r="C117" s="72" t="s">
        <v>8</v>
      </c>
      <c r="D117" s="72" t="s">
        <v>18</v>
      </c>
      <c r="E117" s="72" t="s">
        <v>56</v>
      </c>
      <c r="F117" s="72">
        <v>1</v>
      </c>
      <c r="G117" s="73">
        <f t="shared" si="21"/>
        <v>40</v>
      </c>
      <c r="H117" s="73">
        <f t="shared" si="14"/>
        <v>40</v>
      </c>
      <c r="I117" s="73">
        <f t="shared" si="15"/>
        <v>40</v>
      </c>
      <c r="J117" s="72" t="s">
        <v>83</v>
      </c>
      <c r="K117" s="74"/>
      <c r="M117" s="79" t="s">
        <v>18</v>
      </c>
      <c r="N117" s="80">
        <f t="shared" si="22"/>
        <v>16</v>
      </c>
      <c r="O117" s="76">
        <f>N117*F117</f>
        <v>16</v>
      </c>
      <c r="P117" s="81" t="s">
        <v>56</v>
      </c>
      <c r="Y117" s="91" t="s">
        <v>296</v>
      </c>
      <c r="Z117" s="92">
        <v>57.006</v>
      </c>
      <c r="AA117" s="92">
        <f t="shared" si="18"/>
        <v>5.7006000000000006</v>
      </c>
    </row>
    <row r="118" spans="1:27" x14ac:dyDescent="0.25">
      <c r="A118" s="95">
        <v>45490</v>
      </c>
      <c r="B118" s="72" t="s">
        <v>684</v>
      </c>
      <c r="C118" s="72" t="s">
        <v>10</v>
      </c>
      <c r="D118" s="72" t="s">
        <v>18</v>
      </c>
      <c r="E118" s="72" t="s">
        <v>56</v>
      </c>
      <c r="F118" s="72">
        <v>1</v>
      </c>
      <c r="G118" s="73">
        <f t="shared" si="21"/>
        <v>40</v>
      </c>
      <c r="H118" s="73">
        <f t="shared" si="14"/>
        <v>40</v>
      </c>
      <c r="I118" s="73">
        <f t="shared" si="15"/>
        <v>40</v>
      </c>
      <c r="J118" s="72" t="s">
        <v>79</v>
      </c>
      <c r="K118" s="74"/>
      <c r="M118" s="79" t="s">
        <v>18</v>
      </c>
      <c r="N118" s="80">
        <f t="shared" si="22"/>
        <v>16</v>
      </c>
      <c r="O118" s="76">
        <f>N118*F118</f>
        <v>16</v>
      </c>
      <c r="P118" s="81" t="s">
        <v>56</v>
      </c>
      <c r="Y118" s="91" t="s">
        <v>298</v>
      </c>
      <c r="Z118" s="92">
        <v>6</v>
      </c>
      <c r="AA118" s="92">
        <f t="shared" si="18"/>
        <v>0.60000000000000009</v>
      </c>
    </row>
    <row r="119" spans="1:27" x14ac:dyDescent="0.25">
      <c r="A119" s="95">
        <v>45490</v>
      </c>
      <c r="B119" s="72" t="s">
        <v>559</v>
      </c>
      <c r="C119" s="72" t="s">
        <v>8</v>
      </c>
      <c r="D119" s="72" t="s">
        <v>40</v>
      </c>
      <c r="E119" s="72" t="s">
        <v>82</v>
      </c>
      <c r="F119" s="72">
        <v>1</v>
      </c>
      <c r="G119" s="73">
        <f t="shared" si="21"/>
        <v>45</v>
      </c>
      <c r="H119" s="73">
        <f t="shared" si="14"/>
        <v>45</v>
      </c>
      <c r="I119" s="73">
        <f t="shared" si="15"/>
        <v>43.924500000000002</v>
      </c>
      <c r="J119" s="72" t="s">
        <v>78</v>
      </c>
      <c r="K119" s="74"/>
      <c r="M119" s="79"/>
      <c r="N119" s="80" t="e">
        <f t="shared" si="22"/>
        <v>#N/A</v>
      </c>
      <c r="O119" s="76"/>
      <c r="P119" s="81"/>
      <c r="AA119" s="92"/>
    </row>
    <row r="120" spans="1:27" x14ac:dyDescent="0.25">
      <c r="A120" s="95">
        <v>45490</v>
      </c>
      <c r="B120" s="72" t="s">
        <v>576</v>
      </c>
      <c r="C120" s="72" t="s">
        <v>8</v>
      </c>
      <c r="D120" s="72" t="s">
        <v>18</v>
      </c>
      <c r="E120" s="72" t="s">
        <v>56</v>
      </c>
      <c r="F120" s="72">
        <v>1</v>
      </c>
      <c r="G120" s="73">
        <f t="shared" si="21"/>
        <v>40</v>
      </c>
      <c r="H120" s="73">
        <f t="shared" si="14"/>
        <v>40</v>
      </c>
      <c r="I120" s="73">
        <f t="shared" si="15"/>
        <v>38.003999999999998</v>
      </c>
      <c r="J120" s="72" t="s">
        <v>86</v>
      </c>
      <c r="K120" s="74"/>
      <c r="M120" s="79" t="s">
        <v>18</v>
      </c>
      <c r="N120" s="80">
        <f t="shared" si="22"/>
        <v>16</v>
      </c>
      <c r="O120" s="76">
        <f>N120*F120</f>
        <v>16</v>
      </c>
      <c r="P120" s="81" t="s">
        <v>56</v>
      </c>
      <c r="AA120" s="92"/>
    </row>
    <row r="121" spans="1:27" x14ac:dyDescent="0.25">
      <c r="A121" s="95">
        <v>45490</v>
      </c>
      <c r="B121" s="72" t="s">
        <v>685</v>
      </c>
      <c r="C121" s="72" t="s">
        <v>10</v>
      </c>
      <c r="D121" s="72" t="s">
        <v>40</v>
      </c>
      <c r="E121" s="72" t="s">
        <v>56</v>
      </c>
      <c r="F121" s="72">
        <v>1</v>
      </c>
      <c r="G121" s="73">
        <f t="shared" si="21"/>
        <v>45</v>
      </c>
      <c r="H121" s="73">
        <f t="shared" si="14"/>
        <v>45</v>
      </c>
      <c r="I121" s="73">
        <f t="shared" si="15"/>
        <v>45</v>
      </c>
      <c r="J121" s="72" t="s">
        <v>83</v>
      </c>
      <c r="K121" s="74"/>
      <c r="M121" s="79" t="s">
        <v>40</v>
      </c>
      <c r="N121" s="80">
        <f t="shared" si="22"/>
        <v>18</v>
      </c>
      <c r="O121" s="76">
        <f>N121*F121</f>
        <v>18</v>
      </c>
      <c r="P121" s="81" t="s">
        <v>56</v>
      </c>
      <c r="AA121" s="92"/>
    </row>
    <row r="122" spans="1:27" x14ac:dyDescent="0.25">
      <c r="A122" s="95">
        <v>45490</v>
      </c>
      <c r="B122" s="72" t="s">
        <v>686</v>
      </c>
      <c r="C122" s="72" t="s">
        <v>8</v>
      </c>
      <c r="D122" s="72" t="s">
        <v>13</v>
      </c>
      <c r="E122" s="72" t="s">
        <v>82</v>
      </c>
      <c r="F122" s="72">
        <v>1</v>
      </c>
      <c r="G122" s="73">
        <f t="shared" si="21"/>
        <v>30</v>
      </c>
      <c r="H122" s="73">
        <f t="shared" si="14"/>
        <v>30</v>
      </c>
      <c r="I122" s="73">
        <f t="shared" si="15"/>
        <v>30</v>
      </c>
      <c r="J122" s="72" t="s">
        <v>83</v>
      </c>
      <c r="K122" s="74"/>
      <c r="M122" s="79"/>
      <c r="N122" s="80" t="e">
        <f t="shared" si="22"/>
        <v>#N/A</v>
      </c>
      <c r="O122" s="76"/>
      <c r="P122" s="81"/>
      <c r="AA122" s="92"/>
    </row>
    <row r="123" spans="1:27" x14ac:dyDescent="0.25">
      <c r="A123" s="95">
        <v>45490</v>
      </c>
      <c r="B123" s="72" t="s">
        <v>686</v>
      </c>
      <c r="C123" s="72" t="s">
        <v>8</v>
      </c>
      <c r="D123" s="72" t="s">
        <v>24</v>
      </c>
      <c r="E123" s="72" t="s">
        <v>82</v>
      </c>
      <c r="F123" s="72">
        <v>1</v>
      </c>
      <c r="G123" s="73">
        <f t="shared" si="21"/>
        <v>10</v>
      </c>
      <c r="H123" s="73">
        <f t="shared" si="14"/>
        <v>10</v>
      </c>
      <c r="I123" s="73">
        <f t="shared" si="15"/>
        <v>10</v>
      </c>
      <c r="J123" s="72" t="s">
        <v>83</v>
      </c>
      <c r="K123" s="74"/>
      <c r="M123" s="72"/>
      <c r="N123" s="80" t="e">
        <f t="shared" si="22"/>
        <v>#N/A</v>
      </c>
      <c r="O123" s="76"/>
      <c r="P123" s="81"/>
      <c r="AA123" s="92"/>
    </row>
    <row r="124" spans="1:27" x14ac:dyDescent="0.25">
      <c r="A124" s="95">
        <v>45490</v>
      </c>
      <c r="B124" s="72" t="s">
        <v>687</v>
      </c>
      <c r="C124" s="72" t="s">
        <v>8</v>
      </c>
      <c r="D124" s="72" t="s">
        <v>18</v>
      </c>
      <c r="E124" s="72" t="s">
        <v>82</v>
      </c>
      <c r="F124" s="72">
        <v>1</v>
      </c>
      <c r="G124" s="73">
        <f t="shared" si="21"/>
        <v>40</v>
      </c>
      <c r="H124" s="73">
        <f t="shared" si="14"/>
        <v>40</v>
      </c>
      <c r="I124" s="73">
        <f t="shared" si="15"/>
        <v>40</v>
      </c>
      <c r="J124" s="72" t="s">
        <v>83</v>
      </c>
      <c r="K124" s="74"/>
      <c r="M124" s="72"/>
      <c r="N124" s="80" t="e">
        <f t="shared" ref="N124:N155" si="23">VLOOKUP(M124,$S$3:$U$64,3,0)</f>
        <v>#N/A</v>
      </c>
      <c r="O124" s="76"/>
      <c r="P124" s="81"/>
      <c r="AA124" s="92"/>
    </row>
    <row r="125" spans="1:27" x14ac:dyDescent="0.25">
      <c r="A125" s="95">
        <v>45491</v>
      </c>
      <c r="B125" s="72" t="s">
        <v>688</v>
      </c>
      <c r="C125" s="72" t="s">
        <v>8</v>
      </c>
      <c r="D125" s="72" t="s">
        <v>18</v>
      </c>
      <c r="E125" s="72" t="s">
        <v>82</v>
      </c>
      <c r="F125" s="72">
        <v>1</v>
      </c>
      <c r="G125" s="73">
        <f t="shared" si="21"/>
        <v>40</v>
      </c>
      <c r="H125" s="73">
        <f t="shared" si="14"/>
        <v>40</v>
      </c>
      <c r="I125" s="73">
        <f t="shared" si="15"/>
        <v>40</v>
      </c>
      <c r="J125" s="72" t="s">
        <v>83</v>
      </c>
      <c r="K125" s="74"/>
      <c r="M125" s="72"/>
      <c r="N125" s="80" t="e">
        <f t="shared" si="23"/>
        <v>#N/A</v>
      </c>
      <c r="O125" s="76"/>
      <c r="P125" s="81"/>
      <c r="Q125" s="106"/>
      <c r="Y125" s="91" t="s">
        <v>300</v>
      </c>
      <c r="Z125" s="92">
        <v>6</v>
      </c>
      <c r="AA125" s="92">
        <f>Z125*0.1</f>
        <v>0.60000000000000009</v>
      </c>
    </row>
    <row r="126" spans="1:27" x14ac:dyDescent="0.25">
      <c r="A126" s="95">
        <v>45491</v>
      </c>
      <c r="B126" s="72" t="s">
        <v>491</v>
      </c>
      <c r="C126" s="72" t="s">
        <v>8</v>
      </c>
      <c r="D126" s="72" t="s">
        <v>15</v>
      </c>
      <c r="E126" s="72" t="s">
        <v>82</v>
      </c>
      <c r="F126" s="72">
        <v>1</v>
      </c>
      <c r="G126" s="73">
        <f t="shared" si="21"/>
        <v>70</v>
      </c>
      <c r="H126" s="73">
        <f t="shared" si="14"/>
        <v>70</v>
      </c>
      <c r="I126" s="73">
        <f t="shared" si="15"/>
        <v>68.326999999999998</v>
      </c>
      <c r="J126" s="72" t="s">
        <v>78</v>
      </c>
      <c r="K126" s="74"/>
      <c r="M126" s="79"/>
      <c r="N126" s="80" t="e">
        <f t="shared" si="23"/>
        <v>#N/A</v>
      </c>
      <c r="O126" s="76"/>
      <c r="P126" s="81"/>
      <c r="AA126" s="92"/>
    </row>
    <row r="127" spans="1:27" x14ac:dyDescent="0.25">
      <c r="A127" s="95">
        <v>45491</v>
      </c>
      <c r="B127" s="72" t="s">
        <v>689</v>
      </c>
      <c r="C127" s="72" t="s">
        <v>10</v>
      </c>
      <c r="D127" s="72" t="s">
        <v>18</v>
      </c>
      <c r="E127" s="72" t="s">
        <v>56</v>
      </c>
      <c r="F127" s="72">
        <v>1</v>
      </c>
      <c r="G127" s="73">
        <f t="shared" si="21"/>
        <v>40</v>
      </c>
      <c r="H127" s="73">
        <f t="shared" si="14"/>
        <v>40</v>
      </c>
      <c r="I127" s="73">
        <f t="shared" si="15"/>
        <v>39.043999999999997</v>
      </c>
      <c r="J127" s="72" t="s">
        <v>78</v>
      </c>
      <c r="K127" s="74"/>
      <c r="M127" s="79" t="s">
        <v>18</v>
      </c>
      <c r="N127" s="80">
        <f t="shared" si="23"/>
        <v>16</v>
      </c>
      <c r="O127" s="76">
        <f>N127*F127</f>
        <v>16</v>
      </c>
      <c r="P127" s="81" t="s">
        <v>56</v>
      </c>
      <c r="AA127" s="92"/>
    </row>
    <row r="128" spans="1:27" x14ac:dyDescent="0.25">
      <c r="A128" s="95">
        <v>45491</v>
      </c>
      <c r="B128" s="72" t="s">
        <v>689</v>
      </c>
      <c r="C128" s="72" t="s">
        <v>10</v>
      </c>
      <c r="D128" s="72" t="s">
        <v>42</v>
      </c>
      <c r="E128" s="72" t="s">
        <v>56</v>
      </c>
      <c r="F128" s="72">
        <v>1</v>
      </c>
      <c r="G128" s="73">
        <f t="shared" si="21"/>
        <v>20</v>
      </c>
      <c r="H128" s="73">
        <f t="shared" si="14"/>
        <v>20</v>
      </c>
      <c r="I128" s="73">
        <f t="shared" si="15"/>
        <v>19.521999999999998</v>
      </c>
      <c r="J128" s="72" t="s">
        <v>78</v>
      </c>
      <c r="K128" s="74"/>
      <c r="M128" s="79" t="s">
        <v>42</v>
      </c>
      <c r="N128" s="80">
        <f t="shared" si="23"/>
        <v>8</v>
      </c>
      <c r="O128" s="76">
        <f>N128*F128</f>
        <v>8</v>
      </c>
      <c r="P128" s="81" t="s">
        <v>56</v>
      </c>
      <c r="AA128" s="92"/>
    </row>
    <row r="129" spans="1:27" x14ac:dyDescent="0.25">
      <c r="A129" s="95">
        <v>45491</v>
      </c>
      <c r="B129" s="72" t="s">
        <v>690</v>
      </c>
      <c r="C129" s="72" t="s">
        <v>8</v>
      </c>
      <c r="D129" s="72" t="s">
        <v>22</v>
      </c>
      <c r="E129" s="72" t="s">
        <v>56</v>
      </c>
      <c r="F129" s="72">
        <v>1</v>
      </c>
      <c r="G129" s="73">
        <v>40</v>
      </c>
      <c r="H129" s="73">
        <f t="shared" si="14"/>
        <v>40</v>
      </c>
      <c r="I129" s="73">
        <f t="shared" si="15"/>
        <v>40</v>
      </c>
      <c r="J129" s="72" t="s">
        <v>79</v>
      </c>
      <c r="K129" s="74" t="s">
        <v>691</v>
      </c>
      <c r="M129" s="79" t="s">
        <v>22</v>
      </c>
      <c r="N129" s="80">
        <f t="shared" si="23"/>
        <v>12</v>
      </c>
      <c r="O129" s="76">
        <f>N129*F129</f>
        <v>12</v>
      </c>
      <c r="P129" s="81" t="s">
        <v>56</v>
      </c>
      <c r="AA129" s="92"/>
    </row>
    <row r="130" spans="1:27" x14ac:dyDescent="0.25">
      <c r="A130" s="95">
        <v>45491</v>
      </c>
      <c r="B130" s="72" t="s">
        <v>692</v>
      </c>
      <c r="C130" s="72" t="s">
        <v>10</v>
      </c>
      <c r="D130" s="72" t="s">
        <v>30</v>
      </c>
      <c r="E130" s="72" t="s">
        <v>56</v>
      </c>
      <c r="F130" s="72">
        <v>1</v>
      </c>
      <c r="G130" s="73">
        <f>VLOOKUP(D130,$S$3:$T$64,2,0)</f>
        <v>90</v>
      </c>
      <c r="H130" s="73">
        <f t="shared" si="14"/>
        <v>90</v>
      </c>
      <c r="I130" s="73">
        <f t="shared" si="15"/>
        <v>85.509</v>
      </c>
      <c r="J130" s="72" t="s">
        <v>86</v>
      </c>
      <c r="K130" s="74"/>
      <c r="M130" s="79" t="s">
        <v>30</v>
      </c>
      <c r="N130" s="80">
        <f t="shared" si="23"/>
        <v>36</v>
      </c>
      <c r="O130" s="76">
        <f>N130*F130</f>
        <v>36</v>
      </c>
      <c r="P130" s="81" t="s">
        <v>56</v>
      </c>
      <c r="AA130" s="92"/>
    </row>
    <row r="131" spans="1:27" x14ac:dyDescent="0.25">
      <c r="A131" s="95">
        <v>45491</v>
      </c>
      <c r="B131" s="72" t="s">
        <v>276</v>
      </c>
      <c r="C131" s="72" t="s">
        <v>8</v>
      </c>
      <c r="D131" s="72" t="s">
        <v>18</v>
      </c>
      <c r="E131" s="72" t="s">
        <v>82</v>
      </c>
      <c r="F131" s="72">
        <v>1</v>
      </c>
      <c r="G131" s="73">
        <f>VLOOKUP(D131,$S$3:$T$64,2,0)</f>
        <v>40</v>
      </c>
      <c r="H131" s="73">
        <f t="shared" ref="H131:H194" si="24">F131*G131</f>
        <v>40</v>
      </c>
      <c r="I131" s="73">
        <f t="shared" ref="I131:I194" si="25">IF(J131="Cartão de Debito",H131-(H131*$AC$5),IF(J131="Cartão de Credito",H131-(H131*$AC$6), IF(J131="Pix",H131-(H131*$AC$7), IF(J131="Dinheiro (R$)", H131-(H131*$AC$8)))))</f>
        <v>39.043999999999997</v>
      </c>
      <c r="J131" s="72" t="s">
        <v>78</v>
      </c>
      <c r="K131" s="74"/>
      <c r="M131" s="79"/>
      <c r="N131" s="80" t="e">
        <f t="shared" si="23"/>
        <v>#N/A</v>
      </c>
      <c r="O131" s="76"/>
      <c r="P131" s="81"/>
      <c r="AA131" s="92"/>
    </row>
    <row r="132" spans="1:27" x14ac:dyDescent="0.25">
      <c r="A132" s="95">
        <v>45491</v>
      </c>
      <c r="B132" s="72" t="s">
        <v>504</v>
      </c>
      <c r="C132" s="72" t="s">
        <v>8</v>
      </c>
      <c r="D132" s="72" t="s">
        <v>15</v>
      </c>
      <c r="E132" s="72" t="s">
        <v>82</v>
      </c>
      <c r="F132" s="72">
        <v>1</v>
      </c>
      <c r="G132" s="73">
        <f>VLOOKUP(D132,$S$3:$T$64,2,0)</f>
        <v>70</v>
      </c>
      <c r="H132" s="73">
        <f t="shared" si="24"/>
        <v>70</v>
      </c>
      <c r="I132" s="73">
        <f t="shared" si="25"/>
        <v>70</v>
      </c>
      <c r="J132" s="72" t="s">
        <v>79</v>
      </c>
      <c r="K132" s="74"/>
      <c r="M132" s="79"/>
      <c r="N132" s="80" t="e">
        <f t="shared" si="23"/>
        <v>#N/A</v>
      </c>
      <c r="O132" s="76"/>
      <c r="P132" s="81"/>
      <c r="AA132" s="92"/>
    </row>
    <row r="133" spans="1:27" x14ac:dyDescent="0.25">
      <c r="A133" s="95">
        <v>45491</v>
      </c>
      <c r="B133" s="72" t="s">
        <v>561</v>
      </c>
      <c r="C133" s="72" t="s">
        <v>8</v>
      </c>
      <c r="D133" s="72" t="s">
        <v>17</v>
      </c>
      <c r="E133" s="72" t="s">
        <v>82</v>
      </c>
      <c r="F133" s="72">
        <v>1</v>
      </c>
      <c r="G133" s="73">
        <f>VLOOKUP(D133,$S$3:$T$64,2,0)</f>
        <v>50</v>
      </c>
      <c r="H133" s="73">
        <f t="shared" si="24"/>
        <v>50</v>
      </c>
      <c r="I133" s="73">
        <f t="shared" si="25"/>
        <v>50</v>
      </c>
      <c r="J133" s="72" t="s">
        <v>83</v>
      </c>
      <c r="K133" s="74"/>
      <c r="M133" s="79"/>
      <c r="N133" s="80" t="e">
        <f t="shared" si="23"/>
        <v>#N/A</v>
      </c>
      <c r="O133" s="76"/>
      <c r="P133" s="81"/>
      <c r="AA133" s="92"/>
    </row>
    <row r="134" spans="1:27" x14ac:dyDescent="0.25">
      <c r="A134" s="95">
        <v>45492</v>
      </c>
      <c r="B134" s="72" t="s">
        <v>517</v>
      </c>
      <c r="C134" s="72" t="s">
        <v>8</v>
      </c>
      <c r="D134" s="72" t="s">
        <v>18</v>
      </c>
      <c r="E134" s="72" t="s">
        <v>82</v>
      </c>
      <c r="F134" s="72">
        <v>1</v>
      </c>
      <c r="G134" s="73">
        <f>VLOOKUP(D134,$S$3:$T$64,2,0)</f>
        <v>40</v>
      </c>
      <c r="H134" s="73">
        <f t="shared" si="24"/>
        <v>40</v>
      </c>
      <c r="I134" s="73">
        <f t="shared" si="25"/>
        <v>40</v>
      </c>
      <c r="J134" s="72" t="s">
        <v>79</v>
      </c>
      <c r="K134" s="74"/>
      <c r="M134" s="79"/>
      <c r="N134" s="80" t="e">
        <f t="shared" si="23"/>
        <v>#N/A</v>
      </c>
      <c r="O134" s="76"/>
      <c r="P134" s="81"/>
      <c r="AA134" s="92"/>
    </row>
    <row r="135" spans="1:27" x14ac:dyDescent="0.25">
      <c r="A135" s="95">
        <v>45492</v>
      </c>
      <c r="B135" s="72" t="s">
        <v>693</v>
      </c>
      <c r="C135" s="72" t="s">
        <v>8</v>
      </c>
      <c r="D135" s="72" t="s">
        <v>61</v>
      </c>
      <c r="E135" s="72" t="s">
        <v>82</v>
      </c>
      <c r="F135" s="72">
        <v>1</v>
      </c>
      <c r="G135" s="73">
        <v>70</v>
      </c>
      <c r="H135" s="73">
        <f t="shared" si="24"/>
        <v>70</v>
      </c>
      <c r="I135" s="73">
        <f t="shared" si="25"/>
        <v>70</v>
      </c>
      <c r="J135" s="72" t="s">
        <v>79</v>
      </c>
      <c r="K135" s="74"/>
      <c r="M135" s="79"/>
      <c r="N135" s="80" t="e">
        <f t="shared" si="23"/>
        <v>#N/A</v>
      </c>
      <c r="O135" s="76"/>
      <c r="P135" s="81"/>
      <c r="AA135" s="92"/>
    </row>
    <row r="136" spans="1:27" x14ac:dyDescent="0.25">
      <c r="A136" s="95">
        <v>45492</v>
      </c>
      <c r="B136" s="72" t="s">
        <v>605</v>
      </c>
      <c r="C136" s="72" t="s">
        <v>8</v>
      </c>
      <c r="D136" s="72" t="s">
        <v>17</v>
      </c>
      <c r="E136" s="72" t="s">
        <v>56</v>
      </c>
      <c r="F136" s="72">
        <v>1</v>
      </c>
      <c r="G136" s="73">
        <f t="shared" ref="G136:G154" si="26">VLOOKUP(D136,$S$3:$T$64,2,0)</f>
        <v>50</v>
      </c>
      <c r="H136" s="73">
        <f t="shared" si="24"/>
        <v>50</v>
      </c>
      <c r="I136" s="73">
        <f t="shared" si="25"/>
        <v>50</v>
      </c>
      <c r="J136" s="72" t="s">
        <v>83</v>
      </c>
      <c r="K136" s="74"/>
      <c r="M136" s="79" t="s">
        <v>17</v>
      </c>
      <c r="N136" s="80">
        <f t="shared" si="23"/>
        <v>20</v>
      </c>
      <c r="O136" s="76">
        <f>N136*F136</f>
        <v>20</v>
      </c>
      <c r="P136" s="81" t="s">
        <v>56</v>
      </c>
      <c r="AA136" s="92"/>
    </row>
    <row r="137" spans="1:27" x14ac:dyDescent="0.25">
      <c r="A137" s="95">
        <v>45492</v>
      </c>
      <c r="B137" s="72" t="s">
        <v>605</v>
      </c>
      <c r="C137" s="72" t="s">
        <v>8</v>
      </c>
      <c r="D137" s="72" t="s">
        <v>20</v>
      </c>
      <c r="E137" s="72" t="s">
        <v>56</v>
      </c>
      <c r="F137" s="72">
        <v>1</v>
      </c>
      <c r="G137" s="73">
        <f t="shared" si="26"/>
        <v>15</v>
      </c>
      <c r="H137" s="73">
        <f t="shared" si="24"/>
        <v>15</v>
      </c>
      <c r="I137" s="73">
        <f t="shared" si="25"/>
        <v>15</v>
      </c>
      <c r="J137" s="72" t="s">
        <v>83</v>
      </c>
      <c r="K137" s="74"/>
      <c r="M137" s="79" t="s">
        <v>20</v>
      </c>
      <c r="N137" s="80">
        <f t="shared" si="23"/>
        <v>6</v>
      </c>
      <c r="O137" s="76">
        <f>N137*F137</f>
        <v>6</v>
      </c>
      <c r="P137" s="81" t="s">
        <v>56</v>
      </c>
      <c r="AA137" s="92"/>
    </row>
    <row r="138" spans="1:27" x14ac:dyDescent="0.25">
      <c r="A138" s="95">
        <v>45492</v>
      </c>
      <c r="B138" s="72" t="s">
        <v>694</v>
      </c>
      <c r="C138" s="72" t="s">
        <v>10</v>
      </c>
      <c r="D138" s="72" t="s">
        <v>40</v>
      </c>
      <c r="E138" s="72" t="s">
        <v>56</v>
      </c>
      <c r="F138" s="72">
        <v>1</v>
      </c>
      <c r="G138" s="73">
        <f t="shared" si="26"/>
        <v>45</v>
      </c>
      <c r="H138" s="73">
        <f t="shared" si="24"/>
        <v>45</v>
      </c>
      <c r="I138" s="73">
        <f t="shared" si="25"/>
        <v>42.7545</v>
      </c>
      <c r="J138" s="72" t="s">
        <v>86</v>
      </c>
      <c r="K138" s="74"/>
      <c r="M138" s="79" t="s">
        <v>40</v>
      </c>
      <c r="N138" s="80">
        <f t="shared" si="23"/>
        <v>18</v>
      </c>
      <c r="O138" s="76">
        <f>N138*F138</f>
        <v>18</v>
      </c>
      <c r="P138" s="81" t="s">
        <v>56</v>
      </c>
      <c r="AA138" s="92"/>
    </row>
    <row r="139" spans="1:27" x14ac:dyDescent="0.25">
      <c r="A139" s="95">
        <v>45492</v>
      </c>
      <c r="B139" s="72" t="s">
        <v>516</v>
      </c>
      <c r="C139" s="72" t="s">
        <v>8</v>
      </c>
      <c r="D139" s="72" t="s">
        <v>16</v>
      </c>
      <c r="E139" s="72" t="s">
        <v>82</v>
      </c>
      <c r="F139" s="72">
        <v>1</v>
      </c>
      <c r="G139" s="73">
        <f t="shared" si="26"/>
        <v>80</v>
      </c>
      <c r="H139" s="73">
        <f t="shared" si="24"/>
        <v>80</v>
      </c>
      <c r="I139" s="73">
        <f t="shared" si="25"/>
        <v>80</v>
      </c>
      <c r="J139" s="72" t="s">
        <v>83</v>
      </c>
      <c r="K139" s="74"/>
      <c r="M139" s="79"/>
      <c r="N139" s="80" t="e">
        <f t="shared" si="23"/>
        <v>#N/A</v>
      </c>
      <c r="O139" s="76"/>
      <c r="P139" s="81"/>
      <c r="AA139" s="92"/>
    </row>
    <row r="140" spans="1:27" x14ac:dyDescent="0.25">
      <c r="A140" s="95">
        <v>45492</v>
      </c>
      <c r="B140" s="72" t="s">
        <v>606</v>
      </c>
      <c r="C140" s="72" t="s">
        <v>8</v>
      </c>
      <c r="D140" s="72" t="s">
        <v>18</v>
      </c>
      <c r="E140" s="72" t="s">
        <v>56</v>
      </c>
      <c r="F140" s="72">
        <v>1</v>
      </c>
      <c r="G140" s="73">
        <f t="shared" si="26"/>
        <v>40</v>
      </c>
      <c r="H140" s="73">
        <f t="shared" si="24"/>
        <v>40</v>
      </c>
      <c r="I140" s="73">
        <f t="shared" si="25"/>
        <v>39.043999999999997</v>
      </c>
      <c r="J140" s="72" t="s">
        <v>78</v>
      </c>
      <c r="K140" s="74"/>
      <c r="M140" s="79" t="s">
        <v>18</v>
      </c>
      <c r="N140" s="80">
        <f t="shared" si="23"/>
        <v>16</v>
      </c>
      <c r="O140" s="76">
        <f>N140*F140</f>
        <v>16</v>
      </c>
      <c r="P140" s="81" t="s">
        <v>56</v>
      </c>
      <c r="AA140" s="92"/>
    </row>
    <row r="141" spans="1:27" x14ac:dyDescent="0.25">
      <c r="A141" s="95">
        <v>45492</v>
      </c>
      <c r="B141" s="72" t="s">
        <v>695</v>
      </c>
      <c r="C141" s="72" t="s">
        <v>10</v>
      </c>
      <c r="D141" s="72" t="s">
        <v>18</v>
      </c>
      <c r="E141" s="72" t="s">
        <v>56</v>
      </c>
      <c r="F141" s="72">
        <v>1</v>
      </c>
      <c r="G141" s="73">
        <f t="shared" si="26"/>
        <v>40</v>
      </c>
      <c r="H141" s="73">
        <f t="shared" si="24"/>
        <v>40</v>
      </c>
      <c r="I141" s="73">
        <f t="shared" si="25"/>
        <v>38.003999999999998</v>
      </c>
      <c r="J141" s="72" t="s">
        <v>86</v>
      </c>
      <c r="K141" s="74"/>
      <c r="M141" s="79" t="s">
        <v>18</v>
      </c>
      <c r="N141" s="80">
        <f t="shared" si="23"/>
        <v>16</v>
      </c>
      <c r="O141" s="76">
        <f>N141*F141</f>
        <v>16</v>
      </c>
      <c r="P141" s="81" t="s">
        <v>56</v>
      </c>
      <c r="AA141" s="92"/>
    </row>
    <row r="142" spans="1:27" x14ac:dyDescent="0.25">
      <c r="A142" s="95">
        <v>45492</v>
      </c>
      <c r="B142" s="72" t="s">
        <v>696</v>
      </c>
      <c r="C142" s="72" t="s">
        <v>10</v>
      </c>
      <c r="D142" s="72" t="s">
        <v>18</v>
      </c>
      <c r="E142" s="72" t="s">
        <v>56</v>
      </c>
      <c r="F142" s="72">
        <v>1</v>
      </c>
      <c r="G142" s="73">
        <f t="shared" si="26"/>
        <v>40</v>
      </c>
      <c r="H142" s="73">
        <f t="shared" si="24"/>
        <v>40</v>
      </c>
      <c r="I142" s="73">
        <f t="shared" si="25"/>
        <v>40</v>
      </c>
      <c r="J142" s="72" t="s">
        <v>79</v>
      </c>
      <c r="K142" s="74"/>
      <c r="M142" s="79" t="s">
        <v>18</v>
      </c>
      <c r="N142" s="80">
        <f t="shared" si="23"/>
        <v>16</v>
      </c>
      <c r="O142" s="76">
        <f>N142*F142</f>
        <v>16</v>
      </c>
      <c r="P142" s="81" t="s">
        <v>56</v>
      </c>
      <c r="AA142" s="92"/>
    </row>
    <row r="143" spans="1:27" x14ac:dyDescent="0.25">
      <c r="A143" s="95">
        <v>45492</v>
      </c>
      <c r="B143" s="72" t="s">
        <v>670</v>
      </c>
      <c r="C143" s="72" t="s">
        <v>8</v>
      </c>
      <c r="D143" s="72" t="s">
        <v>18</v>
      </c>
      <c r="E143" s="72" t="s">
        <v>82</v>
      </c>
      <c r="F143" s="72">
        <v>1</v>
      </c>
      <c r="G143" s="73">
        <f t="shared" si="26"/>
        <v>40</v>
      </c>
      <c r="H143" s="73">
        <f t="shared" si="24"/>
        <v>40</v>
      </c>
      <c r="I143" s="73">
        <f t="shared" si="25"/>
        <v>39.043999999999997</v>
      </c>
      <c r="J143" s="72" t="s">
        <v>78</v>
      </c>
      <c r="K143" s="74"/>
      <c r="M143" s="79"/>
      <c r="N143" s="80" t="e">
        <f t="shared" si="23"/>
        <v>#N/A</v>
      </c>
      <c r="O143" s="76"/>
      <c r="P143" s="81"/>
      <c r="AA143" s="92"/>
    </row>
    <row r="144" spans="1:27" x14ac:dyDescent="0.25">
      <c r="A144" s="95">
        <v>45493</v>
      </c>
      <c r="B144" s="72" t="s">
        <v>697</v>
      </c>
      <c r="C144" s="72" t="s">
        <v>10</v>
      </c>
      <c r="D144" s="72" t="s">
        <v>18</v>
      </c>
      <c r="E144" s="72" t="s">
        <v>56</v>
      </c>
      <c r="F144" s="72">
        <v>1</v>
      </c>
      <c r="G144" s="73">
        <f t="shared" si="26"/>
        <v>40</v>
      </c>
      <c r="H144" s="73">
        <f t="shared" si="24"/>
        <v>40</v>
      </c>
      <c r="I144" s="73">
        <f t="shared" si="25"/>
        <v>39.043999999999997</v>
      </c>
      <c r="J144" s="72" t="s">
        <v>78</v>
      </c>
      <c r="K144" s="74"/>
      <c r="M144" s="79" t="s">
        <v>18</v>
      </c>
      <c r="N144" s="80">
        <f t="shared" si="23"/>
        <v>16</v>
      </c>
      <c r="O144" s="76">
        <f>N144*F144</f>
        <v>16</v>
      </c>
      <c r="P144" s="81" t="s">
        <v>56</v>
      </c>
      <c r="AA144" s="92"/>
    </row>
    <row r="145" spans="1:27" x14ac:dyDescent="0.25">
      <c r="A145" s="95">
        <v>45493</v>
      </c>
      <c r="B145" s="72" t="s">
        <v>602</v>
      </c>
      <c r="C145" s="72" t="s">
        <v>8</v>
      </c>
      <c r="D145" s="72" t="s">
        <v>16</v>
      </c>
      <c r="E145" s="72" t="s">
        <v>56</v>
      </c>
      <c r="F145" s="72">
        <v>1</v>
      </c>
      <c r="G145" s="73">
        <f t="shared" si="26"/>
        <v>80</v>
      </c>
      <c r="H145" s="73">
        <f t="shared" si="24"/>
        <v>80</v>
      </c>
      <c r="I145" s="73">
        <f t="shared" si="25"/>
        <v>80</v>
      </c>
      <c r="J145" s="72" t="s">
        <v>83</v>
      </c>
      <c r="K145" s="74"/>
      <c r="M145" s="79" t="s">
        <v>16</v>
      </c>
      <c r="N145" s="80">
        <f t="shared" si="23"/>
        <v>32</v>
      </c>
      <c r="O145" s="76">
        <f>N145*F145</f>
        <v>32</v>
      </c>
      <c r="P145" s="81" t="s">
        <v>56</v>
      </c>
      <c r="AA145" s="92"/>
    </row>
    <row r="146" spans="1:27" x14ac:dyDescent="0.25">
      <c r="A146" s="95">
        <v>45493</v>
      </c>
      <c r="B146" s="72" t="s">
        <v>698</v>
      </c>
      <c r="C146" s="72" t="s">
        <v>8</v>
      </c>
      <c r="D146" s="72" t="s">
        <v>15</v>
      </c>
      <c r="E146" s="72" t="s">
        <v>56</v>
      </c>
      <c r="F146" s="72">
        <v>1</v>
      </c>
      <c r="G146" s="73">
        <f t="shared" si="26"/>
        <v>70</v>
      </c>
      <c r="H146" s="73">
        <f t="shared" si="24"/>
        <v>70</v>
      </c>
      <c r="I146" s="73">
        <f t="shared" si="25"/>
        <v>70</v>
      </c>
      <c r="J146" s="72" t="s">
        <v>83</v>
      </c>
      <c r="K146" s="74" t="s">
        <v>699</v>
      </c>
      <c r="M146" s="79" t="s">
        <v>15</v>
      </c>
      <c r="N146" s="80">
        <f t="shared" si="23"/>
        <v>28</v>
      </c>
      <c r="O146" s="76">
        <f>N146*F146</f>
        <v>28</v>
      </c>
      <c r="P146" s="81" t="s">
        <v>56</v>
      </c>
      <c r="AA146" s="92"/>
    </row>
    <row r="147" spans="1:27" x14ac:dyDescent="0.25">
      <c r="A147" s="95">
        <v>45493</v>
      </c>
      <c r="B147" s="72" t="s">
        <v>700</v>
      </c>
      <c r="C147" s="72" t="s">
        <v>10</v>
      </c>
      <c r="D147" s="72" t="s">
        <v>18</v>
      </c>
      <c r="E147" s="72" t="s">
        <v>56</v>
      </c>
      <c r="F147" s="72">
        <v>1</v>
      </c>
      <c r="G147" s="73">
        <f t="shared" si="26"/>
        <v>40</v>
      </c>
      <c r="H147" s="73">
        <f t="shared" si="24"/>
        <v>40</v>
      </c>
      <c r="I147" s="73">
        <f t="shared" si="25"/>
        <v>39.043999999999997</v>
      </c>
      <c r="J147" s="72" t="s">
        <v>78</v>
      </c>
      <c r="K147" s="74"/>
      <c r="M147" s="79" t="s">
        <v>18</v>
      </c>
      <c r="N147" s="80">
        <f t="shared" si="23"/>
        <v>16</v>
      </c>
      <c r="O147" s="76">
        <f>N147*F147</f>
        <v>16</v>
      </c>
      <c r="P147" s="81" t="s">
        <v>56</v>
      </c>
      <c r="AA147" s="92"/>
    </row>
    <row r="148" spans="1:27" x14ac:dyDescent="0.25">
      <c r="A148" s="95">
        <v>45493</v>
      </c>
      <c r="B148" s="72" t="s">
        <v>701</v>
      </c>
      <c r="C148" s="72" t="s">
        <v>10</v>
      </c>
      <c r="D148" s="72" t="s">
        <v>34</v>
      </c>
      <c r="E148" s="72" t="s">
        <v>56</v>
      </c>
      <c r="F148" s="72">
        <v>1</v>
      </c>
      <c r="G148" s="73">
        <f t="shared" si="26"/>
        <v>10</v>
      </c>
      <c r="H148" s="73">
        <f t="shared" si="24"/>
        <v>10</v>
      </c>
      <c r="I148" s="73">
        <f t="shared" si="25"/>
        <v>10</v>
      </c>
      <c r="J148" s="72" t="s">
        <v>83</v>
      </c>
      <c r="K148" s="74"/>
      <c r="M148" s="79" t="s">
        <v>34</v>
      </c>
      <c r="N148" s="80">
        <f t="shared" si="23"/>
        <v>1</v>
      </c>
      <c r="O148" s="76">
        <f>N148*F148</f>
        <v>1</v>
      </c>
      <c r="P148" s="81" t="s">
        <v>56</v>
      </c>
      <c r="Y148" s="91" t="s">
        <v>309</v>
      </c>
      <c r="Z148" s="92">
        <v>6.8327</v>
      </c>
      <c r="AA148" s="92">
        <f t="shared" ref="AA148:AA189" si="27">Z148*0.1</f>
        <v>0.68327000000000004</v>
      </c>
    </row>
    <row r="149" spans="1:27" x14ac:dyDescent="0.25">
      <c r="A149" s="95">
        <v>45493</v>
      </c>
      <c r="B149" s="72" t="s">
        <v>244</v>
      </c>
      <c r="C149" s="72" t="s">
        <v>8</v>
      </c>
      <c r="D149" s="72" t="s">
        <v>22</v>
      </c>
      <c r="E149" s="72" t="s">
        <v>82</v>
      </c>
      <c r="F149" s="72">
        <v>1</v>
      </c>
      <c r="G149" s="73">
        <f t="shared" si="26"/>
        <v>30</v>
      </c>
      <c r="H149" s="73">
        <f t="shared" si="24"/>
        <v>30</v>
      </c>
      <c r="I149" s="73">
        <f t="shared" si="25"/>
        <v>30</v>
      </c>
      <c r="J149" s="72" t="s">
        <v>83</v>
      </c>
      <c r="K149" s="74"/>
      <c r="M149" s="79"/>
      <c r="N149" s="80" t="e">
        <f t="shared" si="23"/>
        <v>#N/A</v>
      </c>
      <c r="O149" s="76"/>
      <c r="P149" s="81"/>
      <c r="Y149" s="91" t="s">
        <v>311</v>
      </c>
      <c r="Z149" s="92">
        <v>6.6506999999999996</v>
      </c>
      <c r="AA149" s="92">
        <f t="shared" si="27"/>
        <v>0.66507000000000005</v>
      </c>
    </row>
    <row r="150" spans="1:27" x14ac:dyDescent="0.25">
      <c r="A150" s="95">
        <v>45493</v>
      </c>
      <c r="B150" s="72" t="s">
        <v>522</v>
      </c>
      <c r="C150" s="72" t="s">
        <v>8</v>
      </c>
      <c r="D150" s="72" t="s">
        <v>16</v>
      </c>
      <c r="E150" s="72" t="s">
        <v>82</v>
      </c>
      <c r="F150" s="72">
        <v>1</v>
      </c>
      <c r="G150" s="73">
        <f t="shared" si="26"/>
        <v>80</v>
      </c>
      <c r="H150" s="73">
        <f t="shared" si="24"/>
        <v>80</v>
      </c>
      <c r="I150" s="73">
        <f t="shared" si="25"/>
        <v>76.007999999999996</v>
      </c>
      <c r="J150" s="72" t="s">
        <v>86</v>
      </c>
      <c r="K150" s="74"/>
      <c r="M150" s="79"/>
      <c r="N150" s="80" t="e">
        <f t="shared" si="23"/>
        <v>#N/A</v>
      </c>
      <c r="O150" s="76"/>
      <c r="P150" s="81"/>
      <c r="Q150" s="106"/>
      <c r="Y150" s="91" t="s">
        <v>313</v>
      </c>
      <c r="Z150" s="92">
        <v>5</v>
      </c>
      <c r="AA150" s="92">
        <f t="shared" si="27"/>
        <v>0.5</v>
      </c>
    </row>
    <row r="151" spans="1:27" x14ac:dyDescent="0.25">
      <c r="A151" s="95">
        <v>45493</v>
      </c>
      <c r="B151" s="72" t="s">
        <v>702</v>
      </c>
      <c r="C151" s="72" t="s">
        <v>8</v>
      </c>
      <c r="D151" s="72" t="s">
        <v>15</v>
      </c>
      <c r="E151" s="72" t="s">
        <v>82</v>
      </c>
      <c r="F151" s="72">
        <v>1</v>
      </c>
      <c r="G151" s="73">
        <f t="shared" si="26"/>
        <v>70</v>
      </c>
      <c r="H151" s="73">
        <f t="shared" si="24"/>
        <v>70</v>
      </c>
      <c r="I151" s="73">
        <f t="shared" si="25"/>
        <v>70</v>
      </c>
      <c r="J151" s="72" t="s">
        <v>83</v>
      </c>
      <c r="K151" s="74"/>
      <c r="M151" s="79"/>
      <c r="N151" s="80" t="e">
        <f t="shared" si="23"/>
        <v>#N/A</v>
      </c>
      <c r="O151" s="76"/>
      <c r="P151" s="81"/>
      <c r="Y151" s="91" t="s">
        <v>316</v>
      </c>
      <c r="Z151" s="92">
        <v>5</v>
      </c>
      <c r="AA151" s="92">
        <f t="shared" si="27"/>
        <v>0.5</v>
      </c>
    </row>
    <row r="152" spans="1:27" x14ac:dyDescent="0.25">
      <c r="A152" s="95">
        <v>45493</v>
      </c>
      <c r="B152" s="72" t="s">
        <v>531</v>
      </c>
      <c r="C152" s="72" t="s">
        <v>8</v>
      </c>
      <c r="D152" s="72" t="s">
        <v>18</v>
      </c>
      <c r="E152" s="72" t="s">
        <v>82</v>
      </c>
      <c r="F152" s="72">
        <v>1</v>
      </c>
      <c r="G152" s="73">
        <f t="shared" si="26"/>
        <v>40</v>
      </c>
      <c r="H152" s="73">
        <f t="shared" si="24"/>
        <v>40</v>
      </c>
      <c r="I152" s="73">
        <f t="shared" si="25"/>
        <v>39.043999999999997</v>
      </c>
      <c r="J152" s="72" t="s">
        <v>78</v>
      </c>
      <c r="K152" s="74"/>
      <c r="M152" s="79"/>
      <c r="N152" s="80" t="e">
        <f t="shared" si="23"/>
        <v>#N/A</v>
      </c>
      <c r="O152" s="76"/>
      <c r="P152" s="81"/>
      <c r="Y152" s="91" t="s">
        <v>318</v>
      </c>
      <c r="Z152" s="92">
        <v>4.8804999999999996</v>
      </c>
      <c r="AA152" s="92">
        <f t="shared" si="27"/>
        <v>0.48804999999999998</v>
      </c>
    </row>
    <row r="153" spans="1:27" x14ac:dyDescent="0.25">
      <c r="A153" s="95">
        <v>45493</v>
      </c>
      <c r="B153" s="72" t="s">
        <v>518</v>
      </c>
      <c r="C153" s="72" t="s">
        <v>8</v>
      </c>
      <c r="D153" s="72" t="s">
        <v>17</v>
      </c>
      <c r="E153" s="72" t="s">
        <v>82</v>
      </c>
      <c r="F153" s="72">
        <v>1</v>
      </c>
      <c r="G153" s="73">
        <f t="shared" si="26"/>
        <v>50</v>
      </c>
      <c r="H153" s="73">
        <f t="shared" si="24"/>
        <v>50</v>
      </c>
      <c r="I153" s="73">
        <f t="shared" si="25"/>
        <v>48.805</v>
      </c>
      <c r="J153" s="72" t="s">
        <v>78</v>
      </c>
      <c r="K153" s="74"/>
      <c r="M153" s="79"/>
      <c r="N153" s="80" t="e">
        <f t="shared" si="23"/>
        <v>#N/A</v>
      </c>
      <c r="O153" s="76"/>
      <c r="P153" s="81"/>
      <c r="Y153" s="91" t="s">
        <v>320</v>
      </c>
      <c r="Z153" s="92">
        <v>4.7504999999999997</v>
      </c>
      <c r="AA153" s="92">
        <f t="shared" si="27"/>
        <v>0.47504999999999997</v>
      </c>
    </row>
    <row r="154" spans="1:27" x14ac:dyDescent="0.25">
      <c r="A154" s="95">
        <v>45493</v>
      </c>
      <c r="B154" s="72" t="s">
        <v>518</v>
      </c>
      <c r="C154" s="72" t="s">
        <v>8</v>
      </c>
      <c r="D154" s="72" t="s">
        <v>38</v>
      </c>
      <c r="E154" s="72" t="s">
        <v>82</v>
      </c>
      <c r="F154" s="72">
        <v>1</v>
      </c>
      <c r="G154" s="73">
        <f t="shared" si="26"/>
        <v>6</v>
      </c>
      <c r="H154" s="73">
        <f t="shared" si="24"/>
        <v>6</v>
      </c>
      <c r="I154" s="73">
        <f t="shared" si="25"/>
        <v>5.8566000000000003</v>
      </c>
      <c r="J154" s="72" t="s">
        <v>78</v>
      </c>
      <c r="K154" s="74"/>
      <c r="M154" s="79"/>
      <c r="N154" s="80" t="e">
        <f t="shared" si="23"/>
        <v>#N/A</v>
      </c>
      <c r="O154" s="76"/>
      <c r="P154" s="81"/>
      <c r="Y154" s="91" t="s">
        <v>321</v>
      </c>
      <c r="Z154" s="92">
        <v>10</v>
      </c>
      <c r="AA154" s="92">
        <f t="shared" si="27"/>
        <v>1</v>
      </c>
    </row>
    <row r="155" spans="1:27" x14ac:dyDescent="0.25">
      <c r="A155" s="95">
        <v>45493</v>
      </c>
      <c r="B155" s="72" t="s">
        <v>518</v>
      </c>
      <c r="C155" s="72" t="s">
        <v>8</v>
      </c>
      <c r="D155" s="72" t="s">
        <v>48</v>
      </c>
      <c r="E155" s="72" t="s">
        <v>82</v>
      </c>
      <c r="F155" s="72">
        <v>1</v>
      </c>
      <c r="G155" s="73">
        <v>12</v>
      </c>
      <c r="H155" s="73">
        <f t="shared" si="24"/>
        <v>12</v>
      </c>
      <c r="I155" s="73">
        <f t="shared" si="25"/>
        <v>11.713200000000001</v>
      </c>
      <c r="J155" s="72" t="s">
        <v>78</v>
      </c>
      <c r="K155" s="74"/>
      <c r="M155" s="79"/>
      <c r="N155" s="80" t="e">
        <f t="shared" si="23"/>
        <v>#N/A</v>
      </c>
      <c r="O155" s="76"/>
      <c r="P155" s="81"/>
      <c r="Y155" s="91" t="s">
        <v>323</v>
      </c>
      <c r="Z155" s="92">
        <v>10</v>
      </c>
      <c r="AA155" s="92">
        <f t="shared" si="27"/>
        <v>1</v>
      </c>
    </row>
    <row r="156" spans="1:27" x14ac:dyDescent="0.25">
      <c r="A156" s="95">
        <v>45493</v>
      </c>
      <c r="B156" s="72" t="s">
        <v>522</v>
      </c>
      <c r="C156" s="72" t="s">
        <v>8</v>
      </c>
      <c r="D156" s="72" t="s">
        <v>22</v>
      </c>
      <c r="E156" s="72" t="s">
        <v>82</v>
      </c>
      <c r="F156" s="72">
        <v>1</v>
      </c>
      <c r="G156" s="73">
        <f t="shared" ref="G156:G169" si="28">VLOOKUP(D156,$S$3:$T$64,2,0)</f>
        <v>30</v>
      </c>
      <c r="H156" s="73">
        <f t="shared" si="24"/>
        <v>30</v>
      </c>
      <c r="I156" s="73">
        <f t="shared" si="25"/>
        <v>29.283000000000001</v>
      </c>
      <c r="J156" s="72" t="s">
        <v>78</v>
      </c>
      <c r="K156" s="74"/>
      <c r="M156" s="79"/>
      <c r="N156" s="80" t="e">
        <f t="shared" ref="N156:N185" si="29">VLOOKUP(M156,$S$3:$U$64,3,0)</f>
        <v>#N/A</v>
      </c>
      <c r="O156" s="76"/>
      <c r="P156" s="81"/>
      <c r="Y156" s="91" t="s">
        <v>325</v>
      </c>
      <c r="Z156" s="92">
        <v>9.7609999999999992</v>
      </c>
      <c r="AA156" s="92">
        <f t="shared" si="27"/>
        <v>0.97609999999999997</v>
      </c>
    </row>
    <row r="157" spans="1:27" x14ac:dyDescent="0.25">
      <c r="A157" s="95">
        <v>45493</v>
      </c>
      <c r="B157" s="72" t="s">
        <v>522</v>
      </c>
      <c r="C157" s="72" t="s">
        <v>8</v>
      </c>
      <c r="D157" s="72" t="s">
        <v>13</v>
      </c>
      <c r="E157" s="72" t="s">
        <v>82</v>
      </c>
      <c r="F157" s="72">
        <v>1</v>
      </c>
      <c r="G157" s="73">
        <f t="shared" si="28"/>
        <v>30</v>
      </c>
      <c r="H157" s="73">
        <f t="shared" si="24"/>
        <v>30</v>
      </c>
      <c r="I157" s="73">
        <f t="shared" si="25"/>
        <v>29.283000000000001</v>
      </c>
      <c r="J157" s="72" t="s">
        <v>78</v>
      </c>
      <c r="K157" s="74"/>
      <c r="M157" s="79"/>
      <c r="N157" s="80" t="e">
        <f t="shared" si="29"/>
        <v>#N/A</v>
      </c>
      <c r="O157" s="76"/>
      <c r="P157" s="81"/>
      <c r="Y157" s="91" t="s">
        <v>326</v>
      </c>
      <c r="Z157" s="92">
        <v>9.5009999999999994</v>
      </c>
      <c r="AA157" s="92">
        <f t="shared" si="27"/>
        <v>0.95009999999999994</v>
      </c>
    </row>
    <row r="158" spans="1:27" x14ac:dyDescent="0.25">
      <c r="A158" s="95">
        <v>45493</v>
      </c>
      <c r="B158" s="72" t="s">
        <v>506</v>
      </c>
      <c r="C158" s="72" t="s">
        <v>10</v>
      </c>
      <c r="D158" s="72" t="s">
        <v>18</v>
      </c>
      <c r="E158" s="72" t="s">
        <v>56</v>
      </c>
      <c r="F158" s="72">
        <v>1</v>
      </c>
      <c r="G158" s="73">
        <f t="shared" si="28"/>
        <v>40</v>
      </c>
      <c r="H158" s="73">
        <f t="shared" si="24"/>
        <v>40</v>
      </c>
      <c r="I158" s="73">
        <f t="shared" si="25"/>
        <v>39.043999999999997</v>
      </c>
      <c r="J158" s="72" t="s">
        <v>78</v>
      </c>
      <c r="K158" s="74"/>
      <c r="M158" s="79" t="s">
        <v>18</v>
      </c>
      <c r="N158" s="80">
        <f t="shared" si="29"/>
        <v>16</v>
      </c>
      <c r="O158" s="76">
        <f>N158*F158</f>
        <v>16</v>
      </c>
      <c r="P158" s="81" t="s">
        <v>56</v>
      </c>
      <c r="Q158" s="106">
        <f>SUM(O104:O158)</f>
        <v>419</v>
      </c>
      <c r="Y158" s="91" t="s">
        <v>327</v>
      </c>
      <c r="Z158" s="92">
        <v>5</v>
      </c>
      <c r="AA158" s="92">
        <f t="shared" si="27"/>
        <v>0.5</v>
      </c>
    </row>
    <row r="159" spans="1:27" x14ac:dyDescent="0.25">
      <c r="A159" s="95">
        <v>45493</v>
      </c>
      <c r="B159" s="72" t="s">
        <v>204</v>
      </c>
      <c r="C159" s="72" t="s">
        <v>8</v>
      </c>
      <c r="D159" s="72" t="s">
        <v>17</v>
      </c>
      <c r="E159" s="72" t="s">
        <v>82</v>
      </c>
      <c r="F159" s="72">
        <v>1</v>
      </c>
      <c r="G159" s="73">
        <f t="shared" si="28"/>
        <v>50</v>
      </c>
      <c r="H159" s="73">
        <f t="shared" si="24"/>
        <v>50</v>
      </c>
      <c r="I159" s="73">
        <f t="shared" si="25"/>
        <v>50</v>
      </c>
      <c r="J159" s="72" t="s">
        <v>83</v>
      </c>
      <c r="K159" s="74"/>
      <c r="M159" s="79"/>
      <c r="N159" s="80" t="e">
        <f t="shared" si="29"/>
        <v>#N/A</v>
      </c>
      <c r="O159" s="76"/>
      <c r="P159" s="81"/>
      <c r="Y159" s="91" t="s">
        <v>329</v>
      </c>
      <c r="Z159" s="92">
        <v>5</v>
      </c>
      <c r="AA159" s="92">
        <f t="shared" si="27"/>
        <v>0.5</v>
      </c>
    </row>
    <row r="160" spans="1:27" x14ac:dyDescent="0.25">
      <c r="A160" s="95">
        <v>45493</v>
      </c>
      <c r="B160" s="72" t="s">
        <v>703</v>
      </c>
      <c r="C160" s="72" t="s">
        <v>8</v>
      </c>
      <c r="D160" s="72" t="s">
        <v>17</v>
      </c>
      <c r="E160" s="72" t="s">
        <v>82</v>
      </c>
      <c r="F160" s="72">
        <v>1</v>
      </c>
      <c r="G160" s="73">
        <f t="shared" si="28"/>
        <v>50</v>
      </c>
      <c r="H160" s="73">
        <f t="shared" si="24"/>
        <v>50</v>
      </c>
      <c r="I160" s="73">
        <f t="shared" si="25"/>
        <v>50</v>
      </c>
      <c r="J160" s="72" t="s">
        <v>83</v>
      </c>
      <c r="K160" s="74"/>
      <c r="M160" s="79"/>
      <c r="N160" s="80" t="e">
        <f t="shared" si="29"/>
        <v>#N/A</v>
      </c>
      <c r="O160" s="76"/>
      <c r="P160" s="81"/>
      <c r="Y160" s="91" t="s">
        <v>330</v>
      </c>
      <c r="Z160" s="92">
        <v>4.8804999999999996</v>
      </c>
      <c r="AA160" s="92">
        <f t="shared" si="27"/>
        <v>0.48804999999999998</v>
      </c>
    </row>
    <row r="161" spans="1:27" x14ac:dyDescent="0.25">
      <c r="A161" s="95">
        <v>45496</v>
      </c>
      <c r="B161" s="72" t="s">
        <v>704</v>
      </c>
      <c r="C161" s="72" t="s">
        <v>9</v>
      </c>
      <c r="D161" s="72" t="s">
        <v>18</v>
      </c>
      <c r="E161" s="72" t="s">
        <v>56</v>
      </c>
      <c r="F161" s="72">
        <v>1</v>
      </c>
      <c r="G161" s="73">
        <f t="shared" si="28"/>
        <v>40</v>
      </c>
      <c r="H161" s="73">
        <f t="shared" si="24"/>
        <v>40</v>
      </c>
      <c r="I161" s="73">
        <f t="shared" si="25"/>
        <v>40</v>
      </c>
      <c r="J161" s="72" t="s">
        <v>83</v>
      </c>
      <c r="K161" s="74"/>
      <c r="M161" s="79" t="s">
        <v>18</v>
      </c>
      <c r="N161" s="80">
        <f t="shared" si="29"/>
        <v>16</v>
      </c>
      <c r="O161" s="76">
        <f>N161*F161</f>
        <v>16</v>
      </c>
      <c r="P161" s="81" t="s">
        <v>56</v>
      </c>
      <c r="Y161" s="91" t="s">
        <v>331</v>
      </c>
      <c r="Z161" s="92">
        <v>4.7504999999999997</v>
      </c>
      <c r="AA161" s="92">
        <f t="shared" si="27"/>
        <v>0.47504999999999997</v>
      </c>
    </row>
    <row r="162" spans="1:27" x14ac:dyDescent="0.25">
      <c r="A162" s="95">
        <v>45496</v>
      </c>
      <c r="B162" s="72" t="s">
        <v>202</v>
      </c>
      <c r="C162" s="72" t="s">
        <v>8</v>
      </c>
      <c r="D162" s="72" t="s">
        <v>18</v>
      </c>
      <c r="E162" s="72" t="s">
        <v>82</v>
      </c>
      <c r="F162" s="72">
        <v>1</v>
      </c>
      <c r="G162" s="73">
        <f t="shared" si="28"/>
        <v>40</v>
      </c>
      <c r="H162" s="73">
        <f t="shared" si="24"/>
        <v>40</v>
      </c>
      <c r="I162" s="73">
        <f t="shared" si="25"/>
        <v>40</v>
      </c>
      <c r="J162" s="72" t="s">
        <v>83</v>
      </c>
      <c r="K162" s="74"/>
      <c r="M162" s="79"/>
      <c r="N162" s="80" t="e">
        <f t="shared" si="29"/>
        <v>#N/A</v>
      </c>
      <c r="O162" s="76"/>
      <c r="P162" s="81"/>
      <c r="Y162" s="91" t="s">
        <v>334</v>
      </c>
      <c r="Z162" s="92">
        <v>7</v>
      </c>
      <c r="AA162" s="92">
        <f t="shared" si="27"/>
        <v>0.70000000000000007</v>
      </c>
    </row>
    <row r="163" spans="1:27" x14ac:dyDescent="0.25">
      <c r="A163" s="95">
        <v>45496</v>
      </c>
      <c r="B163" s="72" t="s">
        <v>543</v>
      </c>
      <c r="C163" s="72" t="s">
        <v>8</v>
      </c>
      <c r="D163" s="72" t="s">
        <v>17</v>
      </c>
      <c r="E163" s="72" t="s">
        <v>82</v>
      </c>
      <c r="F163" s="72">
        <v>1</v>
      </c>
      <c r="G163" s="73">
        <f t="shared" si="28"/>
        <v>50</v>
      </c>
      <c r="H163" s="73">
        <f t="shared" si="24"/>
        <v>50</v>
      </c>
      <c r="I163" s="73">
        <f t="shared" si="25"/>
        <v>50</v>
      </c>
      <c r="J163" s="72" t="s">
        <v>83</v>
      </c>
      <c r="K163" s="74"/>
      <c r="M163" s="79"/>
      <c r="N163" s="80" t="e">
        <f t="shared" si="29"/>
        <v>#N/A</v>
      </c>
      <c r="O163" s="76"/>
      <c r="P163" s="81"/>
      <c r="Y163" s="91" t="s">
        <v>335</v>
      </c>
      <c r="Z163" s="92">
        <v>7</v>
      </c>
      <c r="AA163" s="92">
        <f t="shared" si="27"/>
        <v>0.70000000000000007</v>
      </c>
    </row>
    <row r="164" spans="1:27" x14ac:dyDescent="0.25">
      <c r="A164" s="95">
        <v>45496</v>
      </c>
      <c r="B164" s="72" t="s">
        <v>543</v>
      </c>
      <c r="C164" s="72" t="s">
        <v>8</v>
      </c>
      <c r="D164" s="72" t="s">
        <v>23</v>
      </c>
      <c r="E164" s="72" t="s">
        <v>82</v>
      </c>
      <c r="F164" s="72">
        <v>1</v>
      </c>
      <c r="G164" s="73">
        <f t="shared" si="28"/>
        <v>5</v>
      </c>
      <c r="H164" s="73">
        <f t="shared" si="24"/>
        <v>5</v>
      </c>
      <c r="I164" s="73">
        <f t="shared" si="25"/>
        <v>5</v>
      </c>
      <c r="J164" s="72" t="s">
        <v>83</v>
      </c>
      <c r="K164" s="74"/>
      <c r="M164" s="79"/>
      <c r="N164" s="80" t="e">
        <f t="shared" si="29"/>
        <v>#N/A</v>
      </c>
      <c r="O164" s="76"/>
      <c r="P164" s="81"/>
      <c r="Y164" s="91" t="s">
        <v>337</v>
      </c>
      <c r="Z164" s="92">
        <v>6.8327</v>
      </c>
      <c r="AA164" s="92">
        <f t="shared" si="27"/>
        <v>0.68327000000000004</v>
      </c>
    </row>
    <row r="165" spans="1:27" x14ac:dyDescent="0.25">
      <c r="A165" s="95">
        <v>45496</v>
      </c>
      <c r="B165" s="72" t="s">
        <v>705</v>
      </c>
      <c r="C165" s="72" t="s">
        <v>8</v>
      </c>
      <c r="D165" s="72" t="s">
        <v>15</v>
      </c>
      <c r="E165" s="72" t="s">
        <v>82</v>
      </c>
      <c r="F165" s="72">
        <v>1</v>
      </c>
      <c r="G165" s="73">
        <f t="shared" si="28"/>
        <v>70</v>
      </c>
      <c r="H165" s="73">
        <f t="shared" si="24"/>
        <v>70</v>
      </c>
      <c r="I165" s="73">
        <f t="shared" si="25"/>
        <v>68.326999999999998</v>
      </c>
      <c r="J165" s="72" t="s">
        <v>78</v>
      </c>
      <c r="K165" s="74"/>
      <c r="M165" s="79"/>
      <c r="N165" s="80" t="e">
        <f t="shared" si="29"/>
        <v>#N/A</v>
      </c>
      <c r="O165" s="76"/>
      <c r="P165" s="81"/>
      <c r="Y165" s="91" t="s">
        <v>339</v>
      </c>
      <c r="Z165" s="92">
        <v>6.6506999999999996</v>
      </c>
      <c r="AA165" s="92">
        <f t="shared" si="27"/>
        <v>0.66507000000000005</v>
      </c>
    </row>
    <row r="166" spans="1:27" x14ac:dyDescent="0.25">
      <c r="A166" s="95">
        <v>45496</v>
      </c>
      <c r="B166" s="72" t="s">
        <v>705</v>
      </c>
      <c r="C166" s="72" t="s">
        <v>8</v>
      </c>
      <c r="D166" s="72" t="s">
        <v>37</v>
      </c>
      <c r="E166" s="72" t="s">
        <v>82</v>
      </c>
      <c r="F166" s="72">
        <v>1</v>
      </c>
      <c r="G166" s="73">
        <f t="shared" si="28"/>
        <v>7</v>
      </c>
      <c r="H166" s="73">
        <f t="shared" si="24"/>
        <v>7</v>
      </c>
      <c r="I166" s="73">
        <f t="shared" si="25"/>
        <v>6.8327</v>
      </c>
      <c r="J166" s="72" t="s">
        <v>78</v>
      </c>
      <c r="K166" s="74"/>
      <c r="M166" s="79"/>
      <c r="N166" s="80" t="e">
        <f t="shared" si="29"/>
        <v>#N/A</v>
      </c>
      <c r="O166" s="76"/>
      <c r="P166" s="81"/>
      <c r="Y166" s="91" t="s">
        <v>341</v>
      </c>
      <c r="Z166" s="92">
        <v>3.5</v>
      </c>
      <c r="AA166" s="92">
        <f t="shared" si="27"/>
        <v>0.35000000000000003</v>
      </c>
    </row>
    <row r="167" spans="1:27" x14ac:dyDescent="0.25">
      <c r="A167" s="95">
        <v>45496</v>
      </c>
      <c r="B167" s="72" t="s">
        <v>706</v>
      </c>
      <c r="C167" s="72" t="s">
        <v>8</v>
      </c>
      <c r="D167" s="72" t="s">
        <v>18</v>
      </c>
      <c r="E167" s="72" t="s">
        <v>56</v>
      </c>
      <c r="F167" s="72">
        <v>1</v>
      </c>
      <c r="G167" s="73">
        <f t="shared" si="28"/>
        <v>40</v>
      </c>
      <c r="H167" s="73">
        <f t="shared" si="24"/>
        <v>40</v>
      </c>
      <c r="I167" s="73">
        <f t="shared" si="25"/>
        <v>38.003999999999998</v>
      </c>
      <c r="J167" s="72" t="s">
        <v>86</v>
      </c>
      <c r="K167" s="74"/>
      <c r="M167" s="79" t="s">
        <v>18</v>
      </c>
      <c r="N167" s="80">
        <f t="shared" si="29"/>
        <v>16</v>
      </c>
      <c r="O167" s="76">
        <f>N167*F167</f>
        <v>16</v>
      </c>
      <c r="P167" s="81" t="s">
        <v>56</v>
      </c>
      <c r="Y167" s="91" t="s">
        <v>343</v>
      </c>
      <c r="Z167" s="92">
        <v>3.5</v>
      </c>
      <c r="AA167" s="92">
        <f t="shared" si="27"/>
        <v>0.35000000000000003</v>
      </c>
    </row>
    <row r="168" spans="1:27" x14ac:dyDescent="0.25">
      <c r="A168" s="95">
        <v>45497</v>
      </c>
      <c r="B168" s="72" t="s">
        <v>455</v>
      </c>
      <c r="C168" s="72" t="s">
        <v>8</v>
      </c>
      <c r="D168" s="72" t="s">
        <v>18</v>
      </c>
      <c r="E168" s="72" t="s">
        <v>56</v>
      </c>
      <c r="F168" s="72">
        <v>1</v>
      </c>
      <c r="G168" s="73">
        <f t="shared" si="28"/>
        <v>40</v>
      </c>
      <c r="H168" s="73">
        <f t="shared" si="24"/>
        <v>40</v>
      </c>
      <c r="I168" s="73">
        <f t="shared" si="25"/>
        <v>40</v>
      </c>
      <c r="J168" s="72" t="s">
        <v>79</v>
      </c>
      <c r="K168" s="74"/>
      <c r="M168" s="79" t="s">
        <v>18</v>
      </c>
      <c r="N168" s="80">
        <f t="shared" si="29"/>
        <v>16</v>
      </c>
      <c r="O168" s="76">
        <f>N168*F168</f>
        <v>16</v>
      </c>
      <c r="P168" s="81" t="s">
        <v>56</v>
      </c>
      <c r="Y168" s="91" t="s">
        <v>345</v>
      </c>
      <c r="Z168" s="92">
        <v>3.41635</v>
      </c>
      <c r="AA168" s="92">
        <f t="shared" si="27"/>
        <v>0.34163500000000002</v>
      </c>
    </row>
    <row r="169" spans="1:27" x14ac:dyDescent="0.25">
      <c r="A169" s="95">
        <v>45497</v>
      </c>
      <c r="B169" s="72" t="s">
        <v>707</v>
      </c>
      <c r="C169" s="72" t="s">
        <v>8</v>
      </c>
      <c r="D169" s="72" t="s">
        <v>17</v>
      </c>
      <c r="E169" s="72" t="s">
        <v>82</v>
      </c>
      <c r="F169" s="72">
        <v>1</v>
      </c>
      <c r="G169" s="73">
        <f t="shared" si="28"/>
        <v>50</v>
      </c>
      <c r="H169" s="73">
        <f t="shared" si="24"/>
        <v>50</v>
      </c>
      <c r="I169" s="73">
        <f t="shared" si="25"/>
        <v>48.805</v>
      </c>
      <c r="J169" s="72" t="s">
        <v>78</v>
      </c>
      <c r="K169" s="74"/>
      <c r="M169" s="79"/>
      <c r="N169" s="80" t="e">
        <f t="shared" si="29"/>
        <v>#N/A</v>
      </c>
      <c r="O169" s="76"/>
      <c r="P169" s="81"/>
      <c r="Y169" s="91" t="s">
        <v>347</v>
      </c>
      <c r="Z169" s="92">
        <v>3.3253499999999998</v>
      </c>
      <c r="AA169" s="92">
        <f t="shared" si="27"/>
        <v>0.33253500000000003</v>
      </c>
    </row>
    <row r="170" spans="1:27" x14ac:dyDescent="0.25">
      <c r="A170" s="95">
        <v>45497</v>
      </c>
      <c r="B170" s="72" t="s">
        <v>707</v>
      </c>
      <c r="C170" s="72" t="s">
        <v>8</v>
      </c>
      <c r="D170" s="72" t="s">
        <v>34</v>
      </c>
      <c r="E170" s="72" t="s">
        <v>82</v>
      </c>
      <c r="F170" s="72">
        <v>1</v>
      </c>
      <c r="G170" s="73">
        <v>15</v>
      </c>
      <c r="H170" s="73">
        <f t="shared" si="24"/>
        <v>15</v>
      </c>
      <c r="I170" s="73">
        <f t="shared" si="25"/>
        <v>14.641500000000001</v>
      </c>
      <c r="J170" s="72" t="s">
        <v>78</v>
      </c>
      <c r="K170" s="74"/>
      <c r="M170" s="79"/>
      <c r="N170" s="80" t="e">
        <f t="shared" si="29"/>
        <v>#N/A</v>
      </c>
      <c r="O170" s="76"/>
      <c r="P170" s="81"/>
      <c r="Y170" s="91" t="s">
        <v>348</v>
      </c>
      <c r="Z170" s="92">
        <v>5</v>
      </c>
      <c r="AA170" s="92">
        <f t="shared" si="27"/>
        <v>0.5</v>
      </c>
    </row>
    <row r="171" spans="1:27" x14ac:dyDescent="0.25">
      <c r="A171" s="95">
        <v>45497</v>
      </c>
      <c r="B171" s="72" t="s">
        <v>707</v>
      </c>
      <c r="C171" s="72" t="s">
        <v>8</v>
      </c>
      <c r="D171" s="72" t="s">
        <v>23</v>
      </c>
      <c r="E171" s="72" t="s">
        <v>82</v>
      </c>
      <c r="F171" s="72">
        <v>1</v>
      </c>
      <c r="G171" s="73">
        <f t="shared" ref="G171:G179" si="30">VLOOKUP(D171,$S$3:$T$64,2,0)</f>
        <v>5</v>
      </c>
      <c r="H171" s="73">
        <f t="shared" si="24"/>
        <v>5</v>
      </c>
      <c r="I171" s="73">
        <f t="shared" si="25"/>
        <v>4.8804999999999996</v>
      </c>
      <c r="J171" s="72" t="s">
        <v>78</v>
      </c>
      <c r="K171" s="74"/>
      <c r="M171" s="79"/>
      <c r="N171" s="80" t="e">
        <f t="shared" si="29"/>
        <v>#N/A</v>
      </c>
      <c r="O171" s="76"/>
      <c r="P171" s="81"/>
      <c r="Y171" s="91" t="s">
        <v>349</v>
      </c>
      <c r="Z171" s="92">
        <v>5</v>
      </c>
      <c r="AA171" s="92">
        <f t="shared" si="27"/>
        <v>0.5</v>
      </c>
    </row>
    <row r="172" spans="1:27" x14ac:dyDescent="0.25">
      <c r="A172" s="95">
        <v>45497</v>
      </c>
      <c r="B172" s="72" t="s">
        <v>196</v>
      </c>
      <c r="C172" s="72" t="s">
        <v>8</v>
      </c>
      <c r="D172" s="72" t="s">
        <v>18</v>
      </c>
      <c r="E172" s="72" t="s">
        <v>82</v>
      </c>
      <c r="F172" s="72">
        <v>1</v>
      </c>
      <c r="G172" s="73">
        <f t="shared" si="30"/>
        <v>40</v>
      </c>
      <c r="H172" s="73">
        <f t="shared" si="24"/>
        <v>40</v>
      </c>
      <c r="I172" s="73">
        <f t="shared" si="25"/>
        <v>40</v>
      </c>
      <c r="J172" s="72" t="s">
        <v>83</v>
      </c>
      <c r="K172" s="74"/>
      <c r="M172" s="79"/>
      <c r="N172" s="80" t="e">
        <f t="shared" si="29"/>
        <v>#N/A</v>
      </c>
      <c r="O172" s="76"/>
      <c r="P172" s="81"/>
      <c r="Y172" s="91" t="s">
        <v>351</v>
      </c>
      <c r="Z172" s="92">
        <v>4.8804999999999996</v>
      </c>
      <c r="AA172" s="92">
        <f t="shared" si="27"/>
        <v>0.48804999999999998</v>
      </c>
    </row>
    <row r="173" spans="1:27" x14ac:dyDescent="0.25">
      <c r="A173" s="95">
        <v>45497</v>
      </c>
      <c r="B173" s="72" t="s">
        <v>547</v>
      </c>
      <c r="C173" s="72" t="s">
        <v>8</v>
      </c>
      <c r="D173" s="72" t="s">
        <v>18</v>
      </c>
      <c r="E173" s="72" t="s">
        <v>82</v>
      </c>
      <c r="F173" s="72">
        <v>1</v>
      </c>
      <c r="G173" s="73">
        <f t="shared" si="30"/>
        <v>40</v>
      </c>
      <c r="H173" s="73">
        <f t="shared" si="24"/>
        <v>40</v>
      </c>
      <c r="I173" s="73">
        <f t="shared" si="25"/>
        <v>40</v>
      </c>
      <c r="J173" s="72" t="s">
        <v>79</v>
      </c>
      <c r="K173" s="74"/>
      <c r="M173" s="79"/>
      <c r="N173" s="80" t="e">
        <f t="shared" si="29"/>
        <v>#N/A</v>
      </c>
      <c r="O173" s="76"/>
      <c r="P173" s="81"/>
      <c r="Y173" s="91" t="s">
        <v>352</v>
      </c>
      <c r="Z173" s="92">
        <v>4.7504999999999997</v>
      </c>
      <c r="AA173" s="92">
        <f t="shared" si="27"/>
        <v>0.47504999999999997</v>
      </c>
    </row>
    <row r="174" spans="1:27" x14ac:dyDescent="0.25">
      <c r="A174" s="95">
        <v>45497</v>
      </c>
      <c r="B174" s="72" t="s">
        <v>301</v>
      </c>
      <c r="C174" s="72" t="s">
        <v>8</v>
      </c>
      <c r="D174" s="72" t="s">
        <v>16</v>
      </c>
      <c r="E174" s="72" t="s">
        <v>82</v>
      </c>
      <c r="F174" s="72">
        <v>1</v>
      </c>
      <c r="G174" s="73">
        <f t="shared" si="30"/>
        <v>80</v>
      </c>
      <c r="H174" s="73">
        <f t="shared" si="24"/>
        <v>80</v>
      </c>
      <c r="I174" s="73">
        <f t="shared" si="25"/>
        <v>76.007999999999996</v>
      </c>
      <c r="J174" s="72" t="s">
        <v>86</v>
      </c>
      <c r="K174" s="74"/>
      <c r="M174" s="79"/>
      <c r="N174" s="80" t="e">
        <f t="shared" si="29"/>
        <v>#N/A</v>
      </c>
      <c r="O174" s="76"/>
      <c r="P174" s="81"/>
      <c r="Y174" s="91" t="s">
        <v>353</v>
      </c>
      <c r="Z174" s="92">
        <v>7</v>
      </c>
      <c r="AA174" s="92">
        <f t="shared" si="27"/>
        <v>0.70000000000000007</v>
      </c>
    </row>
    <row r="175" spans="1:27" x14ac:dyDescent="0.25">
      <c r="A175" s="95">
        <v>45497</v>
      </c>
      <c r="B175" s="72" t="s">
        <v>301</v>
      </c>
      <c r="C175" s="72" t="s">
        <v>8</v>
      </c>
      <c r="D175" s="72" t="s">
        <v>23</v>
      </c>
      <c r="E175" s="72" t="s">
        <v>82</v>
      </c>
      <c r="F175" s="72">
        <v>1</v>
      </c>
      <c r="G175" s="73">
        <f t="shared" si="30"/>
        <v>5</v>
      </c>
      <c r="H175" s="73">
        <f t="shared" si="24"/>
        <v>5</v>
      </c>
      <c r="I175" s="73">
        <f t="shared" si="25"/>
        <v>4.7504999999999997</v>
      </c>
      <c r="J175" s="72" t="s">
        <v>86</v>
      </c>
      <c r="K175" s="74"/>
      <c r="M175" s="79"/>
      <c r="N175" s="80" t="e">
        <f t="shared" si="29"/>
        <v>#N/A</v>
      </c>
      <c r="O175" s="76"/>
      <c r="P175" s="81"/>
      <c r="Y175" s="91" t="s">
        <v>355</v>
      </c>
      <c r="Z175" s="92">
        <v>7</v>
      </c>
      <c r="AA175" s="92">
        <f t="shared" si="27"/>
        <v>0.70000000000000007</v>
      </c>
    </row>
    <row r="176" spans="1:27" x14ac:dyDescent="0.25">
      <c r="A176" s="95">
        <v>45497</v>
      </c>
      <c r="B176" s="72" t="s">
        <v>561</v>
      </c>
      <c r="C176" s="72" t="s">
        <v>8</v>
      </c>
      <c r="D176" s="72" t="s">
        <v>18</v>
      </c>
      <c r="E176" s="72" t="s">
        <v>82</v>
      </c>
      <c r="F176" s="72">
        <v>1</v>
      </c>
      <c r="G176" s="73">
        <f t="shared" si="30"/>
        <v>40</v>
      </c>
      <c r="H176" s="73">
        <f t="shared" si="24"/>
        <v>40</v>
      </c>
      <c r="I176" s="73">
        <f t="shared" si="25"/>
        <v>40</v>
      </c>
      <c r="J176" s="72" t="s">
        <v>83</v>
      </c>
      <c r="K176" s="74"/>
      <c r="M176" s="72"/>
      <c r="N176" s="80" t="e">
        <f t="shared" si="29"/>
        <v>#N/A</v>
      </c>
      <c r="O176" s="76"/>
      <c r="P176" s="81"/>
      <c r="Y176" s="91" t="s">
        <v>357</v>
      </c>
      <c r="Z176" s="92">
        <v>6.8327</v>
      </c>
      <c r="AA176" s="92">
        <f t="shared" si="27"/>
        <v>0.68327000000000004</v>
      </c>
    </row>
    <row r="177" spans="1:28" x14ac:dyDescent="0.25">
      <c r="A177" s="95">
        <v>45497</v>
      </c>
      <c r="B177" s="72" t="s">
        <v>708</v>
      </c>
      <c r="C177" s="72" t="s">
        <v>8</v>
      </c>
      <c r="D177" s="72" t="s">
        <v>40</v>
      </c>
      <c r="E177" s="72" t="s">
        <v>82</v>
      </c>
      <c r="F177" s="72">
        <v>1</v>
      </c>
      <c r="G177" s="73">
        <f t="shared" si="30"/>
        <v>45</v>
      </c>
      <c r="H177" s="73">
        <f t="shared" si="24"/>
        <v>45</v>
      </c>
      <c r="I177" s="73">
        <f t="shared" si="25"/>
        <v>45</v>
      </c>
      <c r="J177" s="72" t="s">
        <v>83</v>
      </c>
      <c r="K177" s="74"/>
      <c r="M177" s="72"/>
      <c r="N177" s="80" t="e">
        <f t="shared" si="29"/>
        <v>#N/A</v>
      </c>
      <c r="O177" s="76"/>
      <c r="P177" s="81"/>
      <c r="Y177" s="91" t="s">
        <v>359</v>
      </c>
      <c r="Z177" s="92">
        <v>6.6506999999999996</v>
      </c>
      <c r="AA177" s="92">
        <f t="shared" si="27"/>
        <v>0.66507000000000005</v>
      </c>
    </row>
    <row r="178" spans="1:28" x14ac:dyDescent="0.25">
      <c r="A178" s="95">
        <v>45498</v>
      </c>
      <c r="B178" s="72" t="s">
        <v>579</v>
      </c>
      <c r="C178" s="72" t="s">
        <v>8</v>
      </c>
      <c r="D178" s="72" t="s">
        <v>16</v>
      </c>
      <c r="E178" s="72" t="s">
        <v>56</v>
      </c>
      <c r="F178" s="72">
        <v>1</v>
      </c>
      <c r="G178" s="73">
        <f t="shared" si="30"/>
        <v>80</v>
      </c>
      <c r="H178" s="73">
        <f t="shared" si="24"/>
        <v>80</v>
      </c>
      <c r="I178" s="73">
        <f t="shared" si="25"/>
        <v>78.087999999999994</v>
      </c>
      <c r="J178" s="72" t="s">
        <v>78</v>
      </c>
      <c r="K178" s="74"/>
      <c r="M178" s="72" t="s">
        <v>16</v>
      </c>
      <c r="N178" s="80">
        <f t="shared" si="29"/>
        <v>32</v>
      </c>
      <c r="O178" s="76">
        <f>N178*F178</f>
        <v>32</v>
      </c>
      <c r="P178" s="81" t="s">
        <v>56</v>
      </c>
      <c r="Y178" s="91" t="s">
        <v>361</v>
      </c>
      <c r="Z178" s="92">
        <v>7</v>
      </c>
      <c r="AA178" s="92">
        <f t="shared" si="27"/>
        <v>0.70000000000000007</v>
      </c>
    </row>
    <row r="179" spans="1:28" x14ac:dyDescent="0.25">
      <c r="A179" s="95">
        <v>45498</v>
      </c>
      <c r="B179" s="72" t="s">
        <v>189</v>
      </c>
      <c r="C179" s="72" t="s">
        <v>8</v>
      </c>
      <c r="D179" s="72" t="s">
        <v>17</v>
      </c>
      <c r="E179" s="72" t="s">
        <v>56</v>
      </c>
      <c r="F179" s="72">
        <v>1</v>
      </c>
      <c r="G179" s="73">
        <f t="shared" si="30"/>
        <v>50</v>
      </c>
      <c r="H179" s="73">
        <f t="shared" si="24"/>
        <v>50</v>
      </c>
      <c r="I179" s="73">
        <f t="shared" si="25"/>
        <v>50</v>
      </c>
      <c r="J179" s="72" t="s">
        <v>79</v>
      </c>
      <c r="K179" s="74"/>
      <c r="M179" s="79" t="s">
        <v>17</v>
      </c>
      <c r="N179" s="80">
        <f t="shared" si="29"/>
        <v>20</v>
      </c>
      <c r="O179" s="76">
        <f>N179*F179</f>
        <v>20</v>
      </c>
      <c r="P179" s="81" t="s">
        <v>56</v>
      </c>
      <c r="Y179" s="91" t="s">
        <v>363</v>
      </c>
      <c r="Z179" s="92">
        <v>7</v>
      </c>
      <c r="AA179" s="92">
        <f t="shared" si="27"/>
        <v>0.70000000000000007</v>
      </c>
    </row>
    <row r="180" spans="1:28" x14ac:dyDescent="0.25">
      <c r="A180" s="95">
        <v>45498</v>
      </c>
      <c r="B180" s="72" t="s">
        <v>692</v>
      </c>
      <c r="C180" s="72" t="s">
        <v>8</v>
      </c>
      <c r="D180" s="72" t="s">
        <v>21</v>
      </c>
      <c r="E180" s="72" t="s">
        <v>56</v>
      </c>
      <c r="F180" s="72">
        <v>1</v>
      </c>
      <c r="G180" s="73">
        <v>0</v>
      </c>
      <c r="H180" s="73">
        <f t="shared" si="24"/>
        <v>0</v>
      </c>
      <c r="I180" s="73">
        <f t="shared" si="25"/>
        <v>0</v>
      </c>
      <c r="J180" s="72" t="s">
        <v>83</v>
      </c>
      <c r="K180" s="74" t="s">
        <v>709</v>
      </c>
      <c r="M180" s="79"/>
      <c r="N180" s="80" t="e">
        <f t="shared" si="29"/>
        <v>#N/A</v>
      </c>
      <c r="O180" s="76"/>
      <c r="P180" s="81"/>
      <c r="Y180" s="91" t="s">
        <v>365</v>
      </c>
      <c r="Z180" s="92">
        <v>6.8327</v>
      </c>
      <c r="AA180" s="92">
        <f t="shared" si="27"/>
        <v>0.68327000000000004</v>
      </c>
    </row>
    <row r="181" spans="1:28" x14ac:dyDescent="0.25">
      <c r="A181" s="95">
        <v>45498</v>
      </c>
      <c r="B181" s="72" t="s">
        <v>678</v>
      </c>
      <c r="C181" s="72" t="s">
        <v>8</v>
      </c>
      <c r="D181" s="72" t="s">
        <v>15</v>
      </c>
      <c r="E181" s="72" t="s">
        <v>56</v>
      </c>
      <c r="F181" s="72">
        <v>1</v>
      </c>
      <c r="G181" s="73">
        <f t="shared" ref="G181:G212" si="31">VLOOKUP(D181,$S$3:$T$64,2,0)</f>
        <v>70</v>
      </c>
      <c r="H181" s="73">
        <f t="shared" si="24"/>
        <v>70</v>
      </c>
      <c r="I181" s="73">
        <f t="shared" si="25"/>
        <v>70</v>
      </c>
      <c r="J181" s="72" t="s">
        <v>83</v>
      </c>
      <c r="K181" s="74"/>
      <c r="M181" s="79" t="s">
        <v>15</v>
      </c>
      <c r="N181" s="80">
        <f t="shared" si="29"/>
        <v>28</v>
      </c>
      <c r="O181" s="76">
        <f>N181*F181</f>
        <v>28</v>
      </c>
      <c r="P181" s="81" t="s">
        <v>56</v>
      </c>
      <c r="Y181" s="91" t="s">
        <v>367</v>
      </c>
      <c r="Z181" s="92">
        <v>6.6506999999999996</v>
      </c>
      <c r="AA181" s="92">
        <f t="shared" si="27"/>
        <v>0.66507000000000005</v>
      </c>
    </row>
    <row r="182" spans="1:28" x14ac:dyDescent="0.25">
      <c r="A182" s="95">
        <v>45498</v>
      </c>
      <c r="B182" s="72" t="s">
        <v>476</v>
      </c>
      <c r="C182" s="72" t="s">
        <v>8</v>
      </c>
      <c r="D182" s="72" t="s">
        <v>17</v>
      </c>
      <c r="E182" s="72" t="s">
        <v>82</v>
      </c>
      <c r="F182" s="72">
        <v>1</v>
      </c>
      <c r="G182" s="73">
        <f t="shared" si="31"/>
        <v>50</v>
      </c>
      <c r="H182" s="73">
        <f t="shared" si="24"/>
        <v>50</v>
      </c>
      <c r="I182" s="73">
        <f t="shared" si="25"/>
        <v>50</v>
      </c>
      <c r="J182" s="72" t="s">
        <v>83</v>
      </c>
      <c r="K182" s="74"/>
      <c r="M182" s="79"/>
      <c r="N182" s="80" t="e">
        <f t="shared" si="29"/>
        <v>#N/A</v>
      </c>
      <c r="O182" s="76"/>
      <c r="P182" s="81"/>
      <c r="Y182" s="91" t="s">
        <v>368</v>
      </c>
      <c r="Z182" s="92">
        <v>3.5</v>
      </c>
      <c r="AA182" s="92">
        <f t="shared" si="27"/>
        <v>0.35000000000000003</v>
      </c>
      <c r="AB182" s="92"/>
    </row>
    <row r="183" spans="1:28" x14ac:dyDescent="0.25">
      <c r="A183" s="95">
        <v>45498</v>
      </c>
      <c r="B183" s="72" t="s">
        <v>504</v>
      </c>
      <c r="C183" s="72" t="s">
        <v>8</v>
      </c>
      <c r="D183" s="72" t="s">
        <v>15</v>
      </c>
      <c r="E183" s="72" t="s">
        <v>82</v>
      </c>
      <c r="F183" s="72">
        <v>1</v>
      </c>
      <c r="G183" s="73">
        <f t="shared" si="31"/>
        <v>70</v>
      </c>
      <c r="H183" s="73">
        <f t="shared" si="24"/>
        <v>70</v>
      </c>
      <c r="I183" s="73">
        <f t="shared" si="25"/>
        <v>70</v>
      </c>
      <c r="J183" s="72" t="s">
        <v>79</v>
      </c>
      <c r="K183" s="74"/>
      <c r="M183" s="79"/>
      <c r="N183" s="80" t="e">
        <f t="shared" si="29"/>
        <v>#N/A</v>
      </c>
      <c r="O183" s="76"/>
      <c r="P183" s="81"/>
      <c r="Y183" s="91" t="s">
        <v>370</v>
      </c>
      <c r="Z183" s="92">
        <v>3.5</v>
      </c>
      <c r="AA183" s="92">
        <f t="shared" si="27"/>
        <v>0.35000000000000003</v>
      </c>
    </row>
    <row r="184" spans="1:28" x14ac:dyDescent="0.25">
      <c r="A184" s="95">
        <v>45498</v>
      </c>
      <c r="B184" s="72" t="s">
        <v>574</v>
      </c>
      <c r="C184" s="72" t="s">
        <v>8</v>
      </c>
      <c r="D184" s="72" t="s">
        <v>17</v>
      </c>
      <c r="E184" s="72" t="s">
        <v>82</v>
      </c>
      <c r="F184" s="72">
        <v>1</v>
      </c>
      <c r="G184" s="73">
        <f t="shared" si="31"/>
        <v>50</v>
      </c>
      <c r="H184" s="73">
        <f t="shared" si="24"/>
        <v>50</v>
      </c>
      <c r="I184" s="73">
        <f t="shared" si="25"/>
        <v>50</v>
      </c>
      <c r="J184" s="72" t="s">
        <v>83</v>
      </c>
      <c r="K184" s="74"/>
      <c r="M184" s="79"/>
      <c r="N184" s="80" t="e">
        <f t="shared" si="29"/>
        <v>#N/A</v>
      </c>
      <c r="O184" s="76"/>
      <c r="P184" s="81"/>
      <c r="Y184" s="91" t="s">
        <v>372</v>
      </c>
      <c r="Z184" s="92">
        <v>3.41635</v>
      </c>
      <c r="AA184" s="92">
        <f t="shared" si="27"/>
        <v>0.34163500000000002</v>
      </c>
    </row>
    <row r="185" spans="1:28" x14ac:dyDescent="0.25">
      <c r="A185" s="95">
        <v>45498</v>
      </c>
      <c r="B185" s="72" t="s">
        <v>516</v>
      </c>
      <c r="C185" s="72" t="s">
        <v>8</v>
      </c>
      <c r="D185" s="72" t="s">
        <v>17</v>
      </c>
      <c r="E185" s="72" t="s">
        <v>82</v>
      </c>
      <c r="F185" s="72">
        <v>1</v>
      </c>
      <c r="G185" s="73">
        <f t="shared" si="31"/>
        <v>50</v>
      </c>
      <c r="H185" s="73">
        <f t="shared" si="24"/>
        <v>50</v>
      </c>
      <c r="I185" s="73">
        <f t="shared" si="25"/>
        <v>47.505000000000003</v>
      </c>
      <c r="J185" s="72" t="s">
        <v>86</v>
      </c>
      <c r="K185" s="74"/>
      <c r="M185" s="79"/>
      <c r="N185" s="80" t="e">
        <f t="shared" si="29"/>
        <v>#N/A</v>
      </c>
      <c r="O185" s="76"/>
      <c r="P185" s="81"/>
      <c r="Y185" s="91" t="s">
        <v>374</v>
      </c>
      <c r="Z185" s="92">
        <v>3.3253499999999998</v>
      </c>
      <c r="AA185" s="92">
        <f t="shared" si="27"/>
        <v>0.33253500000000003</v>
      </c>
    </row>
    <row r="186" spans="1:28" x14ac:dyDescent="0.25">
      <c r="A186" s="95">
        <v>45498</v>
      </c>
      <c r="B186" s="72" t="s">
        <v>563</v>
      </c>
      <c r="C186" s="72" t="s">
        <v>8</v>
      </c>
      <c r="D186" s="72" t="s">
        <v>18</v>
      </c>
      <c r="E186" s="72" t="s">
        <v>82</v>
      </c>
      <c r="F186" s="72">
        <v>1</v>
      </c>
      <c r="G186" s="73">
        <f t="shared" si="31"/>
        <v>40</v>
      </c>
      <c r="H186" s="73">
        <f t="shared" si="24"/>
        <v>40</v>
      </c>
      <c r="I186" s="73">
        <f t="shared" si="25"/>
        <v>40</v>
      </c>
      <c r="J186" s="72" t="s">
        <v>83</v>
      </c>
      <c r="K186" s="74"/>
      <c r="M186" s="79"/>
      <c r="N186" s="80">
        <f>G186*0.4</f>
        <v>16</v>
      </c>
      <c r="O186" s="76"/>
      <c r="P186" s="81"/>
      <c r="Y186" s="91" t="s">
        <v>375</v>
      </c>
      <c r="Z186" s="92">
        <v>3.5</v>
      </c>
      <c r="AA186" s="92">
        <f t="shared" si="27"/>
        <v>0.35000000000000003</v>
      </c>
    </row>
    <row r="187" spans="1:28" x14ac:dyDescent="0.25">
      <c r="A187" s="95">
        <v>45499</v>
      </c>
      <c r="B187" s="72" t="s">
        <v>710</v>
      </c>
      <c r="C187" s="72" t="s">
        <v>8</v>
      </c>
      <c r="D187" s="72" t="s">
        <v>18</v>
      </c>
      <c r="E187" s="72" t="s">
        <v>56</v>
      </c>
      <c r="F187" s="72">
        <v>1</v>
      </c>
      <c r="G187" s="73">
        <f t="shared" si="31"/>
        <v>40</v>
      </c>
      <c r="H187" s="73">
        <f t="shared" si="24"/>
        <v>40</v>
      </c>
      <c r="I187" s="73">
        <f t="shared" si="25"/>
        <v>38.003999999999998</v>
      </c>
      <c r="J187" s="72" t="s">
        <v>86</v>
      </c>
      <c r="K187" s="74"/>
      <c r="M187" s="79" t="s">
        <v>18</v>
      </c>
      <c r="N187" s="80">
        <f t="shared" ref="N187:N218" si="32">VLOOKUP(M187,$S$3:$U$64,3,0)</f>
        <v>16</v>
      </c>
      <c r="O187" s="76">
        <f t="shared" ref="O187:O192" si="33">N187*F187</f>
        <v>16</v>
      </c>
      <c r="P187" s="81" t="s">
        <v>56</v>
      </c>
      <c r="Y187" s="91" t="s">
        <v>376</v>
      </c>
      <c r="Z187" s="92">
        <v>3.5</v>
      </c>
      <c r="AA187" s="92">
        <f t="shared" si="27"/>
        <v>0.35000000000000003</v>
      </c>
    </row>
    <row r="188" spans="1:28" x14ac:dyDescent="0.25">
      <c r="A188" s="95">
        <v>45499</v>
      </c>
      <c r="B188" s="72" t="s">
        <v>504</v>
      </c>
      <c r="C188" s="72" t="s">
        <v>10</v>
      </c>
      <c r="D188" s="72" t="s">
        <v>18</v>
      </c>
      <c r="E188" s="72" t="s">
        <v>56</v>
      </c>
      <c r="F188" s="72">
        <v>1</v>
      </c>
      <c r="G188" s="73">
        <f t="shared" si="31"/>
        <v>40</v>
      </c>
      <c r="H188" s="73">
        <f t="shared" si="24"/>
        <v>40</v>
      </c>
      <c r="I188" s="73">
        <f t="shared" si="25"/>
        <v>40</v>
      </c>
      <c r="J188" s="72" t="s">
        <v>83</v>
      </c>
      <c r="K188" s="74"/>
      <c r="M188" s="79" t="s">
        <v>18</v>
      </c>
      <c r="N188" s="80">
        <f t="shared" si="32"/>
        <v>16</v>
      </c>
      <c r="O188" s="76">
        <f t="shared" si="33"/>
        <v>16</v>
      </c>
      <c r="P188" s="81" t="s">
        <v>56</v>
      </c>
      <c r="Y188" s="91" t="s">
        <v>378</v>
      </c>
      <c r="Z188" s="92">
        <v>3.41635</v>
      </c>
      <c r="AA188" s="92">
        <f t="shared" si="27"/>
        <v>0.34163500000000002</v>
      </c>
    </row>
    <row r="189" spans="1:28" x14ac:dyDescent="0.25">
      <c r="A189" s="95">
        <v>45499</v>
      </c>
      <c r="B189" s="72" t="s">
        <v>344</v>
      </c>
      <c r="C189" s="72" t="s">
        <v>8</v>
      </c>
      <c r="D189" s="72" t="s">
        <v>15</v>
      </c>
      <c r="E189" s="72" t="s">
        <v>56</v>
      </c>
      <c r="F189" s="72">
        <v>1</v>
      </c>
      <c r="G189" s="73">
        <f t="shared" si="31"/>
        <v>70</v>
      </c>
      <c r="H189" s="73">
        <f t="shared" si="24"/>
        <v>70</v>
      </c>
      <c r="I189" s="73">
        <f t="shared" si="25"/>
        <v>66.507000000000005</v>
      </c>
      <c r="J189" s="72" t="s">
        <v>86</v>
      </c>
      <c r="K189" s="74"/>
      <c r="M189" s="79" t="s">
        <v>15</v>
      </c>
      <c r="N189" s="80">
        <f t="shared" si="32"/>
        <v>28</v>
      </c>
      <c r="O189" s="76">
        <f t="shared" si="33"/>
        <v>28</v>
      </c>
      <c r="P189" s="81" t="s">
        <v>56</v>
      </c>
      <c r="Y189" s="91" t="s">
        <v>380</v>
      </c>
      <c r="Z189" s="92">
        <v>3.3253499999999998</v>
      </c>
      <c r="AA189" s="92">
        <f t="shared" si="27"/>
        <v>0.33253500000000003</v>
      </c>
    </row>
    <row r="190" spans="1:28" x14ac:dyDescent="0.25">
      <c r="A190" s="95">
        <v>45499</v>
      </c>
      <c r="B190" s="72" t="s">
        <v>344</v>
      </c>
      <c r="C190" s="72" t="s">
        <v>8</v>
      </c>
      <c r="D190" s="72" t="s">
        <v>38</v>
      </c>
      <c r="E190" s="72" t="s">
        <v>56</v>
      </c>
      <c r="F190" s="72">
        <v>1</v>
      </c>
      <c r="G190" s="73">
        <f t="shared" si="31"/>
        <v>6</v>
      </c>
      <c r="H190" s="73">
        <f t="shared" si="24"/>
        <v>6</v>
      </c>
      <c r="I190" s="73">
        <f t="shared" si="25"/>
        <v>5.7005999999999997</v>
      </c>
      <c r="J190" s="72" t="s">
        <v>86</v>
      </c>
      <c r="K190" s="74"/>
      <c r="M190" s="79" t="s">
        <v>38</v>
      </c>
      <c r="N190" s="80">
        <f t="shared" si="32"/>
        <v>0.60000000000000009</v>
      </c>
      <c r="O190" s="76">
        <f t="shared" si="33"/>
        <v>0.60000000000000009</v>
      </c>
      <c r="P190" s="81" t="s">
        <v>56</v>
      </c>
    </row>
    <row r="191" spans="1:28" x14ac:dyDescent="0.25">
      <c r="A191" s="95">
        <v>45499</v>
      </c>
      <c r="B191" s="72" t="s">
        <v>711</v>
      </c>
      <c r="C191" s="72" t="s">
        <v>8</v>
      </c>
      <c r="D191" s="72" t="s">
        <v>18</v>
      </c>
      <c r="E191" s="72" t="s">
        <v>56</v>
      </c>
      <c r="F191" s="72">
        <v>1</v>
      </c>
      <c r="G191" s="73">
        <f t="shared" si="31"/>
        <v>40</v>
      </c>
      <c r="H191" s="73">
        <f t="shared" si="24"/>
        <v>40</v>
      </c>
      <c r="I191" s="73">
        <f t="shared" si="25"/>
        <v>40</v>
      </c>
      <c r="J191" s="72" t="s">
        <v>83</v>
      </c>
      <c r="K191" s="74"/>
      <c r="M191" s="79" t="s">
        <v>18</v>
      </c>
      <c r="N191" s="80">
        <f t="shared" si="32"/>
        <v>16</v>
      </c>
      <c r="O191" s="76">
        <f t="shared" si="33"/>
        <v>16</v>
      </c>
      <c r="P191" s="81" t="s">
        <v>56</v>
      </c>
    </row>
    <row r="192" spans="1:28" x14ac:dyDescent="0.25">
      <c r="A192" s="95">
        <v>45499</v>
      </c>
      <c r="B192" s="72" t="s">
        <v>540</v>
      </c>
      <c r="C192" s="72" t="s">
        <v>8</v>
      </c>
      <c r="D192" s="72" t="s">
        <v>18</v>
      </c>
      <c r="E192" s="72" t="s">
        <v>56</v>
      </c>
      <c r="F192" s="72">
        <v>1</v>
      </c>
      <c r="G192" s="73">
        <f t="shared" si="31"/>
        <v>40</v>
      </c>
      <c r="H192" s="73">
        <f t="shared" si="24"/>
        <v>40</v>
      </c>
      <c r="I192" s="73">
        <f t="shared" si="25"/>
        <v>39.043999999999997</v>
      </c>
      <c r="J192" s="72" t="s">
        <v>78</v>
      </c>
      <c r="K192" s="74"/>
      <c r="M192" s="79" t="s">
        <v>18</v>
      </c>
      <c r="N192" s="80">
        <f t="shared" si="32"/>
        <v>16</v>
      </c>
      <c r="O192" s="76">
        <f t="shared" si="33"/>
        <v>16</v>
      </c>
      <c r="P192" s="81" t="s">
        <v>56</v>
      </c>
    </row>
    <row r="193" spans="1:17" x14ac:dyDescent="0.25">
      <c r="A193" s="95">
        <v>45499</v>
      </c>
      <c r="B193" s="72" t="s">
        <v>712</v>
      </c>
      <c r="C193" s="72" t="s">
        <v>8</v>
      </c>
      <c r="D193" s="72" t="s">
        <v>16</v>
      </c>
      <c r="E193" s="72" t="s">
        <v>82</v>
      </c>
      <c r="F193" s="72">
        <v>1</v>
      </c>
      <c r="G193" s="73">
        <f t="shared" si="31"/>
        <v>80</v>
      </c>
      <c r="H193" s="73">
        <f t="shared" si="24"/>
        <v>80</v>
      </c>
      <c r="I193" s="73">
        <f t="shared" si="25"/>
        <v>80</v>
      </c>
      <c r="J193" s="72" t="s">
        <v>83</v>
      </c>
      <c r="K193" s="74"/>
      <c r="M193" s="79"/>
      <c r="N193" s="80" t="e">
        <f t="shared" si="32"/>
        <v>#N/A</v>
      </c>
      <c r="O193" s="76"/>
      <c r="P193" s="81"/>
    </row>
    <row r="194" spans="1:17" x14ac:dyDescent="0.25">
      <c r="A194" s="95">
        <v>45499</v>
      </c>
      <c r="B194" s="72" t="s">
        <v>324</v>
      </c>
      <c r="C194" s="72" t="s">
        <v>8</v>
      </c>
      <c r="D194" s="72" t="s">
        <v>17</v>
      </c>
      <c r="E194" s="72" t="s">
        <v>82</v>
      </c>
      <c r="F194" s="72">
        <v>1</v>
      </c>
      <c r="G194" s="73">
        <f t="shared" si="31"/>
        <v>50</v>
      </c>
      <c r="H194" s="73">
        <f t="shared" si="24"/>
        <v>50</v>
      </c>
      <c r="I194" s="73">
        <f t="shared" si="25"/>
        <v>48.805</v>
      </c>
      <c r="J194" s="72" t="s">
        <v>78</v>
      </c>
      <c r="K194" s="74"/>
      <c r="M194" s="79"/>
      <c r="N194" s="80" t="e">
        <f t="shared" si="32"/>
        <v>#N/A</v>
      </c>
      <c r="O194" s="76"/>
      <c r="P194" s="81"/>
    </row>
    <row r="195" spans="1:17" x14ac:dyDescent="0.25">
      <c r="A195" s="95">
        <v>45499</v>
      </c>
      <c r="B195" s="72" t="s">
        <v>479</v>
      </c>
      <c r="C195" s="72" t="s">
        <v>8</v>
      </c>
      <c r="D195" s="72" t="s">
        <v>17</v>
      </c>
      <c r="E195" s="72" t="s">
        <v>82</v>
      </c>
      <c r="F195" s="72">
        <v>1</v>
      </c>
      <c r="G195" s="73">
        <f t="shared" si="31"/>
        <v>50</v>
      </c>
      <c r="H195" s="73">
        <f t="shared" ref="H195:H258" si="34">F195*G195</f>
        <v>50</v>
      </c>
      <c r="I195" s="73">
        <f t="shared" ref="I195:I258" si="35">IF(J195="Cartão de Debito",H195-(H195*$AC$5),IF(J195="Cartão de Credito",H195-(H195*$AC$6), IF(J195="Pix",H195-(H195*$AC$7), IF(J195="Dinheiro (R$)", H195-(H195*$AC$8)))))</f>
        <v>50</v>
      </c>
      <c r="J195" s="72" t="s">
        <v>79</v>
      </c>
      <c r="K195" s="74"/>
      <c r="M195" s="79"/>
      <c r="N195" s="80" t="e">
        <f t="shared" si="32"/>
        <v>#N/A</v>
      </c>
      <c r="O195" s="76"/>
      <c r="P195" s="81"/>
    </row>
    <row r="196" spans="1:17" x14ac:dyDescent="0.25">
      <c r="A196" s="95">
        <v>45499</v>
      </c>
      <c r="B196" s="72" t="s">
        <v>555</v>
      </c>
      <c r="C196" s="72" t="s">
        <v>8</v>
      </c>
      <c r="D196" s="72" t="s">
        <v>17</v>
      </c>
      <c r="E196" s="72" t="s">
        <v>82</v>
      </c>
      <c r="F196" s="72">
        <v>1</v>
      </c>
      <c r="G196" s="73">
        <f t="shared" si="31"/>
        <v>50</v>
      </c>
      <c r="H196" s="73">
        <f t="shared" si="34"/>
        <v>50</v>
      </c>
      <c r="I196" s="73">
        <f t="shared" si="35"/>
        <v>48.805</v>
      </c>
      <c r="J196" s="72" t="s">
        <v>78</v>
      </c>
      <c r="K196" s="74"/>
      <c r="M196" s="79"/>
      <c r="N196" s="80" t="e">
        <f t="shared" si="32"/>
        <v>#N/A</v>
      </c>
      <c r="O196" s="76"/>
      <c r="P196" s="81"/>
    </row>
    <row r="197" spans="1:17" x14ac:dyDescent="0.25">
      <c r="A197" s="95">
        <v>45499</v>
      </c>
      <c r="B197" s="72" t="s">
        <v>322</v>
      </c>
      <c r="C197" s="72" t="s">
        <v>8</v>
      </c>
      <c r="D197" s="72" t="s">
        <v>18</v>
      </c>
      <c r="E197" s="72" t="s">
        <v>82</v>
      </c>
      <c r="F197" s="72">
        <v>1</v>
      </c>
      <c r="G197" s="73">
        <f t="shared" si="31"/>
        <v>40</v>
      </c>
      <c r="H197" s="73">
        <f t="shared" si="34"/>
        <v>40</v>
      </c>
      <c r="I197" s="73">
        <f t="shared" si="35"/>
        <v>39.043999999999997</v>
      </c>
      <c r="J197" s="72" t="s">
        <v>78</v>
      </c>
      <c r="K197" s="74"/>
      <c r="M197" s="79"/>
      <c r="N197" s="80" t="e">
        <f t="shared" si="32"/>
        <v>#N/A</v>
      </c>
      <c r="O197" s="76"/>
      <c r="P197" s="81"/>
    </row>
    <row r="198" spans="1:17" x14ac:dyDescent="0.25">
      <c r="A198" s="95">
        <v>45500</v>
      </c>
      <c r="B198" s="72" t="s">
        <v>713</v>
      </c>
      <c r="C198" s="72" t="s">
        <v>8</v>
      </c>
      <c r="D198" s="72" t="s">
        <v>18</v>
      </c>
      <c r="E198" s="72" t="s">
        <v>56</v>
      </c>
      <c r="F198" s="72">
        <v>1</v>
      </c>
      <c r="G198" s="73">
        <f t="shared" si="31"/>
        <v>40</v>
      </c>
      <c r="H198" s="73">
        <f t="shared" si="34"/>
        <v>40</v>
      </c>
      <c r="I198" s="73">
        <f t="shared" si="35"/>
        <v>39.043999999999997</v>
      </c>
      <c r="J198" s="72" t="s">
        <v>78</v>
      </c>
      <c r="K198" s="74"/>
      <c r="M198" s="79" t="s">
        <v>18</v>
      </c>
      <c r="N198" s="80">
        <f t="shared" si="32"/>
        <v>16</v>
      </c>
      <c r="O198" s="76">
        <f t="shared" ref="O198:O206" si="36">N198*F198</f>
        <v>16</v>
      </c>
      <c r="P198" s="81" t="s">
        <v>56</v>
      </c>
    </row>
    <row r="199" spans="1:17" x14ac:dyDescent="0.25">
      <c r="A199" s="95">
        <v>45500</v>
      </c>
      <c r="B199" s="72" t="s">
        <v>576</v>
      </c>
      <c r="C199" s="72" t="s">
        <v>8</v>
      </c>
      <c r="D199" s="72" t="s">
        <v>18</v>
      </c>
      <c r="E199" s="72" t="s">
        <v>56</v>
      </c>
      <c r="F199" s="72">
        <v>1</v>
      </c>
      <c r="G199" s="73">
        <f t="shared" si="31"/>
        <v>40</v>
      </c>
      <c r="H199" s="73">
        <f t="shared" si="34"/>
        <v>40</v>
      </c>
      <c r="I199" s="73">
        <f t="shared" si="35"/>
        <v>38.003999999999998</v>
      </c>
      <c r="J199" s="72" t="s">
        <v>86</v>
      </c>
      <c r="K199" s="74"/>
      <c r="M199" s="79" t="s">
        <v>18</v>
      </c>
      <c r="N199" s="80">
        <f t="shared" si="32"/>
        <v>16</v>
      </c>
      <c r="O199" s="76">
        <f t="shared" si="36"/>
        <v>16</v>
      </c>
      <c r="P199" s="81" t="s">
        <v>56</v>
      </c>
    </row>
    <row r="200" spans="1:17" x14ac:dyDescent="0.25">
      <c r="A200" s="95">
        <v>45500</v>
      </c>
      <c r="B200" s="72" t="s">
        <v>397</v>
      </c>
      <c r="C200" s="72" t="s">
        <v>8</v>
      </c>
      <c r="D200" s="72" t="s">
        <v>18</v>
      </c>
      <c r="E200" s="72" t="s">
        <v>56</v>
      </c>
      <c r="F200" s="72">
        <v>1</v>
      </c>
      <c r="G200" s="73">
        <f t="shared" si="31"/>
        <v>40</v>
      </c>
      <c r="H200" s="73">
        <f t="shared" si="34"/>
        <v>40</v>
      </c>
      <c r="I200" s="73">
        <f t="shared" si="35"/>
        <v>40</v>
      </c>
      <c r="J200" s="72" t="s">
        <v>79</v>
      </c>
      <c r="K200" s="74"/>
      <c r="M200" s="79" t="s">
        <v>18</v>
      </c>
      <c r="N200" s="80">
        <f t="shared" si="32"/>
        <v>16</v>
      </c>
      <c r="O200" s="76">
        <f t="shared" si="36"/>
        <v>16</v>
      </c>
      <c r="P200" s="81" t="s">
        <v>56</v>
      </c>
    </row>
    <row r="201" spans="1:17" x14ac:dyDescent="0.25">
      <c r="A201" s="95">
        <v>45500</v>
      </c>
      <c r="B201" s="72" t="s">
        <v>236</v>
      </c>
      <c r="C201" s="72" t="s">
        <v>8</v>
      </c>
      <c r="D201" s="72" t="s">
        <v>18</v>
      </c>
      <c r="E201" s="72" t="s">
        <v>56</v>
      </c>
      <c r="F201" s="72">
        <v>1</v>
      </c>
      <c r="G201" s="73">
        <f t="shared" si="31"/>
        <v>40</v>
      </c>
      <c r="H201" s="73">
        <f t="shared" si="34"/>
        <v>40</v>
      </c>
      <c r="I201" s="73">
        <f t="shared" si="35"/>
        <v>40</v>
      </c>
      <c r="J201" s="72" t="s">
        <v>83</v>
      </c>
      <c r="K201" s="74"/>
      <c r="M201" s="79" t="s">
        <v>18</v>
      </c>
      <c r="N201" s="80">
        <f t="shared" si="32"/>
        <v>16</v>
      </c>
      <c r="O201" s="76">
        <f t="shared" si="36"/>
        <v>16</v>
      </c>
      <c r="P201" s="81" t="s">
        <v>56</v>
      </c>
    </row>
    <row r="202" spans="1:17" x14ac:dyDescent="0.25">
      <c r="A202" s="95">
        <v>45500</v>
      </c>
      <c r="B202" s="72" t="s">
        <v>705</v>
      </c>
      <c r="C202" s="72" t="s">
        <v>8</v>
      </c>
      <c r="D202" s="72" t="s">
        <v>18</v>
      </c>
      <c r="E202" s="72" t="s">
        <v>56</v>
      </c>
      <c r="F202" s="72">
        <v>1</v>
      </c>
      <c r="G202" s="73">
        <f t="shared" si="31"/>
        <v>40</v>
      </c>
      <c r="H202" s="73">
        <f t="shared" si="34"/>
        <v>40</v>
      </c>
      <c r="I202" s="73">
        <f t="shared" si="35"/>
        <v>40</v>
      </c>
      <c r="J202" s="72" t="s">
        <v>83</v>
      </c>
      <c r="K202" s="74" t="s">
        <v>714</v>
      </c>
      <c r="M202" s="79" t="s">
        <v>18</v>
      </c>
      <c r="N202" s="80">
        <f t="shared" si="32"/>
        <v>16</v>
      </c>
      <c r="O202" s="76">
        <f t="shared" si="36"/>
        <v>16</v>
      </c>
      <c r="P202" s="81" t="s">
        <v>56</v>
      </c>
    </row>
    <row r="203" spans="1:17" x14ac:dyDescent="0.25">
      <c r="A203" s="95">
        <v>45500</v>
      </c>
      <c r="B203" s="72" t="s">
        <v>715</v>
      </c>
      <c r="C203" s="72" t="s">
        <v>8</v>
      </c>
      <c r="D203" s="72" t="s">
        <v>13</v>
      </c>
      <c r="E203" s="72" t="s">
        <v>56</v>
      </c>
      <c r="F203" s="72">
        <v>1</v>
      </c>
      <c r="G203" s="73">
        <f t="shared" si="31"/>
        <v>30</v>
      </c>
      <c r="H203" s="73">
        <f t="shared" si="34"/>
        <v>30</v>
      </c>
      <c r="I203" s="73">
        <f t="shared" si="35"/>
        <v>29.283000000000001</v>
      </c>
      <c r="J203" s="72" t="s">
        <v>78</v>
      </c>
      <c r="K203" s="74"/>
      <c r="M203" s="79" t="s">
        <v>13</v>
      </c>
      <c r="N203" s="80">
        <f t="shared" si="32"/>
        <v>12</v>
      </c>
      <c r="O203" s="76">
        <f t="shared" si="36"/>
        <v>12</v>
      </c>
      <c r="P203" s="81" t="s">
        <v>56</v>
      </c>
    </row>
    <row r="204" spans="1:17" x14ac:dyDescent="0.25">
      <c r="A204" s="95">
        <v>45500</v>
      </c>
      <c r="B204" s="72" t="s">
        <v>715</v>
      </c>
      <c r="C204" s="72" t="s">
        <v>8</v>
      </c>
      <c r="D204" s="72" t="s">
        <v>24</v>
      </c>
      <c r="E204" s="72" t="s">
        <v>56</v>
      </c>
      <c r="F204" s="72">
        <v>1</v>
      </c>
      <c r="G204" s="73">
        <f t="shared" si="31"/>
        <v>10</v>
      </c>
      <c r="H204" s="73">
        <f t="shared" si="34"/>
        <v>10</v>
      </c>
      <c r="I204" s="73">
        <f t="shared" si="35"/>
        <v>9.7609999999999992</v>
      </c>
      <c r="J204" s="72" t="s">
        <v>78</v>
      </c>
      <c r="K204" s="74"/>
      <c r="M204" s="79" t="s">
        <v>24</v>
      </c>
      <c r="N204" s="80">
        <f t="shared" si="32"/>
        <v>4</v>
      </c>
      <c r="O204" s="76">
        <f t="shared" si="36"/>
        <v>4</v>
      </c>
      <c r="P204" s="81" t="s">
        <v>56</v>
      </c>
    </row>
    <row r="205" spans="1:17" x14ac:dyDescent="0.25">
      <c r="A205" s="95">
        <v>45500</v>
      </c>
      <c r="B205" s="72" t="s">
        <v>558</v>
      </c>
      <c r="C205" s="72" t="s">
        <v>10</v>
      </c>
      <c r="D205" s="72" t="s">
        <v>18</v>
      </c>
      <c r="E205" s="72" t="s">
        <v>56</v>
      </c>
      <c r="F205" s="72">
        <v>2</v>
      </c>
      <c r="G205" s="73">
        <f t="shared" si="31"/>
        <v>40</v>
      </c>
      <c r="H205" s="73">
        <f t="shared" si="34"/>
        <v>80</v>
      </c>
      <c r="I205" s="73">
        <f t="shared" si="35"/>
        <v>80</v>
      </c>
      <c r="J205" s="72" t="s">
        <v>79</v>
      </c>
      <c r="K205" s="74"/>
      <c r="M205" s="79" t="s">
        <v>18</v>
      </c>
      <c r="N205" s="80">
        <f t="shared" si="32"/>
        <v>16</v>
      </c>
      <c r="O205" s="76">
        <f t="shared" si="36"/>
        <v>32</v>
      </c>
      <c r="P205" s="81" t="s">
        <v>56</v>
      </c>
    </row>
    <row r="206" spans="1:17" x14ac:dyDescent="0.25">
      <c r="A206" s="95">
        <v>45500</v>
      </c>
      <c r="B206" s="72" t="s">
        <v>324</v>
      </c>
      <c r="C206" s="72" t="s">
        <v>10</v>
      </c>
      <c r="D206" s="72" t="s">
        <v>18</v>
      </c>
      <c r="E206" s="72" t="s">
        <v>56</v>
      </c>
      <c r="F206" s="72">
        <v>1</v>
      </c>
      <c r="G206" s="73">
        <f t="shared" si="31"/>
        <v>40</v>
      </c>
      <c r="H206" s="73">
        <f t="shared" si="34"/>
        <v>40</v>
      </c>
      <c r="I206" s="73">
        <f t="shared" si="35"/>
        <v>38.003999999999998</v>
      </c>
      <c r="J206" s="72" t="s">
        <v>86</v>
      </c>
      <c r="K206" s="74"/>
      <c r="M206" s="79" t="s">
        <v>18</v>
      </c>
      <c r="N206" s="80">
        <f t="shared" si="32"/>
        <v>16</v>
      </c>
      <c r="O206" s="76">
        <f t="shared" si="36"/>
        <v>16</v>
      </c>
      <c r="P206" s="81" t="s">
        <v>56</v>
      </c>
      <c r="Q206" s="106">
        <f>SUM(O161:O206)</f>
        <v>364.6</v>
      </c>
    </row>
    <row r="207" spans="1:17" x14ac:dyDescent="0.25">
      <c r="A207" s="95">
        <v>45500</v>
      </c>
      <c r="B207" s="72" t="s">
        <v>597</v>
      </c>
      <c r="C207" s="72" t="s">
        <v>8</v>
      </c>
      <c r="D207" s="72" t="s">
        <v>18</v>
      </c>
      <c r="E207" s="72" t="s">
        <v>82</v>
      </c>
      <c r="F207" s="72">
        <v>1</v>
      </c>
      <c r="G207" s="73">
        <f t="shared" si="31"/>
        <v>40</v>
      </c>
      <c r="H207" s="73">
        <f t="shared" si="34"/>
        <v>40</v>
      </c>
      <c r="I207" s="73">
        <f t="shared" si="35"/>
        <v>38.003999999999998</v>
      </c>
      <c r="J207" s="72" t="s">
        <v>86</v>
      </c>
      <c r="K207" s="74"/>
      <c r="M207" s="79"/>
      <c r="N207" s="80" t="e">
        <f t="shared" si="32"/>
        <v>#N/A</v>
      </c>
      <c r="O207" s="76"/>
      <c r="P207" s="81"/>
    </row>
    <row r="208" spans="1:17" x14ac:dyDescent="0.25">
      <c r="A208" s="95">
        <v>45500</v>
      </c>
      <c r="B208" s="72" t="s">
        <v>324</v>
      </c>
      <c r="C208" s="72" t="s">
        <v>8</v>
      </c>
      <c r="D208" s="72" t="s">
        <v>18</v>
      </c>
      <c r="E208" s="72" t="s">
        <v>82</v>
      </c>
      <c r="F208" s="72">
        <v>1</v>
      </c>
      <c r="G208" s="73">
        <f t="shared" si="31"/>
        <v>40</v>
      </c>
      <c r="H208" s="73">
        <f t="shared" si="34"/>
        <v>40</v>
      </c>
      <c r="I208" s="73">
        <f t="shared" si="35"/>
        <v>39.043999999999997</v>
      </c>
      <c r="J208" s="72" t="s">
        <v>78</v>
      </c>
      <c r="K208" s="74"/>
      <c r="M208" s="79"/>
      <c r="N208" s="80" t="e">
        <f t="shared" si="32"/>
        <v>#N/A</v>
      </c>
      <c r="O208" s="76"/>
      <c r="P208" s="81"/>
    </row>
    <row r="209" spans="1:17" x14ac:dyDescent="0.25">
      <c r="A209" s="95">
        <v>45500</v>
      </c>
      <c r="B209" s="72" t="s">
        <v>558</v>
      </c>
      <c r="C209" s="72" t="s">
        <v>8</v>
      </c>
      <c r="D209" s="72" t="s">
        <v>17</v>
      </c>
      <c r="E209" s="72" t="s">
        <v>82</v>
      </c>
      <c r="F209" s="72">
        <v>1</v>
      </c>
      <c r="G209" s="73">
        <f t="shared" si="31"/>
        <v>50</v>
      </c>
      <c r="H209" s="73">
        <f t="shared" si="34"/>
        <v>50</v>
      </c>
      <c r="I209" s="73">
        <f t="shared" si="35"/>
        <v>48.805</v>
      </c>
      <c r="J209" s="72" t="s">
        <v>78</v>
      </c>
      <c r="K209" s="74"/>
      <c r="M209" s="79"/>
      <c r="N209" s="80" t="e">
        <f t="shared" si="32"/>
        <v>#N/A</v>
      </c>
      <c r="O209" s="76"/>
      <c r="P209" s="81"/>
    </row>
    <row r="210" spans="1:17" x14ac:dyDescent="0.25">
      <c r="A210" s="95">
        <v>45500</v>
      </c>
      <c r="B210" s="72" t="s">
        <v>550</v>
      </c>
      <c r="C210" s="72" t="s">
        <v>8</v>
      </c>
      <c r="D210" s="72" t="s">
        <v>18</v>
      </c>
      <c r="E210" s="72" t="s">
        <v>82</v>
      </c>
      <c r="F210" s="72">
        <v>1</v>
      </c>
      <c r="G210" s="73">
        <f t="shared" si="31"/>
        <v>40</v>
      </c>
      <c r="H210" s="73">
        <f t="shared" si="34"/>
        <v>40</v>
      </c>
      <c r="I210" s="73">
        <f t="shared" si="35"/>
        <v>39.043999999999997</v>
      </c>
      <c r="J210" s="72" t="s">
        <v>78</v>
      </c>
      <c r="K210" s="74"/>
      <c r="M210" s="79"/>
      <c r="N210" s="80" t="e">
        <f t="shared" si="32"/>
        <v>#N/A</v>
      </c>
      <c r="O210" s="76"/>
      <c r="P210" s="81"/>
    </row>
    <row r="211" spans="1:17" x14ac:dyDescent="0.25">
      <c r="A211" s="95">
        <v>45500</v>
      </c>
      <c r="B211" s="72" t="s">
        <v>324</v>
      </c>
      <c r="C211" s="72" t="s">
        <v>8</v>
      </c>
      <c r="D211" s="72" t="s">
        <v>17</v>
      </c>
      <c r="E211" s="72" t="s">
        <v>82</v>
      </c>
      <c r="F211" s="72">
        <v>1</v>
      </c>
      <c r="G211" s="73">
        <f t="shared" si="31"/>
        <v>50</v>
      </c>
      <c r="H211" s="73">
        <f t="shared" si="34"/>
        <v>50</v>
      </c>
      <c r="I211" s="73">
        <f t="shared" si="35"/>
        <v>47.505000000000003</v>
      </c>
      <c r="J211" s="72" t="s">
        <v>86</v>
      </c>
      <c r="K211" s="74"/>
      <c r="M211" s="79"/>
      <c r="N211" s="80" t="e">
        <f t="shared" si="32"/>
        <v>#N/A</v>
      </c>
      <c r="O211" s="76"/>
      <c r="P211" s="81"/>
    </row>
    <row r="212" spans="1:17" x14ac:dyDescent="0.25">
      <c r="A212" s="95">
        <v>45500</v>
      </c>
      <c r="B212" s="72" t="s">
        <v>182</v>
      </c>
      <c r="C212" s="72" t="s">
        <v>8</v>
      </c>
      <c r="D212" s="72" t="s">
        <v>40</v>
      </c>
      <c r="E212" s="72" t="s">
        <v>82</v>
      </c>
      <c r="F212" s="72">
        <v>1</v>
      </c>
      <c r="G212" s="73">
        <f t="shared" si="31"/>
        <v>45</v>
      </c>
      <c r="H212" s="73">
        <f t="shared" si="34"/>
        <v>45</v>
      </c>
      <c r="I212" s="73">
        <f t="shared" si="35"/>
        <v>45</v>
      </c>
      <c r="J212" s="72" t="s">
        <v>79</v>
      </c>
      <c r="K212" s="74"/>
      <c r="M212" s="79"/>
      <c r="N212" s="80" t="e">
        <f t="shared" si="32"/>
        <v>#N/A</v>
      </c>
      <c r="O212" s="76"/>
      <c r="P212" s="81"/>
    </row>
    <row r="213" spans="1:17" x14ac:dyDescent="0.25">
      <c r="A213" s="95">
        <v>45500</v>
      </c>
      <c r="B213" s="72" t="s">
        <v>238</v>
      </c>
      <c r="C213" s="72" t="s">
        <v>8</v>
      </c>
      <c r="D213" s="72" t="s">
        <v>18</v>
      </c>
      <c r="E213" s="72" t="s">
        <v>82</v>
      </c>
      <c r="F213" s="72">
        <v>1</v>
      </c>
      <c r="G213" s="73">
        <f t="shared" ref="G213:G244" si="37">VLOOKUP(D213,$S$3:$T$64,2,0)</f>
        <v>40</v>
      </c>
      <c r="H213" s="73">
        <f t="shared" si="34"/>
        <v>40</v>
      </c>
      <c r="I213" s="73">
        <f t="shared" si="35"/>
        <v>40</v>
      </c>
      <c r="J213" s="72" t="s">
        <v>79</v>
      </c>
      <c r="K213" s="74"/>
      <c r="M213" s="79"/>
      <c r="N213" s="80" t="e">
        <f t="shared" si="32"/>
        <v>#N/A</v>
      </c>
      <c r="O213" s="76"/>
      <c r="P213" s="81"/>
    </row>
    <row r="214" spans="1:17" x14ac:dyDescent="0.25">
      <c r="A214" s="95">
        <v>45503</v>
      </c>
      <c r="B214" s="72" t="s">
        <v>174</v>
      </c>
      <c r="C214" s="72" t="s">
        <v>8</v>
      </c>
      <c r="D214" s="72" t="s">
        <v>18</v>
      </c>
      <c r="E214" s="72" t="s">
        <v>56</v>
      </c>
      <c r="F214" s="72">
        <v>1</v>
      </c>
      <c r="G214" s="73">
        <f t="shared" si="37"/>
        <v>40</v>
      </c>
      <c r="H214" s="73">
        <f t="shared" si="34"/>
        <v>40</v>
      </c>
      <c r="I214" s="73">
        <f t="shared" si="35"/>
        <v>40</v>
      </c>
      <c r="J214" s="72" t="s">
        <v>83</v>
      </c>
      <c r="K214" s="74"/>
      <c r="M214" s="79" t="s">
        <v>18</v>
      </c>
      <c r="N214" s="80">
        <f t="shared" si="32"/>
        <v>16</v>
      </c>
      <c r="O214" s="76">
        <f t="shared" ref="O214:O245" si="38">N214*F214</f>
        <v>16</v>
      </c>
      <c r="P214" s="81" t="s">
        <v>56</v>
      </c>
    </row>
    <row r="215" spans="1:17" x14ac:dyDescent="0.25">
      <c r="A215" s="95">
        <v>45503</v>
      </c>
      <c r="B215" s="72" t="s">
        <v>655</v>
      </c>
      <c r="C215" s="72" t="s">
        <v>8</v>
      </c>
      <c r="D215" s="72" t="s">
        <v>15</v>
      </c>
      <c r="E215" s="72" t="s">
        <v>56</v>
      </c>
      <c r="F215" s="72">
        <v>1</v>
      </c>
      <c r="G215" s="73">
        <f t="shared" si="37"/>
        <v>70</v>
      </c>
      <c r="H215" s="73">
        <f t="shared" si="34"/>
        <v>70</v>
      </c>
      <c r="I215" s="73">
        <f t="shared" si="35"/>
        <v>70</v>
      </c>
      <c r="J215" s="72" t="s">
        <v>83</v>
      </c>
      <c r="K215" s="74"/>
      <c r="M215" s="79" t="s">
        <v>15</v>
      </c>
      <c r="N215" s="80">
        <f t="shared" si="32"/>
        <v>28</v>
      </c>
      <c r="O215" s="76">
        <f t="shared" si="38"/>
        <v>28</v>
      </c>
      <c r="P215" s="81" t="s">
        <v>56</v>
      </c>
    </row>
    <row r="216" spans="1:17" x14ac:dyDescent="0.25">
      <c r="A216" s="95">
        <v>45503</v>
      </c>
      <c r="B216" s="72" t="s">
        <v>655</v>
      </c>
      <c r="C216" s="72" t="s">
        <v>8</v>
      </c>
      <c r="D216" s="72" t="s">
        <v>39</v>
      </c>
      <c r="E216" s="72" t="s">
        <v>56</v>
      </c>
      <c r="F216" s="72">
        <v>1</v>
      </c>
      <c r="G216" s="73">
        <f t="shared" si="37"/>
        <v>10</v>
      </c>
      <c r="H216" s="73">
        <f t="shared" si="34"/>
        <v>10</v>
      </c>
      <c r="I216" s="73">
        <f t="shared" si="35"/>
        <v>10</v>
      </c>
      <c r="J216" s="72" t="s">
        <v>83</v>
      </c>
      <c r="K216" s="74"/>
      <c r="M216" s="79" t="s">
        <v>39</v>
      </c>
      <c r="N216" s="80">
        <f t="shared" si="32"/>
        <v>1</v>
      </c>
      <c r="O216" s="76">
        <f t="shared" si="38"/>
        <v>1</v>
      </c>
      <c r="P216" s="81" t="s">
        <v>56</v>
      </c>
    </row>
    <row r="217" spans="1:17" x14ac:dyDescent="0.25">
      <c r="A217" s="95">
        <v>45503</v>
      </c>
      <c r="B217" s="72" t="s">
        <v>459</v>
      </c>
      <c r="C217" s="72" t="s">
        <v>8</v>
      </c>
      <c r="D217" s="72" t="s">
        <v>18</v>
      </c>
      <c r="E217" s="72" t="s">
        <v>56</v>
      </c>
      <c r="F217" s="72">
        <v>1</v>
      </c>
      <c r="G217" s="73">
        <f t="shared" si="37"/>
        <v>40</v>
      </c>
      <c r="H217" s="73">
        <f t="shared" si="34"/>
        <v>40</v>
      </c>
      <c r="I217" s="73">
        <f t="shared" si="35"/>
        <v>40</v>
      </c>
      <c r="J217" s="72" t="s">
        <v>83</v>
      </c>
      <c r="K217" s="74"/>
      <c r="M217" s="79" t="s">
        <v>18</v>
      </c>
      <c r="N217" s="80">
        <f t="shared" si="32"/>
        <v>16</v>
      </c>
      <c r="O217" s="76">
        <f t="shared" si="38"/>
        <v>16</v>
      </c>
      <c r="P217" s="81" t="s">
        <v>56</v>
      </c>
    </row>
    <row r="218" spans="1:17" x14ac:dyDescent="0.25">
      <c r="A218" s="95">
        <v>45503</v>
      </c>
      <c r="B218" s="72" t="s">
        <v>459</v>
      </c>
      <c r="C218" s="72" t="s">
        <v>8</v>
      </c>
      <c r="D218" s="72" t="s">
        <v>61</v>
      </c>
      <c r="E218" s="72" t="s">
        <v>56</v>
      </c>
      <c r="F218" s="72">
        <v>1</v>
      </c>
      <c r="G218" s="73">
        <f t="shared" si="37"/>
        <v>35</v>
      </c>
      <c r="H218" s="73">
        <f t="shared" si="34"/>
        <v>35</v>
      </c>
      <c r="I218" s="73">
        <f t="shared" si="35"/>
        <v>35</v>
      </c>
      <c r="J218" s="72" t="s">
        <v>83</v>
      </c>
      <c r="K218" s="74"/>
      <c r="M218" s="79" t="s">
        <v>61</v>
      </c>
      <c r="N218" s="80">
        <f t="shared" si="32"/>
        <v>3.5</v>
      </c>
      <c r="O218" s="76">
        <f t="shared" si="38"/>
        <v>3.5</v>
      </c>
      <c r="P218" s="81" t="s">
        <v>56</v>
      </c>
    </row>
    <row r="219" spans="1:17" x14ac:dyDescent="0.25">
      <c r="A219" s="95">
        <v>45503</v>
      </c>
      <c r="B219" s="72" t="s">
        <v>516</v>
      </c>
      <c r="C219" s="72" t="s">
        <v>10</v>
      </c>
      <c r="D219" s="72" t="s">
        <v>16</v>
      </c>
      <c r="E219" s="72" t="s">
        <v>56</v>
      </c>
      <c r="F219" s="72">
        <v>1</v>
      </c>
      <c r="G219" s="73">
        <f t="shared" si="37"/>
        <v>80</v>
      </c>
      <c r="H219" s="73">
        <f t="shared" si="34"/>
        <v>80</v>
      </c>
      <c r="I219" s="73">
        <f t="shared" si="35"/>
        <v>80</v>
      </c>
      <c r="J219" s="72" t="s">
        <v>83</v>
      </c>
      <c r="K219" s="74"/>
      <c r="M219" s="79" t="s">
        <v>16</v>
      </c>
      <c r="N219" s="80">
        <f>G219*0.4</f>
        <v>32</v>
      </c>
      <c r="O219" s="76">
        <f t="shared" si="38"/>
        <v>32</v>
      </c>
      <c r="P219" s="81" t="s">
        <v>56</v>
      </c>
    </row>
    <row r="220" spans="1:17" x14ac:dyDescent="0.25">
      <c r="A220" s="95">
        <v>45503</v>
      </c>
      <c r="B220" s="72" t="s">
        <v>716</v>
      </c>
      <c r="C220" s="72" t="s">
        <v>8</v>
      </c>
      <c r="D220" s="72" t="s">
        <v>18</v>
      </c>
      <c r="E220" s="72" t="s">
        <v>56</v>
      </c>
      <c r="F220" s="72">
        <v>1</v>
      </c>
      <c r="G220" s="73">
        <f t="shared" si="37"/>
        <v>40</v>
      </c>
      <c r="H220" s="73">
        <f t="shared" si="34"/>
        <v>40</v>
      </c>
      <c r="I220" s="73">
        <f t="shared" si="35"/>
        <v>40</v>
      </c>
      <c r="J220" s="72" t="s">
        <v>83</v>
      </c>
      <c r="K220" s="74"/>
      <c r="M220" s="79" t="s">
        <v>18</v>
      </c>
      <c r="N220" s="80">
        <f t="shared" ref="N220:N251" si="39">VLOOKUP(M220,$S$3:$U$64,3,0)</f>
        <v>16</v>
      </c>
      <c r="O220" s="76">
        <f t="shared" si="38"/>
        <v>16</v>
      </c>
      <c r="P220" s="81" t="s">
        <v>56</v>
      </c>
    </row>
    <row r="221" spans="1:17" x14ac:dyDescent="0.25">
      <c r="A221" s="95">
        <v>45503</v>
      </c>
      <c r="B221" s="72" t="s">
        <v>716</v>
      </c>
      <c r="C221" s="72" t="s">
        <v>8</v>
      </c>
      <c r="D221" s="72" t="s">
        <v>24</v>
      </c>
      <c r="E221" s="72" t="s">
        <v>56</v>
      </c>
      <c r="F221" s="72">
        <v>1</v>
      </c>
      <c r="G221" s="73">
        <f t="shared" si="37"/>
        <v>10</v>
      </c>
      <c r="H221" s="73">
        <f t="shared" si="34"/>
        <v>10</v>
      </c>
      <c r="I221" s="73">
        <f t="shared" si="35"/>
        <v>10</v>
      </c>
      <c r="J221" s="72" t="s">
        <v>83</v>
      </c>
      <c r="K221" s="74"/>
      <c r="M221" s="79" t="s">
        <v>24</v>
      </c>
      <c r="N221" s="80">
        <f t="shared" si="39"/>
        <v>4</v>
      </c>
      <c r="O221" s="76">
        <f t="shared" si="38"/>
        <v>4</v>
      </c>
      <c r="P221" s="81" t="s">
        <v>56</v>
      </c>
      <c r="Q221" s="106"/>
    </row>
    <row r="222" spans="1:17" x14ac:dyDescent="0.25">
      <c r="A222" s="95">
        <v>45504</v>
      </c>
      <c r="B222" s="72" t="s">
        <v>717</v>
      </c>
      <c r="C222" s="72" t="s">
        <v>8</v>
      </c>
      <c r="D222" s="72" t="s">
        <v>18</v>
      </c>
      <c r="E222" s="72" t="s">
        <v>56</v>
      </c>
      <c r="F222" s="72">
        <v>1</v>
      </c>
      <c r="G222" s="73">
        <f t="shared" si="37"/>
        <v>40</v>
      </c>
      <c r="H222" s="73">
        <f t="shared" si="34"/>
        <v>40</v>
      </c>
      <c r="I222" s="73">
        <f t="shared" si="35"/>
        <v>39.043999999999997</v>
      </c>
      <c r="J222" s="72" t="s">
        <v>78</v>
      </c>
      <c r="K222" s="74"/>
      <c r="M222" s="79" t="s">
        <v>18</v>
      </c>
      <c r="N222" s="80">
        <f t="shared" si="39"/>
        <v>16</v>
      </c>
      <c r="O222" s="76">
        <f t="shared" si="38"/>
        <v>16</v>
      </c>
      <c r="P222" s="81" t="s">
        <v>56</v>
      </c>
    </row>
    <row r="223" spans="1:17" x14ac:dyDescent="0.25">
      <c r="A223" s="95">
        <v>45504</v>
      </c>
      <c r="B223" s="72" t="s">
        <v>210</v>
      </c>
      <c r="C223" s="72" t="s">
        <v>8</v>
      </c>
      <c r="D223" s="72" t="s">
        <v>18</v>
      </c>
      <c r="E223" s="72" t="s">
        <v>56</v>
      </c>
      <c r="F223" s="72">
        <v>1</v>
      </c>
      <c r="G223" s="73">
        <f t="shared" si="37"/>
        <v>40</v>
      </c>
      <c r="H223" s="73">
        <f t="shared" si="34"/>
        <v>40</v>
      </c>
      <c r="I223" s="73">
        <f t="shared" si="35"/>
        <v>40</v>
      </c>
      <c r="J223" s="72" t="s">
        <v>79</v>
      </c>
      <c r="K223" s="74"/>
      <c r="M223" s="79" t="s">
        <v>18</v>
      </c>
      <c r="N223" s="80">
        <f t="shared" si="39"/>
        <v>16</v>
      </c>
      <c r="O223" s="76">
        <f t="shared" si="38"/>
        <v>16</v>
      </c>
      <c r="P223" s="81" t="s">
        <v>56</v>
      </c>
    </row>
    <row r="224" spans="1:17" x14ac:dyDescent="0.25">
      <c r="A224" s="95">
        <v>45504</v>
      </c>
      <c r="B224" s="72" t="s">
        <v>210</v>
      </c>
      <c r="C224" s="72" t="s">
        <v>8</v>
      </c>
      <c r="D224" s="72" t="s">
        <v>24</v>
      </c>
      <c r="E224" s="72" t="s">
        <v>56</v>
      </c>
      <c r="F224" s="72">
        <v>1</v>
      </c>
      <c r="G224" s="73">
        <f t="shared" si="37"/>
        <v>10</v>
      </c>
      <c r="H224" s="73">
        <f t="shared" si="34"/>
        <v>10</v>
      </c>
      <c r="I224" s="73">
        <f t="shared" si="35"/>
        <v>10</v>
      </c>
      <c r="J224" s="72" t="s">
        <v>79</v>
      </c>
      <c r="K224" s="74"/>
      <c r="M224" s="79" t="s">
        <v>24</v>
      </c>
      <c r="N224" s="80">
        <f t="shared" si="39"/>
        <v>4</v>
      </c>
      <c r="O224" s="76">
        <f t="shared" si="38"/>
        <v>4</v>
      </c>
      <c r="P224" s="81" t="s">
        <v>56</v>
      </c>
    </row>
    <row r="225" spans="1:17" x14ac:dyDescent="0.25">
      <c r="A225" s="95">
        <v>45504</v>
      </c>
      <c r="B225" s="72" t="s">
        <v>561</v>
      </c>
      <c r="C225" s="72" t="s">
        <v>8</v>
      </c>
      <c r="D225" s="72" t="s">
        <v>18</v>
      </c>
      <c r="E225" s="72" t="s">
        <v>56</v>
      </c>
      <c r="F225" s="72">
        <v>1</v>
      </c>
      <c r="G225" s="73">
        <f t="shared" si="37"/>
        <v>40</v>
      </c>
      <c r="H225" s="73">
        <f t="shared" si="34"/>
        <v>40</v>
      </c>
      <c r="I225" s="73">
        <f t="shared" si="35"/>
        <v>40</v>
      </c>
      <c r="J225" s="72" t="s">
        <v>83</v>
      </c>
      <c r="K225" s="74"/>
      <c r="M225" s="79" t="s">
        <v>18</v>
      </c>
      <c r="N225" s="80">
        <f t="shared" si="39"/>
        <v>16</v>
      </c>
      <c r="O225" s="76">
        <f t="shared" si="38"/>
        <v>16</v>
      </c>
      <c r="P225" s="81" t="s">
        <v>56</v>
      </c>
    </row>
    <row r="226" spans="1:17" x14ac:dyDescent="0.25">
      <c r="A226" s="95">
        <v>45504</v>
      </c>
      <c r="B226" s="72" t="s">
        <v>670</v>
      </c>
      <c r="C226" s="72" t="s">
        <v>8</v>
      </c>
      <c r="D226" s="72" t="s">
        <v>18</v>
      </c>
      <c r="E226" s="72" t="s">
        <v>56</v>
      </c>
      <c r="F226" s="72">
        <v>1</v>
      </c>
      <c r="G226" s="73">
        <f t="shared" si="37"/>
        <v>40</v>
      </c>
      <c r="H226" s="73">
        <f t="shared" si="34"/>
        <v>40</v>
      </c>
      <c r="I226" s="73">
        <f t="shared" si="35"/>
        <v>39.043999999999997</v>
      </c>
      <c r="J226" s="72" t="s">
        <v>78</v>
      </c>
      <c r="K226" s="74"/>
      <c r="M226" s="79" t="s">
        <v>18</v>
      </c>
      <c r="N226" s="80">
        <f t="shared" si="39"/>
        <v>16</v>
      </c>
      <c r="O226" s="76">
        <f t="shared" si="38"/>
        <v>16</v>
      </c>
      <c r="P226" s="81" t="s">
        <v>56</v>
      </c>
      <c r="Q226" s="106">
        <f>SUM(O214:O226)</f>
        <v>184.5</v>
      </c>
    </row>
    <row r="227" spans="1:17" x14ac:dyDescent="0.25">
      <c r="A227" s="95"/>
      <c r="B227" s="72"/>
      <c r="C227" s="72"/>
      <c r="D227" s="72"/>
      <c r="E227" s="72"/>
      <c r="F227" s="72"/>
      <c r="G227" s="73" t="e">
        <f t="shared" si="37"/>
        <v>#N/A</v>
      </c>
      <c r="H227" s="73" t="e">
        <f t="shared" si="34"/>
        <v>#N/A</v>
      </c>
      <c r="I227" s="73" t="b">
        <f t="shared" si="35"/>
        <v>0</v>
      </c>
      <c r="J227" s="72"/>
      <c r="K227" s="74"/>
      <c r="M227" s="79"/>
      <c r="N227" s="80" t="e">
        <f t="shared" si="39"/>
        <v>#N/A</v>
      </c>
      <c r="O227" s="76" t="e">
        <f t="shared" si="38"/>
        <v>#N/A</v>
      </c>
      <c r="P227" s="103"/>
    </row>
    <row r="228" spans="1:17" x14ac:dyDescent="0.25">
      <c r="A228" s="95"/>
      <c r="B228" s="72"/>
      <c r="C228" s="72"/>
      <c r="D228" s="72"/>
      <c r="E228" s="72"/>
      <c r="F228" s="72"/>
      <c r="G228" s="73" t="e">
        <f t="shared" si="37"/>
        <v>#N/A</v>
      </c>
      <c r="H228" s="73" t="e">
        <f t="shared" si="34"/>
        <v>#N/A</v>
      </c>
      <c r="I228" s="73" t="b">
        <f t="shared" si="35"/>
        <v>0</v>
      </c>
      <c r="J228" s="72"/>
      <c r="K228" s="74"/>
      <c r="M228" s="79"/>
      <c r="N228" s="80" t="e">
        <f t="shared" si="39"/>
        <v>#N/A</v>
      </c>
      <c r="O228" s="76" t="e">
        <f t="shared" si="38"/>
        <v>#N/A</v>
      </c>
      <c r="P228" s="103"/>
    </row>
    <row r="229" spans="1:17" x14ac:dyDescent="0.25">
      <c r="A229" s="95"/>
      <c r="B229" s="72"/>
      <c r="C229" s="72"/>
      <c r="D229" s="72"/>
      <c r="E229" s="72"/>
      <c r="F229" s="72"/>
      <c r="G229" s="73" t="e">
        <f t="shared" si="37"/>
        <v>#N/A</v>
      </c>
      <c r="H229" s="73" t="e">
        <f t="shared" si="34"/>
        <v>#N/A</v>
      </c>
      <c r="I229" s="73" t="b">
        <f t="shared" si="35"/>
        <v>0</v>
      </c>
      <c r="J229" s="72"/>
      <c r="K229" s="74"/>
      <c r="M229" s="79"/>
      <c r="N229" s="80" t="e">
        <f t="shared" si="39"/>
        <v>#N/A</v>
      </c>
      <c r="O229" s="76" t="e">
        <f t="shared" si="38"/>
        <v>#N/A</v>
      </c>
      <c r="P229" s="103"/>
    </row>
    <row r="230" spans="1:17" x14ac:dyDescent="0.25">
      <c r="A230" s="95"/>
      <c r="B230" s="72"/>
      <c r="C230" s="72"/>
      <c r="D230" s="72"/>
      <c r="E230" s="72"/>
      <c r="F230" s="72"/>
      <c r="G230" s="73" t="e">
        <f t="shared" si="37"/>
        <v>#N/A</v>
      </c>
      <c r="H230" s="73" t="e">
        <f t="shared" si="34"/>
        <v>#N/A</v>
      </c>
      <c r="I230" s="73" t="b">
        <f t="shared" si="35"/>
        <v>0</v>
      </c>
      <c r="J230" s="72"/>
      <c r="K230" s="74"/>
      <c r="M230" s="79"/>
      <c r="N230" s="80" t="e">
        <f t="shared" si="39"/>
        <v>#N/A</v>
      </c>
      <c r="O230" s="76" t="e">
        <f t="shared" si="38"/>
        <v>#N/A</v>
      </c>
      <c r="P230" s="103"/>
    </row>
    <row r="231" spans="1:17" x14ac:dyDescent="0.25">
      <c r="A231" s="95"/>
      <c r="B231" s="72"/>
      <c r="C231" s="72"/>
      <c r="D231" s="72"/>
      <c r="E231" s="72"/>
      <c r="F231" s="72"/>
      <c r="G231" s="73" t="e">
        <f t="shared" si="37"/>
        <v>#N/A</v>
      </c>
      <c r="H231" s="73" t="e">
        <f t="shared" si="34"/>
        <v>#N/A</v>
      </c>
      <c r="I231" s="73" t="b">
        <f t="shared" si="35"/>
        <v>0</v>
      </c>
      <c r="J231" s="72"/>
      <c r="K231" s="74"/>
      <c r="M231" s="79"/>
      <c r="N231" s="80" t="e">
        <f t="shared" si="39"/>
        <v>#N/A</v>
      </c>
      <c r="O231" s="76" t="e">
        <f t="shared" si="38"/>
        <v>#N/A</v>
      </c>
      <c r="P231" s="103"/>
    </row>
    <row r="232" spans="1:17" x14ac:dyDescent="0.25">
      <c r="A232" s="95"/>
      <c r="B232" s="72"/>
      <c r="C232" s="72"/>
      <c r="D232" s="72"/>
      <c r="E232" s="72"/>
      <c r="F232" s="72"/>
      <c r="G232" s="73" t="e">
        <f t="shared" si="37"/>
        <v>#N/A</v>
      </c>
      <c r="H232" s="73" t="e">
        <f t="shared" si="34"/>
        <v>#N/A</v>
      </c>
      <c r="I232" s="73" t="b">
        <f t="shared" si="35"/>
        <v>0</v>
      </c>
      <c r="J232" s="72"/>
      <c r="K232" s="74"/>
      <c r="M232" s="79"/>
      <c r="N232" s="80" t="e">
        <f t="shared" si="39"/>
        <v>#N/A</v>
      </c>
      <c r="O232" s="76" t="e">
        <f t="shared" si="38"/>
        <v>#N/A</v>
      </c>
      <c r="P232" s="103"/>
    </row>
    <row r="233" spans="1:17" x14ac:dyDescent="0.25">
      <c r="A233" s="95"/>
      <c r="B233" s="72"/>
      <c r="C233" s="72"/>
      <c r="D233" s="72"/>
      <c r="E233" s="72"/>
      <c r="F233" s="72"/>
      <c r="G233" s="73" t="e">
        <f t="shared" si="37"/>
        <v>#N/A</v>
      </c>
      <c r="H233" s="73" t="e">
        <f t="shared" si="34"/>
        <v>#N/A</v>
      </c>
      <c r="I233" s="73" t="b">
        <f t="shared" si="35"/>
        <v>0</v>
      </c>
      <c r="J233" s="72"/>
      <c r="K233" s="74"/>
      <c r="M233" s="79"/>
      <c r="N233" s="80" t="e">
        <f t="shared" si="39"/>
        <v>#N/A</v>
      </c>
      <c r="O233" s="76" t="e">
        <f t="shared" si="38"/>
        <v>#N/A</v>
      </c>
      <c r="P233" s="103"/>
    </row>
    <row r="234" spans="1:17" x14ac:dyDescent="0.25">
      <c r="A234" s="95"/>
      <c r="B234" s="72"/>
      <c r="C234" s="72"/>
      <c r="D234" s="72"/>
      <c r="E234" s="72"/>
      <c r="F234" s="72"/>
      <c r="G234" s="73" t="e">
        <f t="shared" si="37"/>
        <v>#N/A</v>
      </c>
      <c r="H234" s="73" t="e">
        <f t="shared" si="34"/>
        <v>#N/A</v>
      </c>
      <c r="I234" s="73" t="b">
        <f t="shared" si="35"/>
        <v>0</v>
      </c>
      <c r="J234" s="72"/>
      <c r="K234" s="74"/>
      <c r="M234" s="79"/>
      <c r="N234" s="80" t="e">
        <f t="shared" si="39"/>
        <v>#N/A</v>
      </c>
      <c r="O234" s="76" t="e">
        <f t="shared" si="38"/>
        <v>#N/A</v>
      </c>
      <c r="P234" s="103"/>
    </row>
    <row r="235" spans="1:17" x14ac:dyDescent="0.25">
      <c r="A235" s="95"/>
      <c r="B235" s="72"/>
      <c r="C235" s="72"/>
      <c r="D235" s="72"/>
      <c r="E235" s="72"/>
      <c r="F235" s="72"/>
      <c r="G235" s="73" t="e">
        <f t="shared" si="37"/>
        <v>#N/A</v>
      </c>
      <c r="H235" s="73" t="e">
        <f t="shared" si="34"/>
        <v>#N/A</v>
      </c>
      <c r="I235" s="73" t="b">
        <f t="shared" si="35"/>
        <v>0</v>
      </c>
      <c r="J235" s="72"/>
      <c r="K235" s="74"/>
      <c r="M235" s="79"/>
      <c r="N235" s="80" t="e">
        <f t="shared" si="39"/>
        <v>#N/A</v>
      </c>
      <c r="O235" s="76" t="e">
        <f t="shared" si="38"/>
        <v>#N/A</v>
      </c>
      <c r="P235" s="103"/>
    </row>
    <row r="236" spans="1:17" x14ac:dyDescent="0.25">
      <c r="A236" s="95"/>
      <c r="B236" s="72"/>
      <c r="C236" s="72"/>
      <c r="D236" s="72"/>
      <c r="E236" s="72"/>
      <c r="F236" s="72"/>
      <c r="G236" s="73" t="e">
        <f t="shared" si="37"/>
        <v>#N/A</v>
      </c>
      <c r="H236" s="73" t="e">
        <f t="shared" si="34"/>
        <v>#N/A</v>
      </c>
      <c r="I236" s="73" t="b">
        <f t="shared" si="35"/>
        <v>0</v>
      </c>
      <c r="J236" s="72"/>
      <c r="K236" s="74"/>
      <c r="M236" s="79"/>
      <c r="N236" s="80" t="e">
        <f t="shared" si="39"/>
        <v>#N/A</v>
      </c>
      <c r="O236" s="76" t="e">
        <f t="shared" si="38"/>
        <v>#N/A</v>
      </c>
      <c r="P236" s="103"/>
    </row>
    <row r="237" spans="1:17" x14ac:dyDescent="0.25">
      <c r="A237" s="95"/>
      <c r="B237" s="72"/>
      <c r="C237" s="72"/>
      <c r="D237" s="72"/>
      <c r="E237" s="72"/>
      <c r="F237" s="72"/>
      <c r="G237" s="73" t="e">
        <f t="shared" si="37"/>
        <v>#N/A</v>
      </c>
      <c r="H237" s="73" t="e">
        <f t="shared" si="34"/>
        <v>#N/A</v>
      </c>
      <c r="I237" s="73" t="b">
        <f t="shared" si="35"/>
        <v>0</v>
      </c>
      <c r="J237" s="72"/>
      <c r="K237" s="74"/>
      <c r="M237" s="79"/>
      <c r="N237" s="80" t="e">
        <f t="shared" si="39"/>
        <v>#N/A</v>
      </c>
      <c r="O237" s="76" t="e">
        <f t="shared" si="38"/>
        <v>#N/A</v>
      </c>
      <c r="P237" s="103"/>
    </row>
    <row r="238" spans="1:17" x14ac:dyDescent="0.25">
      <c r="A238" s="95"/>
      <c r="B238" s="72"/>
      <c r="C238" s="72"/>
      <c r="D238" s="72"/>
      <c r="E238" s="72"/>
      <c r="F238" s="72"/>
      <c r="G238" s="73" t="e">
        <f t="shared" si="37"/>
        <v>#N/A</v>
      </c>
      <c r="H238" s="73" t="e">
        <f t="shared" si="34"/>
        <v>#N/A</v>
      </c>
      <c r="I238" s="73" t="b">
        <f t="shared" si="35"/>
        <v>0</v>
      </c>
      <c r="J238" s="72"/>
      <c r="K238" s="74"/>
      <c r="M238" s="79"/>
      <c r="N238" s="80" t="e">
        <f t="shared" si="39"/>
        <v>#N/A</v>
      </c>
      <c r="O238" s="76" t="e">
        <f t="shared" si="38"/>
        <v>#N/A</v>
      </c>
      <c r="P238" s="103"/>
    </row>
    <row r="239" spans="1:17" x14ac:dyDescent="0.25">
      <c r="A239" s="95"/>
      <c r="B239" s="72"/>
      <c r="C239" s="72"/>
      <c r="D239" s="72"/>
      <c r="E239" s="72"/>
      <c r="F239" s="72"/>
      <c r="G239" s="73" t="e">
        <f t="shared" si="37"/>
        <v>#N/A</v>
      </c>
      <c r="H239" s="73" t="e">
        <f t="shared" si="34"/>
        <v>#N/A</v>
      </c>
      <c r="I239" s="73" t="b">
        <f t="shared" si="35"/>
        <v>0</v>
      </c>
      <c r="J239" s="72"/>
      <c r="K239" s="74"/>
      <c r="M239" s="79"/>
      <c r="N239" s="80" t="e">
        <f t="shared" si="39"/>
        <v>#N/A</v>
      </c>
      <c r="O239" s="76" t="e">
        <f t="shared" si="38"/>
        <v>#N/A</v>
      </c>
      <c r="P239" s="103"/>
    </row>
    <row r="240" spans="1:17" x14ac:dyDescent="0.25">
      <c r="A240" s="95"/>
      <c r="B240" s="72"/>
      <c r="C240" s="72"/>
      <c r="D240" s="72"/>
      <c r="E240" s="72"/>
      <c r="F240" s="72"/>
      <c r="G240" s="73" t="e">
        <f t="shared" si="37"/>
        <v>#N/A</v>
      </c>
      <c r="H240" s="73" t="e">
        <f t="shared" si="34"/>
        <v>#N/A</v>
      </c>
      <c r="I240" s="73" t="b">
        <f t="shared" si="35"/>
        <v>0</v>
      </c>
      <c r="J240" s="72"/>
      <c r="K240" s="74"/>
      <c r="M240" s="79"/>
      <c r="N240" s="80" t="e">
        <f t="shared" si="39"/>
        <v>#N/A</v>
      </c>
      <c r="O240" s="76" t="e">
        <f t="shared" si="38"/>
        <v>#N/A</v>
      </c>
      <c r="P240" s="103"/>
    </row>
    <row r="241" spans="1:17" x14ac:dyDescent="0.25">
      <c r="A241" s="95"/>
      <c r="B241" s="72"/>
      <c r="C241" s="72"/>
      <c r="D241" s="72"/>
      <c r="E241" s="72"/>
      <c r="F241" s="72"/>
      <c r="G241" s="73" t="e">
        <f t="shared" si="37"/>
        <v>#N/A</v>
      </c>
      <c r="H241" s="73" t="e">
        <f t="shared" si="34"/>
        <v>#N/A</v>
      </c>
      <c r="I241" s="73" t="b">
        <f t="shared" si="35"/>
        <v>0</v>
      </c>
      <c r="J241" s="72"/>
      <c r="K241" s="74"/>
      <c r="M241" s="79"/>
      <c r="N241" s="80" t="e">
        <f t="shared" si="39"/>
        <v>#N/A</v>
      </c>
      <c r="O241" s="76" t="e">
        <f t="shared" si="38"/>
        <v>#N/A</v>
      </c>
      <c r="P241" s="103"/>
    </row>
    <row r="242" spans="1:17" x14ac:dyDescent="0.25">
      <c r="A242" s="95"/>
      <c r="B242" s="72"/>
      <c r="C242" s="72"/>
      <c r="D242" s="72"/>
      <c r="E242" s="72"/>
      <c r="F242" s="72"/>
      <c r="G242" s="73" t="e">
        <f t="shared" si="37"/>
        <v>#N/A</v>
      </c>
      <c r="H242" s="73" t="e">
        <f t="shared" si="34"/>
        <v>#N/A</v>
      </c>
      <c r="I242" s="73" t="b">
        <f t="shared" si="35"/>
        <v>0</v>
      </c>
      <c r="J242" s="72"/>
      <c r="K242" s="74"/>
      <c r="M242" s="79"/>
      <c r="N242" s="80" t="e">
        <f t="shared" si="39"/>
        <v>#N/A</v>
      </c>
      <c r="O242" s="76" t="e">
        <f t="shared" si="38"/>
        <v>#N/A</v>
      </c>
      <c r="P242" s="103"/>
    </row>
    <row r="243" spans="1:17" x14ac:dyDescent="0.25">
      <c r="A243" s="95"/>
      <c r="B243" s="72"/>
      <c r="C243" s="72"/>
      <c r="D243" s="72"/>
      <c r="E243" s="72"/>
      <c r="F243" s="72"/>
      <c r="G243" s="73" t="e">
        <f t="shared" si="37"/>
        <v>#N/A</v>
      </c>
      <c r="H243" s="73" t="e">
        <f t="shared" si="34"/>
        <v>#N/A</v>
      </c>
      <c r="I243" s="73" t="b">
        <f t="shared" si="35"/>
        <v>0</v>
      </c>
      <c r="J243" s="72"/>
      <c r="K243" s="74"/>
      <c r="M243" s="79"/>
      <c r="N243" s="80" t="e">
        <f t="shared" si="39"/>
        <v>#N/A</v>
      </c>
      <c r="O243" s="76" t="e">
        <f t="shared" si="38"/>
        <v>#N/A</v>
      </c>
      <c r="P243" s="103"/>
    </row>
    <row r="244" spans="1:17" x14ac:dyDescent="0.25">
      <c r="A244" s="95"/>
      <c r="B244" s="72"/>
      <c r="C244" s="72"/>
      <c r="D244" s="72"/>
      <c r="E244" s="72"/>
      <c r="F244" s="72"/>
      <c r="G244" s="73" t="e">
        <f t="shared" si="37"/>
        <v>#N/A</v>
      </c>
      <c r="H244" s="73" t="e">
        <f t="shared" si="34"/>
        <v>#N/A</v>
      </c>
      <c r="I244" s="73" t="b">
        <f t="shared" si="35"/>
        <v>0</v>
      </c>
      <c r="J244" s="72"/>
      <c r="K244" s="74"/>
      <c r="M244" s="79"/>
      <c r="N244" s="80" t="e">
        <f t="shared" si="39"/>
        <v>#N/A</v>
      </c>
      <c r="O244" s="76" t="e">
        <f t="shared" si="38"/>
        <v>#N/A</v>
      </c>
      <c r="P244" s="103"/>
    </row>
    <row r="245" spans="1:17" x14ac:dyDescent="0.25">
      <c r="A245" s="95"/>
      <c r="B245" s="72"/>
      <c r="C245" s="72"/>
      <c r="D245" s="72"/>
      <c r="E245" s="72"/>
      <c r="F245" s="72"/>
      <c r="G245" s="73" t="e">
        <f t="shared" ref="G245:G276" si="40">VLOOKUP(D245,$S$3:$T$64,2,0)</f>
        <v>#N/A</v>
      </c>
      <c r="H245" s="73" t="e">
        <f t="shared" si="34"/>
        <v>#N/A</v>
      </c>
      <c r="I245" s="73" t="b">
        <f t="shared" si="35"/>
        <v>0</v>
      </c>
      <c r="J245" s="72"/>
      <c r="K245" s="74"/>
      <c r="M245" s="79"/>
      <c r="N245" s="80" t="e">
        <f t="shared" si="39"/>
        <v>#N/A</v>
      </c>
      <c r="O245" s="76" t="e">
        <f t="shared" si="38"/>
        <v>#N/A</v>
      </c>
      <c r="P245" s="103"/>
    </row>
    <row r="246" spans="1:17" x14ac:dyDescent="0.25">
      <c r="A246" s="95"/>
      <c r="B246" s="72"/>
      <c r="C246" s="72"/>
      <c r="D246" s="72"/>
      <c r="E246" s="72"/>
      <c r="F246" s="72"/>
      <c r="G246" s="73" t="e">
        <f t="shared" si="40"/>
        <v>#N/A</v>
      </c>
      <c r="H246" s="73" t="e">
        <f t="shared" si="34"/>
        <v>#N/A</v>
      </c>
      <c r="I246" s="73" t="b">
        <f t="shared" si="35"/>
        <v>0</v>
      </c>
      <c r="J246" s="72"/>
      <c r="K246" s="74"/>
      <c r="M246" s="79"/>
      <c r="N246" s="80" t="e">
        <f t="shared" si="39"/>
        <v>#N/A</v>
      </c>
      <c r="O246" s="76" t="e">
        <f t="shared" ref="O246:O277" si="41">N246*F246</f>
        <v>#N/A</v>
      </c>
      <c r="P246" s="103"/>
    </row>
    <row r="247" spans="1:17" x14ac:dyDescent="0.25">
      <c r="A247" s="95"/>
      <c r="B247" s="72"/>
      <c r="C247" s="72"/>
      <c r="D247" s="72"/>
      <c r="E247" s="72"/>
      <c r="F247" s="72"/>
      <c r="G247" s="73" t="e">
        <f t="shared" si="40"/>
        <v>#N/A</v>
      </c>
      <c r="H247" s="73" t="e">
        <f t="shared" si="34"/>
        <v>#N/A</v>
      </c>
      <c r="I247" s="73" t="b">
        <f t="shared" si="35"/>
        <v>0</v>
      </c>
      <c r="J247" s="72"/>
      <c r="K247" s="74"/>
      <c r="M247" s="79"/>
      <c r="N247" s="80" t="e">
        <f t="shared" si="39"/>
        <v>#N/A</v>
      </c>
      <c r="O247" s="76" t="e">
        <f t="shared" si="41"/>
        <v>#N/A</v>
      </c>
      <c r="P247" s="103"/>
      <c r="Q247" s="106"/>
    </row>
    <row r="248" spans="1:17" x14ac:dyDescent="0.25">
      <c r="A248" s="95"/>
      <c r="B248" s="72"/>
      <c r="C248" s="72"/>
      <c r="D248" s="72"/>
      <c r="E248" s="72"/>
      <c r="F248" s="72"/>
      <c r="G248" s="73" t="e">
        <f t="shared" si="40"/>
        <v>#N/A</v>
      </c>
      <c r="H248" s="73" t="e">
        <f t="shared" si="34"/>
        <v>#N/A</v>
      </c>
      <c r="I248" s="73" t="b">
        <f t="shared" si="35"/>
        <v>0</v>
      </c>
      <c r="J248" s="72"/>
      <c r="K248" s="74"/>
      <c r="M248" s="79"/>
      <c r="N248" s="80" t="e">
        <f t="shared" si="39"/>
        <v>#N/A</v>
      </c>
      <c r="O248" s="76" t="e">
        <f t="shared" si="41"/>
        <v>#N/A</v>
      </c>
      <c r="P248" s="103"/>
    </row>
    <row r="249" spans="1:17" x14ac:dyDescent="0.25">
      <c r="A249" s="95"/>
      <c r="B249" s="72"/>
      <c r="C249" s="72"/>
      <c r="D249" s="72"/>
      <c r="E249" s="72"/>
      <c r="F249" s="72"/>
      <c r="G249" s="73" t="e">
        <f t="shared" si="40"/>
        <v>#N/A</v>
      </c>
      <c r="H249" s="73" t="e">
        <f t="shared" si="34"/>
        <v>#N/A</v>
      </c>
      <c r="I249" s="73" t="b">
        <f t="shared" si="35"/>
        <v>0</v>
      </c>
      <c r="J249" s="72"/>
      <c r="K249" s="74"/>
      <c r="M249" s="79"/>
      <c r="N249" s="80" t="e">
        <f t="shared" si="39"/>
        <v>#N/A</v>
      </c>
      <c r="O249" s="76" t="e">
        <f t="shared" si="41"/>
        <v>#N/A</v>
      </c>
      <c r="P249" s="103"/>
    </row>
    <row r="250" spans="1:17" x14ac:dyDescent="0.25">
      <c r="A250" s="95"/>
      <c r="B250" s="72"/>
      <c r="C250" s="72"/>
      <c r="D250" s="72"/>
      <c r="E250" s="72"/>
      <c r="F250" s="72"/>
      <c r="G250" s="73" t="e">
        <f t="shared" si="40"/>
        <v>#N/A</v>
      </c>
      <c r="H250" s="73" t="e">
        <f t="shared" si="34"/>
        <v>#N/A</v>
      </c>
      <c r="I250" s="73" t="b">
        <f t="shared" si="35"/>
        <v>0</v>
      </c>
      <c r="J250" s="72"/>
      <c r="K250" s="74"/>
      <c r="M250" s="79"/>
      <c r="N250" s="80" t="e">
        <f t="shared" si="39"/>
        <v>#N/A</v>
      </c>
      <c r="O250" s="76" t="e">
        <f t="shared" si="41"/>
        <v>#N/A</v>
      </c>
      <c r="P250" s="103"/>
    </row>
    <row r="251" spans="1:17" x14ac:dyDescent="0.25">
      <c r="A251" s="95"/>
      <c r="B251" s="72"/>
      <c r="C251" s="72"/>
      <c r="D251" s="72"/>
      <c r="E251" s="72"/>
      <c r="F251" s="72"/>
      <c r="G251" s="73" t="e">
        <f t="shared" si="40"/>
        <v>#N/A</v>
      </c>
      <c r="H251" s="73" t="e">
        <f t="shared" si="34"/>
        <v>#N/A</v>
      </c>
      <c r="I251" s="73" t="b">
        <f t="shared" si="35"/>
        <v>0</v>
      </c>
      <c r="J251" s="72"/>
      <c r="K251" s="74"/>
      <c r="M251" s="79"/>
      <c r="N251" s="80" t="e">
        <f t="shared" si="39"/>
        <v>#N/A</v>
      </c>
      <c r="O251" s="76" t="e">
        <f t="shared" si="41"/>
        <v>#N/A</v>
      </c>
      <c r="P251" s="103"/>
    </row>
    <row r="252" spans="1:17" x14ac:dyDescent="0.25">
      <c r="A252" s="95"/>
      <c r="B252" s="72"/>
      <c r="C252" s="72"/>
      <c r="D252" s="72"/>
      <c r="E252" s="72"/>
      <c r="F252" s="72"/>
      <c r="G252" s="73" t="e">
        <f t="shared" si="40"/>
        <v>#N/A</v>
      </c>
      <c r="H252" s="73" t="e">
        <f t="shared" si="34"/>
        <v>#N/A</v>
      </c>
      <c r="I252" s="73" t="b">
        <f t="shared" si="35"/>
        <v>0</v>
      </c>
      <c r="J252" s="72"/>
      <c r="K252" s="74"/>
      <c r="M252" s="79"/>
      <c r="N252" s="80" t="e">
        <f t="shared" ref="N252:N283" si="42">VLOOKUP(M252,$S$3:$U$64,3,0)</f>
        <v>#N/A</v>
      </c>
      <c r="O252" s="76" t="e">
        <f t="shared" si="41"/>
        <v>#N/A</v>
      </c>
      <c r="P252" s="103"/>
    </row>
    <row r="253" spans="1:17" x14ac:dyDescent="0.25">
      <c r="A253" s="95"/>
      <c r="B253" s="72"/>
      <c r="C253" s="72"/>
      <c r="D253" s="72"/>
      <c r="E253" s="72"/>
      <c r="F253" s="72"/>
      <c r="G253" s="73" t="e">
        <f t="shared" si="40"/>
        <v>#N/A</v>
      </c>
      <c r="H253" s="73" t="e">
        <f t="shared" si="34"/>
        <v>#N/A</v>
      </c>
      <c r="I253" s="73" t="b">
        <f t="shared" si="35"/>
        <v>0</v>
      </c>
      <c r="J253" s="72"/>
      <c r="K253" s="74"/>
      <c r="M253" s="79"/>
      <c r="N253" s="80" t="e">
        <f t="shared" si="42"/>
        <v>#N/A</v>
      </c>
      <c r="O253" s="76" t="e">
        <f t="shared" si="41"/>
        <v>#N/A</v>
      </c>
      <c r="P253" s="103"/>
    </row>
    <row r="254" spans="1:17" x14ac:dyDescent="0.25">
      <c r="A254" s="95"/>
      <c r="B254" s="72"/>
      <c r="C254" s="72"/>
      <c r="D254" s="72"/>
      <c r="E254" s="72"/>
      <c r="F254" s="72"/>
      <c r="G254" s="73" t="e">
        <f t="shared" si="40"/>
        <v>#N/A</v>
      </c>
      <c r="H254" s="73" t="e">
        <f t="shared" si="34"/>
        <v>#N/A</v>
      </c>
      <c r="I254" s="73" t="b">
        <f t="shared" si="35"/>
        <v>0</v>
      </c>
      <c r="J254" s="72"/>
      <c r="K254" s="74"/>
      <c r="M254" s="79"/>
      <c r="N254" s="80" t="e">
        <f t="shared" si="42"/>
        <v>#N/A</v>
      </c>
      <c r="O254" s="76" t="e">
        <f t="shared" si="41"/>
        <v>#N/A</v>
      </c>
      <c r="P254" s="103"/>
    </row>
    <row r="255" spans="1:17" x14ac:dyDescent="0.25">
      <c r="A255" s="95"/>
      <c r="B255" s="72"/>
      <c r="C255" s="72"/>
      <c r="D255" s="72"/>
      <c r="E255" s="72"/>
      <c r="F255" s="72"/>
      <c r="G255" s="73" t="e">
        <f t="shared" si="40"/>
        <v>#N/A</v>
      </c>
      <c r="H255" s="73" t="e">
        <f t="shared" si="34"/>
        <v>#N/A</v>
      </c>
      <c r="I255" s="73" t="b">
        <f t="shared" si="35"/>
        <v>0</v>
      </c>
      <c r="J255" s="72"/>
      <c r="K255" s="74"/>
      <c r="M255" s="79"/>
      <c r="N255" s="80" t="e">
        <f t="shared" si="42"/>
        <v>#N/A</v>
      </c>
      <c r="O255" s="76" t="e">
        <f t="shared" si="41"/>
        <v>#N/A</v>
      </c>
      <c r="P255" s="103"/>
    </row>
    <row r="256" spans="1:17" x14ac:dyDescent="0.25">
      <c r="A256" s="95"/>
      <c r="B256" s="72"/>
      <c r="C256" s="72"/>
      <c r="D256" s="72"/>
      <c r="E256" s="72"/>
      <c r="F256" s="72"/>
      <c r="G256" s="73" t="e">
        <f t="shared" si="40"/>
        <v>#N/A</v>
      </c>
      <c r="H256" s="73" t="e">
        <f t="shared" si="34"/>
        <v>#N/A</v>
      </c>
      <c r="I256" s="73" t="b">
        <f t="shared" si="35"/>
        <v>0</v>
      </c>
      <c r="J256" s="72"/>
      <c r="K256" s="74"/>
      <c r="M256" s="79"/>
      <c r="N256" s="80" t="e">
        <f t="shared" si="42"/>
        <v>#N/A</v>
      </c>
      <c r="O256" s="76" t="e">
        <f t="shared" si="41"/>
        <v>#N/A</v>
      </c>
      <c r="P256" s="103"/>
    </row>
    <row r="257" spans="1:16" x14ac:dyDescent="0.25">
      <c r="A257" s="95"/>
      <c r="B257" s="72"/>
      <c r="C257" s="72"/>
      <c r="D257" s="72"/>
      <c r="E257" s="72"/>
      <c r="F257" s="72"/>
      <c r="G257" s="73" t="e">
        <f t="shared" si="40"/>
        <v>#N/A</v>
      </c>
      <c r="H257" s="73" t="e">
        <f t="shared" si="34"/>
        <v>#N/A</v>
      </c>
      <c r="I257" s="73" t="b">
        <f t="shared" si="35"/>
        <v>0</v>
      </c>
      <c r="J257" s="72"/>
      <c r="K257" s="74"/>
      <c r="M257" s="79"/>
      <c r="N257" s="80" t="e">
        <f t="shared" si="42"/>
        <v>#N/A</v>
      </c>
      <c r="O257" s="76" t="e">
        <f t="shared" si="41"/>
        <v>#N/A</v>
      </c>
      <c r="P257" s="103"/>
    </row>
    <row r="258" spans="1:16" x14ac:dyDescent="0.25">
      <c r="A258" s="95"/>
      <c r="B258" s="72"/>
      <c r="C258" s="72"/>
      <c r="D258" s="72"/>
      <c r="E258" s="72"/>
      <c r="F258" s="72"/>
      <c r="G258" s="73" t="e">
        <f t="shared" si="40"/>
        <v>#N/A</v>
      </c>
      <c r="H258" s="73" t="e">
        <f t="shared" si="34"/>
        <v>#N/A</v>
      </c>
      <c r="I258" s="73" t="b">
        <f t="shared" si="35"/>
        <v>0</v>
      </c>
      <c r="J258" s="72"/>
      <c r="K258" s="74"/>
      <c r="M258" s="79"/>
      <c r="N258" s="80" t="e">
        <f t="shared" si="42"/>
        <v>#N/A</v>
      </c>
      <c r="O258" s="76" t="e">
        <f t="shared" si="41"/>
        <v>#N/A</v>
      </c>
      <c r="P258" s="103"/>
    </row>
    <row r="259" spans="1:16" x14ac:dyDescent="0.25">
      <c r="A259" s="95"/>
      <c r="B259" s="72"/>
      <c r="C259" s="72"/>
      <c r="D259" s="72"/>
      <c r="E259" s="72"/>
      <c r="F259" s="72"/>
      <c r="G259" s="73" t="e">
        <f t="shared" si="40"/>
        <v>#N/A</v>
      </c>
      <c r="H259" s="73" t="e">
        <f t="shared" ref="H259:H322" si="43">F259*G259</f>
        <v>#N/A</v>
      </c>
      <c r="I259" s="73" t="b">
        <f t="shared" ref="I259:I322" si="44">IF(J259="Cartão de Debito",H259-(H259*$AC$5),IF(J259="Cartão de Credito",H259-(H259*$AC$6), IF(J259="Pix",H259-(H259*$AC$7), IF(J259="Dinheiro (R$)", H259-(H259*$AC$8)))))</f>
        <v>0</v>
      </c>
      <c r="J259" s="72"/>
      <c r="K259" s="74"/>
      <c r="M259" s="79"/>
      <c r="N259" s="80" t="e">
        <f t="shared" si="42"/>
        <v>#N/A</v>
      </c>
      <c r="O259" s="76" t="e">
        <f t="shared" si="41"/>
        <v>#N/A</v>
      </c>
      <c r="P259" s="103"/>
    </row>
    <row r="260" spans="1:16" x14ac:dyDescent="0.25">
      <c r="A260" s="95"/>
      <c r="B260" s="72"/>
      <c r="C260" s="72"/>
      <c r="D260" s="72"/>
      <c r="E260" s="72"/>
      <c r="F260" s="72"/>
      <c r="G260" s="73" t="e">
        <f t="shared" si="40"/>
        <v>#N/A</v>
      </c>
      <c r="H260" s="73" t="e">
        <f t="shared" si="43"/>
        <v>#N/A</v>
      </c>
      <c r="I260" s="73" t="b">
        <f t="shared" si="44"/>
        <v>0</v>
      </c>
      <c r="J260" s="72"/>
      <c r="K260" s="74"/>
      <c r="M260" s="79"/>
      <c r="N260" s="80" t="e">
        <f t="shared" si="42"/>
        <v>#N/A</v>
      </c>
      <c r="O260" s="76" t="e">
        <f t="shared" si="41"/>
        <v>#N/A</v>
      </c>
      <c r="P260" s="103"/>
    </row>
    <row r="261" spans="1:16" x14ac:dyDescent="0.25">
      <c r="A261" s="95"/>
      <c r="B261" s="72"/>
      <c r="C261" s="72"/>
      <c r="D261" s="72"/>
      <c r="E261" s="72"/>
      <c r="F261" s="72"/>
      <c r="G261" s="73" t="e">
        <f t="shared" si="40"/>
        <v>#N/A</v>
      </c>
      <c r="H261" s="73" t="e">
        <f t="shared" si="43"/>
        <v>#N/A</v>
      </c>
      <c r="I261" s="73" t="b">
        <f t="shared" si="44"/>
        <v>0</v>
      </c>
      <c r="J261" s="72"/>
      <c r="K261" s="74"/>
      <c r="M261" s="79"/>
      <c r="N261" s="80" t="e">
        <f t="shared" si="42"/>
        <v>#N/A</v>
      </c>
      <c r="O261" s="76" t="e">
        <f t="shared" si="41"/>
        <v>#N/A</v>
      </c>
      <c r="P261" s="103"/>
    </row>
    <row r="262" spans="1:16" x14ac:dyDescent="0.25">
      <c r="A262" s="95"/>
      <c r="B262" s="72"/>
      <c r="C262" s="72"/>
      <c r="D262" s="72"/>
      <c r="E262" s="72"/>
      <c r="F262" s="72"/>
      <c r="G262" s="73" t="e">
        <f t="shared" si="40"/>
        <v>#N/A</v>
      </c>
      <c r="H262" s="73" t="e">
        <f t="shared" si="43"/>
        <v>#N/A</v>
      </c>
      <c r="I262" s="73" t="b">
        <f t="shared" si="44"/>
        <v>0</v>
      </c>
      <c r="J262" s="72"/>
      <c r="K262" s="74"/>
      <c r="M262" s="79"/>
      <c r="N262" s="80" t="e">
        <f t="shared" si="42"/>
        <v>#N/A</v>
      </c>
      <c r="O262" s="76" t="e">
        <f t="shared" si="41"/>
        <v>#N/A</v>
      </c>
      <c r="P262" s="103"/>
    </row>
    <row r="263" spans="1:16" x14ac:dyDescent="0.25">
      <c r="A263" s="95"/>
      <c r="B263" s="72"/>
      <c r="C263" s="72"/>
      <c r="D263" s="72"/>
      <c r="E263" s="72"/>
      <c r="F263" s="72"/>
      <c r="G263" s="73" t="e">
        <f t="shared" si="40"/>
        <v>#N/A</v>
      </c>
      <c r="H263" s="73" t="e">
        <f t="shared" si="43"/>
        <v>#N/A</v>
      </c>
      <c r="I263" s="73" t="b">
        <f t="shared" si="44"/>
        <v>0</v>
      </c>
      <c r="J263" s="72"/>
      <c r="K263" s="74"/>
      <c r="M263" s="79"/>
      <c r="N263" s="80" t="e">
        <f t="shared" si="42"/>
        <v>#N/A</v>
      </c>
      <c r="O263" s="76" t="e">
        <f t="shared" si="41"/>
        <v>#N/A</v>
      </c>
      <c r="P263" s="103"/>
    </row>
    <row r="264" spans="1:16" x14ac:dyDescent="0.25">
      <c r="A264" s="95"/>
      <c r="B264" s="72"/>
      <c r="C264" s="72"/>
      <c r="D264" s="72"/>
      <c r="E264" s="72"/>
      <c r="F264" s="72"/>
      <c r="G264" s="73" t="e">
        <f t="shared" si="40"/>
        <v>#N/A</v>
      </c>
      <c r="H264" s="73" t="e">
        <f t="shared" si="43"/>
        <v>#N/A</v>
      </c>
      <c r="I264" s="73" t="b">
        <f t="shared" si="44"/>
        <v>0</v>
      </c>
      <c r="J264" s="72"/>
      <c r="K264" s="74"/>
      <c r="M264" s="79"/>
      <c r="N264" s="80" t="e">
        <f t="shared" si="42"/>
        <v>#N/A</v>
      </c>
      <c r="O264" s="76" t="e">
        <f t="shared" si="41"/>
        <v>#N/A</v>
      </c>
      <c r="P264" s="103"/>
    </row>
    <row r="265" spans="1:16" x14ac:dyDescent="0.25">
      <c r="A265" s="95"/>
      <c r="B265" s="72"/>
      <c r="C265" s="72"/>
      <c r="D265" s="72"/>
      <c r="E265" s="72"/>
      <c r="F265" s="72"/>
      <c r="G265" s="73" t="e">
        <f t="shared" si="40"/>
        <v>#N/A</v>
      </c>
      <c r="H265" s="73" t="e">
        <f t="shared" si="43"/>
        <v>#N/A</v>
      </c>
      <c r="I265" s="73" t="b">
        <f t="shared" si="44"/>
        <v>0</v>
      </c>
      <c r="J265" s="72"/>
      <c r="K265" s="74"/>
      <c r="M265" s="79"/>
      <c r="N265" s="80" t="e">
        <f t="shared" si="42"/>
        <v>#N/A</v>
      </c>
      <c r="O265" s="76" t="e">
        <f t="shared" si="41"/>
        <v>#N/A</v>
      </c>
      <c r="P265" s="103"/>
    </row>
    <row r="266" spans="1:16" x14ac:dyDescent="0.25">
      <c r="A266" s="95"/>
      <c r="B266" s="72"/>
      <c r="C266" s="72"/>
      <c r="D266" s="72"/>
      <c r="E266" s="72"/>
      <c r="F266" s="72"/>
      <c r="G266" s="73" t="e">
        <f t="shared" si="40"/>
        <v>#N/A</v>
      </c>
      <c r="H266" s="73" t="e">
        <f t="shared" si="43"/>
        <v>#N/A</v>
      </c>
      <c r="I266" s="73" t="b">
        <f t="shared" si="44"/>
        <v>0</v>
      </c>
      <c r="J266" s="72"/>
      <c r="K266" s="74"/>
      <c r="M266" s="79"/>
      <c r="N266" s="80" t="e">
        <f t="shared" si="42"/>
        <v>#N/A</v>
      </c>
      <c r="O266" s="76" t="e">
        <f t="shared" si="41"/>
        <v>#N/A</v>
      </c>
      <c r="P266" s="103"/>
    </row>
    <row r="267" spans="1:16" x14ac:dyDescent="0.25">
      <c r="A267" s="95"/>
      <c r="B267" s="72"/>
      <c r="C267" s="72"/>
      <c r="D267" s="72"/>
      <c r="E267" s="72"/>
      <c r="F267" s="72"/>
      <c r="G267" s="73" t="e">
        <f t="shared" si="40"/>
        <v>#N/A</v>
      </c>
      <c r="H267" s="73" t="e">
        <f t="shared" si="43"/>
        <v>#N/A</v>
      </c>
      <c r="I267" s="73" t="b">
        <f t="shared" si="44"/>
        <v>0</v>
      </c>
      <c r="J267" s="72"/>
      <c r="K267" s="74"/>
      <c r="M267" s="79"/>
      <c r="N267" s="80" t="e">
        <f t="shared" si="42"/>
        <v>#N/A</v>
      </c>
      <c r="O267" s="76" t="e">
        <f t="shared" si="41"/>
        <v>#N/A</v>
      </c>
      <c r="P267" s="103"/>
    </row>
    <row r="268" spans="1:16" x14ac:dyDescent="0.25">
      <c r="A268" s="95"/>
      <c r="B268" s="72"/>
      <c r="C268" s="72"/>
      <c r="D268" s="72"/>
      <c r="E268" s="72"/>
      <c r="F268" s="72"/>
      <c r="G268" s="73" t="e">
        <f t="shared" si="40"/>
        <v>#N/A</v>
      </c>
      <c r="H268" s="73" t="e">
        <f t="shared" si="43"/>
        <v>#N/A</v>
      </c>
      <c r="I268" s="73" t="b">
        <f t="shared" si="44"/>
        <v>0</v>
      </c>
      <c r="J268" s="72"/>
      <c r="K268" s="74"/>
      <c r="M268" s="79"/>
      <c r="N268" s="80" t="e">
        <f t="shared" si="42"/>
        <v>#N/A</v>
      </c>
      <c r="O268" s="76" t="e">
        <f t="shared" si="41"/>
        <v>#N/A</v>
      </c>
      <c r="P268" s="103"/>
    </row>
    <row r="269" spans="1:16" x14ac:dyDescent="0.25">
      <c r="A269" s="95"/>
      <c r="B269" s="72"/>
      <c r="C269" s="72"/>
      <c r="D269" s="72"/>
      <c r="E269" s="72"/>
      <c r="F269" s="72"/>
      <c r="G269" s="73" t="e">
        <f t="shared" si="40"/>
        <v>#N/A</v>
      </c>
      <c r="H269" s="73" t="e">
        <f t="shared" si="43"/>
        <v>#N/A</v>
      </c>
      <c r="I269" s="73" t="b">
        <f t="shared" si="44"/>
        <v>0</v>
      </c>
      <c r="J269" s="72"/>
      <c r="K269" s="74"/>
      <c r="M269" s="79"/>
      <c r="N269" s="80" t="e">
        <f t="shared" si="42"/>
        <v>#N/A</v>
      </c>
      <c r="O269" s="76" t="e">
        <f t="shared" si="41"/>
        <v>#N/A</v>
      </c>
      <c r="P269" s="103"/>
    </row>
    <row r="270" spans="1:16" x14ac:dyDescent="0.25">
      <c r="A270" s="95"/>
      <c r="B270" s="72"/>
      <c r="C270" s="72"/>
      <c r="D270" s="72"/>
      <c r="E270" s="72"/>
      <c r="F270" s="72"/>
      <c r="G270" s="73" t="e">
        <f t="shared" si="40"/>
        <v>#N/A</v>
      </c>
      <c r="H270" s="73" t="e">
        <f t="shared" si="43"/>
        <v>#N/A</v>
      </c>
      <c r="I270" s="73" t="b">
        <f t="shared" si="44"/>
        <v>0</v>
      </c>
      <c r="J270" s="72"/>
      <c r="K270" s="74"/>
      <c r="M270" s="79"/>
      <c r="N270" s="80" t="e">
        <f t="shared" si="42"/>
        <v>#N/A</v>
      </c>
      <c r="O270" s="76" t="e">
        <f t="shared" si="41"/>
        <v>#N/A</v>
      </c>
      <c r="P270" s="103"/>
    </row>
    <row r="271" spans="1:16" x14ac:dyDescent="0.25">
      <c r="A271" s="95"/>
      <c r="B271" s="72"/>
      <c r="C271" s="72"/>
      <c r="D271" s="72"/>
      <c r="E271" s="72"/>
      <c r="F271" s="72"/>
      <c r="G271" s="73" t="e">
        <f t="shared" si="40"/>
        <v>#N/A</v>
      </c>
      <c r="H271" s="73" t="e">
        <f t="shared" si="43"/>
        <v>#N/A</v>
      </c>
      <c r="I271" s="73" t="b">
        <f t="shared" si="44"/>
        <v>0</v>
      </c>
      <c r="J271" s="72"/>
      <c r="K271" s="74"/>
      <c r="M271" s="79"/>
      <c r="N271" s="80" t="e">
        <f t="shared" si="42"/>
        <v>#N/A</v>
      </c>
      <c r="O271" s="76" t="e">
        <f t="shared" si="41"/>
        <v>#N/A</v>
      </c>
      <c r="P271" s="103"/>
    </row>
    <row r="272" spans="1:16" x14ac:dyDescent="0.25">
      <c r="A272" s="95"/>
      <c r="B272" s="72"/>
      <c r="C272" s="72"/>
      <c r="D272" s="72"/>
      <c r="E272" s="72"/>
      <c r="F272" s="72"/>
      <c r="G272" s="73" t="e">
        <f t="shared" si="40"/>
        <v>#N/A</v>
      </c>
      <c r="H272" s="73" t="e">
        <f t="shared" si="43"/>
        <v>#N/A</v>
      </c>
      <c r="I272" s="73" t="b">
        <f t="shared" si="44"/>
        <v>0</v>
      </c>
      <c r="J272" s="72"/>
      <c r="K272" s="74"/>
      <c r="M272" s="79"/>
      <c r="N272" s="80" t="e">
        <f t="shared" si="42"/>
        <v>#N/A</v>
      </c>
      <c r="O272" s="76" t="e">
        <f t="shared" si="41"/>
        <v>#N/A</v>
      </c>
      <c r="P272" s="103"/>
    </row>
    <row r="273" spans="1:16" x14ac:dyDescent="0.25">
      <c r="A273" s="95"/>
      <c r="B273" s="72"/>
      <c r="C273" s="72"/>
      <c r="D273" s="72"/>
      <c r="E273" s="72"/>
      <c r="F273" s="72"/>
      <c r="G273" s="73" t="e">
        <f t="shared" si="40"/>
        <v>#N/A</v>
      </c>
      <c r="H273" s="73" t="e">
        <f t="shared" si="43"/>
        <v>#N/A</v>
      </c>
      <c r="I273" s="73" t="b">
        <f t="shared" si="44"/>
        <v>0</v>
      </c>
      <c r="J273" s="72"/>
      <c r="K273" s="74"/>
      <c r="M273" s="79"/>
      <c r="N273" s="80" t="e">
        <f t="shared" si="42"/>
        <v>#N/A</v>
      </c>
      <c r="O273" s="76" t="e">
        <f t="shared" si="41"/>
        <v>#N/A</v>
      </c>
      <c r="P273" s="103"/>
    </row>
    <row r="274" spans="1:16" x14ac:dyDescent="0.25">
      <c r="A274" s="95"/>
      <c r="B274" s="72"/>
      <c r="C274" s="72"/>
      <c r="D274" s="72"/>
      <c r="E274" s="72"/>
      <c r="F274" s="72"/>
      <c r="G274" s="73" t="e">
        <f t="shared" si="40"/>
        <v>#N/A</v>
      </c>
      <c r="H274" s="73" t="e">
        <f t="shared" si="43"/>
        <v>#N/A</v>
      </c>
      <c r="I274" s="73" t="b">
        <f t="shared" si="44"/>
        <v>0</v>
      </c>
      <c r="J274" s="72"/>
      <c r="K274" s="74"/>
      <c r="M274" s="79"/>
      <c r="N274" s="80" t="e">
        <f t="shared" si="42"/>
        <v>#N/A</v>
      </c>
      <c r="O274" s="76" t="e">
        <f t="shared" si="41"/>
        <v>#N/A</v>
      </c>
      <c r="P274" s="103"/>
    </row>
    <row r="275" spans="1:16" x14ac:dyDescent="0.25">
      <c r="A275" s="95"/>
      <c r="B275" s="72"/>
      <c r="C275" s="72"/>
      <c r="D275" s="72"/>
      <c r="E275" s="72"/>
      <c r="F275" s="72"/>
      <c r="G275" s="73" t="e">
        <f t="shared" si="40"/>
        <v>#N/A</v>
      </c>
      <c r="H275" s="73" t="e">
        <f t="shared" si="43"/>
        <v>#N/A</v>
      </c>
      <c r="I275" s="73" t="b">
        <f t="shared" si="44"/>
        <v>0</v>
      </c>
      <c r="J275" s="72"/>
      <c r="K275" s="74"/>
      <c r="M275" s="79"/>
      <c r="N275" s="80" t="e">
        <f t="shared" si="42"/>
        <v>#N/A</v>
      </c>
      <c r="O275" s="76" t="e">
        <f t="shared" si="41"/>
        <v>#N/A</v>
      </c>
      <c r="P275" s="103"/>
    </row>
    <row r="276" spans="1:16" x14ac:dyDescent="0.25">
      <c r="A276" s="95"/>
      <c r="B276" s="72"/>
      <c r="C276" s="72"/>
      <c r="D276" s="72"/>
      <c r="E276" s="72"/>
      <c r="F276" s="72"/>
      <c r="G276" s="73" t="e">
        <f t="shared" si="40"/>
        <v>#N/A</v>
      </c>
      <c r="H276" s="73" t="e">
        <f t="shared" si="43"/>
        <v>#N/A</v>
      </c>
      <c r="I276" s="73" t="b">
        <f t="shared" si="44"/>
        <v>0</v>
      </c>
      <c r="J276" s="72"/>
      <c r="K276" s="74"/>
      <c r="M276" s="79"/>
      <c r="N276" s="80" t="e">
        <f t="shared" si="42"/>
        <v>#N/A</v>
      </c>
      <c r="O276" s="76" t="e">
        <f t="shared" si="41"/>
        <v>#N/A</v>
      </c>
      <c r="P276" s="103"/>
    </row>
    <row r="277" spans="1:16" x14ac:dyDescent="0.25">
      <c r="A277" s="95"/>
      <c r="B277" s="72"/>
      <c r="C277" s="72"/>
      <c r="D277" s="72"/>
      <c r="E277" s="72"/>
      <c r="F277" s="72"/>
      <c r="G277" s="73" t="e">
        <f t="shared" ref="G277:G308" si="45">VLOOKUP(D277,$S$3:$T$64,2,0)</f>
        <v>#N/A</v>
      </c>
      <c r="H277" s="73" t="e">
        <f t="shared" si="43"/>
        <v>#N/A</v>
      </c>
      <c r="I277" s="73" t="b">
        <f t="shared" si="44"/>
        <v>0</v>
      </c>
      <c r="J277" s="72"/>
      <c r="K277" s="74"/>
      <c r="M277" s="79"/>
      <c r="N277" s="80" t="e">
        <f t="shared" si="42"/>
        <v>#N/A</v>
      </c>
      <c r="O277" s="76" t="e">
        <f t="shared" si="41"/>
        <v>#N/A</v>
      </c>
      <c r="P277" s="103"/>
    </row>
    <row r="278" spans="1:16" x14ac:dyDescent="0.25">
      <c r="A278" s="95"/>
      <c r="B278" s="72"/>
      <c r="C278" s="72"/>
      <c r="D278" s="72"/>
      <c r="E278" s="72"/>
      <c r="F278" s="72"/>
      <c r="G278" s="73" t="e">
        <f t="shared" si="45"/>
        <v>#N/A</v>
      </c>
      <c r="H278" s="73" t="e">
        <f t="shared" si="43"/>
        <v>#N/A</v>
      </c>
      <c r="I278" s="73" t="b">
        <f t="shared" si="44"/>
        <v>0</v>
      </c>
      <c r="J278" s="72"/>
      <c r="K278" s="74"/>
      <c r="M278" s="79"/>
      <c r="N278" s="80" t="e">
        <f t="shared" si="42"/>
        <v>#N/A</v>
      </c>
      <c r="O278" s="76" t="e">
        <f t="shared" ref="O278:O309" si="46">N278*F278</f>
        <v>#N/A</v>
      </c>
      <c r="P278" s="103"/>
    </row>
    <row r="279" spans="1:16" x14ac:dyDescent="0.25">
      <c r="A279" s="95"/>
      <c r="B279" s="72"/>
      <c r="C279" s="72"/>
      <c r="D279" s="72"/>
      <c r="E279" s="72"/>
      <c r="F279" s="72"/>
      <c r="G279" s="73" t="e">
        <f t="shared" si="45"/>
        <v>#N/A</v>
      </c>
      <c r="H279" s="73" t="e">
        <f t="shared" si="43"/>
        <v>#N/A</v>
      </c>
      <c r="I279" s="73" t="b">
        <f t="shared" si="44"/>
        <v>0</v>
      </c>
      <c r="J279" s="72"/>
      <c r="K279" s="74"/>
      <c r="M279" s="79"/>
      <c r="N279" s="80" t="e">
        <f t="shared" si="42"/>
        <v>#N/A</v>
      </c>
      <c r="O279" s="76" t="e">
        <f t="shared" si="46"/>
        <v>#N/A</v>
      </c>
      <c r="P279" s="103"/>
    </row>
    <row r="280" spans="1:16" x14ac:dyDescent="0.25">
      <c r="A280" s="95"/>
      <c r="B280" s="72"/>
      <c r="C280" s="72"/>
      <c r="D280" s="72"/>
      <c r="E280" s="72"/>
      <c r="F280" s="72"/>
      <c r="G280" s="73" t="e">
        <f t="shared" si="45"/>
        <v>#N/A</v>
      </c>
      <c r="H280" s="73" t="e">
        <f t="shared" si="43"/>
        <v>#N/A</v>
      </c>
      <c r="I280" s="73" t="b">
        <f t="shared" si="44"/>
        <v>0</v>
      </c>
      <c r="J280" s="72"/>
      <c r="K280" s="74"/>
      <c r="M280" s="79"/>
      <c r="N280" s="80" t="e">
        <f t="shared" si="42"/>
        <v>#N/A</v>
      </c>
      <c r="O280" s="76" t="e">
        <f t="shared" si="46"/>
        <v>#N/A</v>
      </c>
      <c r="P280" s="103"/>
    </row>
    <row r="281" spans="1:16" x14ac:dyDescent="0.25">
      <c r="A281" s="95"/>
      <c r="B281" s="72"/>
      <c r="C281" s="72"/>
      <c r="D281" s="72"/>
      <c r="E281" s="72"/>
      <c r="F281" s="72"/>
      <c r="G281" s="73" t="e">
        <f t="shared" si="45"/>
        <v>#N/A</v>
      </c>
      <c r="H281" s="73" t="e">
        <f t="shared" si="43"/>
        <v>#N/A</v>
      </c>
      <c r="I281" s="73" t="b">
        <f t="shared" si="44"/>
        <v>0</v>
      </c>
      <c r="J281" s="72"/>
      <c r="K281" s="74"/>
      <c r="M281" s="79"/>
      <c r="N281" s="80" t="e">
        <f t="shared" si="42"/>
        <v>#N/A</v>
      </c>
      <c r="O281" s="76" t="e">
        <f t="shared" si="46"/>
        <v>#N/A</v>
      </c>
      <c r="P281" s="103"/>
    </row>
    <row r="282" spans="1:16" x14ac:dyDescent="0.25">
      <c r="A282" s="95"/>
      <c r="B282" s="72"/>
      <c r="C282" s="72"/>
      <c r="D282" s="72"/>
      <c r="E282" s="72"/>
      <c r="F282" s="72"/>
      <c r="G282" s="73" t="e">
        <f t="shared" si="45"/>
        <v>#N/A</v>
      </c>
      <c r="H282" s="73" t="e">
        <f t="shared" si="43"/>
        <v>#N/A</v>
      </c>
      <c r="I282" s="73" t="b">
        <f t="shared" si="44"/>
        <v>0</v>
      </c>
      <c r="J282" s="72"/>
      <c r="K282" s="74"/>
      <c r="M282" s="79"/>
      <c r="N282" s="80" t="e">
        <f t="shared" si="42"/>
        <v>#N/A</v>
      </c>
      <c r="O282" s="76" t="e">
        <f t="shared" si="46"/>
        <v>#N/A</v>
      </c>
      <c r="P282" s="103"/>
    </row>
    <row r="283" spans="1:16" x14ac:dyDescent="0.25">
      <c r="A283" s="95"/>
      <c r="B283" s="72"/>
      <c r="C283" s="72"/>
      <c r="D283" s="72"/>
      <c r="E283" s="72"/>
      <c r="F283" s="72"/>
      <c r="G283" s="73" t="e">
        <f t="shared" si="45"/>
        <v>#N/A</v>
      </c>
      <c r="H283" s="73" t="e">
        <f t="shared" si="43"/>
        <v>#N/A</v>
      </c>
      <c r="I283" s="73" t="b">
        <f t="shared" si="44"/>
        <v>0</v>
      </c>
      <c r="J283" s="72"/>
      <c r="K283" s="74"/>
      <c r="M283" s="79"/>
      <c r="N283" s="80" t="e">
        <f t="shared" si="42"/>
        <v>#N/A</v>
      </c>
      <c r="O283" s="76" t="e">
        <f t="shared" si="46"/>
        <v>#N/A</v>
      </c>
      <c r="P283" s="103"/>
    </row>
    <row r="284" spans="1:16" x14ac:dyDescent="0.25">
      <c r="A284" s="95"/>
      <c r="B284" s="72"/>
      <c r="C284" s="72"/>
      <c r="D284" s="72"/>
      <c r="E284" s="72"/>
      <c r="F284" s="72"/>
      <c r="G284" s="73" t="e">
        <f t="shared" si="45"/>
        <v>#N/A</v>
      </c>
      <c r="H284" s="73" t="e">
        <f t="shared" si="43"/>
        <v>#N/A</v>
      </c>
      <c r="I284" s="73" t="b">
        <f t="shared" si="44"/>
        <v>0</v>
      </c>
      <c r="J284" s="72"/>
      <c r="K284" s="74"/>
      <c r="M284" s="79"/>
      <c r="N284" s="80" t="e">
        <f t="shared" ref="N284:N315" si="47">VLOOKUP(M284,$S$3:$U$64,3,0)</f>
        <v>#N/A</v>
      </c>
      <c r="O284" s="76" t="e">
        <f t="shared" si="46"/>
        <v>#N/A</v>
      </c>
      <c r="P284" s="103"/>
    </row>
    <row r="285" spans="1:16" x14ac:dyDescent="0.25">
      <c r="A285" s="95"/>
      <c r="B285" s="72"/>
      <c r="C285" s="72"/>
      <c r="D285" s="72"/>
      <c r="E285" s="72"/>
      <c r="F285" s="72"/>
      <c r="G285" s="73" t="e">
        <f t="shared" si="45"/>
        <v>#N/A</v>
      </c>
      <c r="H285" s="73" t="e">
        <f t="shared" si="43"/>
        <v>#N/A</v>
      </c>
      <c r="I285" s="73" t="b">
        <f t="shared" si="44"/>
        <v>0</v>
      </c>
      <c r="J285" s="72"/>
      <c r="K285" s="74"/>
      <c r="M285" s="79"/>
      <c r="N285" s="80" t="e">
        <f t="shared" si="47"/>
        <v>#N/A</v>
      </c>
      <c r="O285" s="76" t="e">
        <f t="shared" si="46"/>
        <v>#N/A</v>
      </c>
      <c r="P285" s="103"/>
    </row>
    <row r="286" spans="1:16" x14ac:dyDescent="0.25">
      <c r="A286" s="95"/>
      <c r="B286" s="72"/>
      <c r="C286" s="72"/>
      <c r="D286" s="72"/>
      <c r="E286" s="72"/>
      <c r="F286" s="72"/>
      <c r="G286" s="73" t="e">
        <f t="shared" si="45"/>
        <v>#N/A</v>
      </c>
      <c r="H286" s="73" t="e">
        <f t="shared" si="43"/>
        <v>#N/A</v>
      </c>
      <c r="I286" s="73" t="b">
        <f t="shared" si="44"/>
        <v>0</v>
      </c>
      <c r="J286" s="72"/>
      <c r="K286" s="74"/>
      <c r="M286" s="79"/>
      <c r="N286" s="80" t="e">
        <f t="shared" si="47"/>
        <v>#N/A</v>
      </c>
      <c r="O286" s="76" t="e">
        <f t="shared" si="46"/>
        <v>#N/A</v>
      </c>
      <c r="P286" s="103"/>
    </row>
    <row r="287" spans="1:16" x14ac:dyDescent="0.25">
      <c r="A287" s="95"/>
      <c r="B287" s="72"/>
      <c r="C287" s="72"/>
      <c r="D287" s="72"/>
      <c r="E287" s="72"/>
      <c r="F287" s="72"/>
      <c r="G287" s="73" t="e">
        <f t="shared" si="45"/>
        <v>#N/A</v>
      </c>
      <c r="H287" s="73" t="e">
        <f t="shared" si="43"/>
        <v>#N/A</v>
      </c>
      <c r="I287" s="73" t="b">
        <f t="shared" si="44"/>
        <v>0</v>
      </c>
      <c r="J287" s="72"/>
      <c r="K287" s="74"/>
      <c r="M287" s="79"/>
      <c r="N287" s="80" t="e">
        <f t="shared" si="47"/>
        <v>#N/A</v>
      </c>
      <c r="O287" s="76" t="e">
        <f t="shared" si="46"/>
        <v>#N/A</v>
      </c>
      <c r="P287" s="103"/>
    </row>
    <row r="288" spans="1:16" x14ac:dyDescent="0.25">
      <c r="A288" s="95"/>
      <c r="B288" s="72"/>
      <c r="C288" s="72"/>
      <c r="D288" s="72"/>
      <c r="E288" s="72"/>
      <c r="F288" s="72"/>
      <c r="G288" s="73" t="e">
        <f t="shared" si="45"/>
        <v>#N/A</v>
      </c>
      <c r="H288" s="73" t="e">
        <f t="shared" si="43"/>
        <v>#N/A</v>
      </c>
      <c r="I288" s="73" t="b">
        <f t="shared" si="44"/>
        <v>0</v>
      </c>
      <c r="J288" s="72"/>
      <c r="K288" s="74"/>
      <c r="M288" s="79"/>
      <c r="N288" s="80" t="e">
        <f t="shared" si="47"/>
        <v>#N/A</v>
      </c>
      <c r="O288" s="76" t="e">
        <f t="shared" si="46"/>
        <v>#N/A</v>
      </c>
      <c r="P288" s="103"/>
    </row>
    <row r="289" spans="1:16" x14ac:dyDescent="0.25">
      <c r="A289" s="95"/>
      <c r="B289" s="72"/>
      <c r="C289" s="72"/>
      <c r="D289" s="72"/>
      <c r="E289" s="72"/>
      <c r="F289" s="72"/>
      <c r="G289" s="73" t="e">
        <f t="shared" si="45"/>
        <v>#N/A</v>
      </c>
      <c r="H289" s="73" t="e">
        <f t="shared" si="43"/>
        <v>#N/A</v>
      </c>
      <c r="I289" s="73" t="b">
        <f t="shared" si="44"/>
        <v>0</v>
      </c>
      <c r="J289" s="72"/>
      <c r="K289" s="74"/>
      <c r="M289" s="79"/>
      <c r="N289" s="80" t="e">
        <f t="shared" si="47"/>
        <v>#N/A</v>
      </c>
      <c r="O289" s="76" t="e">
        <f t="shared" si="46"/>
        <v>#N/A</v>
      </c>
      <c r="P289" s="103"/>
    </row>
    <row r="290" spans="1:16" x14ac:dyDescent="0.25">
      <c r="A290" s="95"/>
      <c r="B290" s="72"/>
      <c r="C290" s="72"/>
      <c r="D290" s="72"/>
      <c r="E290" s="72"/>
      <c r="F290" s="72"/>
      <c r="G290" s="73" t="e">
        <f t="shared" si="45"/>
        <v>#N/A</v>
      </c>
      <c r="H290" s="73" t="e">
        <f t="shared" si="43"/>
        <v>#N/A</v>
      </c>
      <c r="I290" s="73" t="b">
        <f t="shared" si="44"/>
        <v>0</v>
      </c>
      <c r="J290" s="72"/>
      <c r="K290" s="74"/>
      <c r="M290" s="79"/>
      <c r="N290" s="80" t="e">
        <f t="shared" si="47"/>
        <v>#N/A</v>
      </c>
      <c r="O290" s="76" t="e">
        <f t="shared" si="46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45"/>
        <v>#N/A</v>
      </c>
      <c r="H291" s="73" t="e">
        <f t="shared" si="43"/>
        <v>#N/A</v>
      </c>
      <c r="I291" s="73" t="b">
        <f t="shared" si="44"/>
        <v>0</v>
      </c>
      <c r="J291" s="72"/>
      <c r="K291" s="74"/>
      <c r="M291" s="79"/>
      <c r="N291" s="80" t="e">
        <f t="shared" si="47"/>
        <v>#N/A</v>
      </c>
      <c r="O291" s="76" t="e">
        <f t="shared" si="46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si="45"/>
        <v>#N/A</v>
      </c>
      <c r="H292" s="73" t="e">
        <f t="shared" si="43"/>
        <v>#N/A</v>
      </c>
      <c r="I292" s="73" t="b">
        <f t="shared" si="44"/>
        <v>0</v>
      </c>
      <c r="J292" s="72"/>
      <c r="K292" s="74"/>
      <c r="M292" s="79"/>
      <c r="N292" s="80" t="e">
        <f t="shared" si="47"/>
        <v>#N/A</v>
      </c>
      <c r="O292" s="76" t="e">
        <f t="shared" si="46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si="45"/>
        <v>#N/A</v>
      </c>
      <c r="H293" s="73" t="e">
        <f t="shared" si="43"/>
        <v>#N/A</v>
      </c>
      <c r="I293" s="73" t="b">
        <f t="shared" si="44"/>
        <v>0</v>
      </c>
      <c r="J293" s="72"/>
      <c r="K293" s="74"/>
      <c r="M293" s="79"/>
      <c r="N293" s="80" t="e">
        <f t="shared" si="47"/>
        <v>#N/A</v>
      </c>
      <c r="O293" s="76" t="e">
        <f t="shared" si="46"/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45"/>
        <v>#N/A</v>
      </c>
      <c r="H294" s="73" t="e">
        <f t="shared" si="43"/>
        <v>#N/A</v>
      </c>
      <c r="I294" s="73" t="b">
        <f t="shared" si="44"/>
        <v>0</v>
      </c>
      <c r="J294" s="72"/>
      <c r="K294" s="74"/>
      <c r="M294" s="79"/>
      <c r="N294" s="80" t="e">
        <f t="shared" si="47"/>
        <v>#N/A</v>
      </c>
      <c r="O294" s="76" t="e">
        <f t="shared" si="46"/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si="45"/>
        <v>#N/A</v>
      </c>
      <c r="H295" s="73" t="e">
        <f t="shared" si="43"/>
        <v>#N/A</v>
      </c>
      <c r="I295" s="73" t="b">
        <f t="shared" si="44"/>
        <v>0</v>
      </c>
      <c r="J295" s="72"/>
      <c r="K295" s="74"/>
      <c r="M295" s="79"/>
      <c r="N295" s="80" t="e">
        <f t="shared" si="47"/>
        <v>#N/A</v>
      </c>
      <c r="O295" s="76" t="e">
        <f t="shared" si="46"/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45"/>
        <v>#N/A</v>
      </c>
      <c r="H296" s="73" t="e">
        <f t="shared" si="43"/>
        <v>#N/A</v>
      </c>
      <c r="I296" s="73" t="b">
        <f t="shared" si="44"/>
        <v>0</v>
      </c>
      <c r="J296" s="72"/>
      <c r="K296" s="74"/>
      <c r="M296" s="79"/>
      <c r="N296" s="80" t="e">
        <f t="shared" si="47"/>
        <v>#N/A</v>
      </c>
      <c r="O296" s="76" t="e">
        <f t="shared" si="46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45"/>
        <v>#N/A</v>
      </c>
      <c r="H297" s="73" t="e">
        <f t="shared" si="43"/>
        <v>#N/A</v>
      </c>
      <c r="I297" s="73" t="b">
        <f t="shared" si="44"/>
        <v>0</v>
      </c>
      <c r="J297" s="72"/>
      <c r="K297" s="74"/>
      <c r="M297" s="79"/>
      <c r="N297" s="80" t="e">
        <f t="shared" si="47"/>
        <v>#N/A</v>
      </c>
      <c r="O297" s="76" t="e">
        <f t="shared" si="46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45"/>
        <v>#N/A</v>
      </c>
      <c r="H298" s="73" t="e">
        <f t="shared" si="43"/>
        <v>#N/A</v>
      </c>
      <c r="I298" s="73" t="b">
        <f t="shared" si="44"/>
        <v>0</v>
      </c>
      <c r="J298" s="72"/>
      <c r="K298" s="74"/>
      <c r="M298" s="79"/>
      <c r="N298" s="80" t="e">
        <f t="shared" si="47"/>
        <v>#N/A</v>
      </c>
      <c r="O298" s="76" t="e">
        <f t="shared" si="46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si="45"/>
        <v>#N/A</v>
      </c>
      <c r="H299" s="73" t="e">
        <f t="shared" si="43"/>
        <v>#N/A</v>
      </c>
      <c r="I299" s="73" t="b">
        <f t="shared" si="44"/>
        <v>0</v>
      </c>
      <c r="J299" s="72"/>
      <c r="K299" s="74"/>
      <c r="M299" s="79"/>
      <c r="N299" s="80" t="e">
        <f t="shared" si="47"/>
        <v>#N/A</v>
      </c>
      <c r="O299" s="76" t="e">
        <f t="shared" si="46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45"/>
        <v>#N/A</v>
      </c>
      <c r="H300" s="73" t="e">
        <f t="shared" si="43"/>
        <v>#N/A</v>
      </c>
      <c r="I300" s="73" t="b">
        <f t="shared" si="44"/>
        <v>0</v>
      </c>
      <c r="J300" s="72"/>
      <c r="K300" s="74"/>
      <c r="M300" s="79"/>
      <c r="N300" s="80" t="e">
        <f t="shared" si="47"/>
        <v>#N/A</v>
      </c>
      <c r="O300" s="76" t="e">
        <f t="shared" si="46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45"/>
        <v>#N/A</v>
      </c>
      <c r="H301" s="73" t="e">
        <f t="shared" si="43"/>
        <v>#N/A</v>
      </c>
      <c r="I301" s="73" t="b">
        <f t="shared" si="44"/>
        <v>0</v>
      </c>
      <c r="J301" s="72"/>
      <c r="K301" s="74"/>
      <c r="M301" s="79"/>
      <c r="N301" s="80" t="e">
        <f t="shared" si="47"/>
        <v>#N/A</v>
      </c>
      <c r="O301" s="76" t="e">
        <f t="shared" si="46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si="45"/>
        <v>#N/A</v>
      </c>
      <c r="H302" s="73" t="e">
        <f t="shared" si="43"/>
        <v>#N/A</v>
      </c>
      <c r="I302" s="73" t="b">
        <f t="shared" si="44"/>
        <v>0</v>
      </c>
      <c r="J302" s="72"/>
      <c r="K302" s="74"/>
      <c r="M302" s="79"/>
      <c r="N302" s="80" t="e">
        <f t="shared" si="47"/>
        <v>#N/A</v>
      </c>
      <c r="O302" s="76" t="e">
        <f t="shared" si="46"/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45"/>
        <v>#N/A</v>
      </c>
      <c r="H303" s="73" t="e">
        <f t="shared" si="43"/>
        <v>#N/A</v>
      </c>
      <c r="I303" s="73" t="b">
        <f t="shared" si="44"/>
        <v>0</v>
      </c>
      <c r="J303" s="72"/>
      <c r="K303" s="74"/>
      <c r="M303" s="79"/>
      <c r="N303" s="80" t="e">
        <f t="shared" si="47"/>
        <v>#N/A</v>
      </c>
      <c r="O303" s="76" t="e">
        <f t="shared" si="46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45"/>
        <v>#N/A</v>
      </c>
      <c r="H304" s="73" t="e">
        <f t="shared" si="43"/>
        <v>#N/A</v>
      </c>
      <c r="I304" s="73" t="b">
        <f t="shared" si="44"/>
        <v>0</v>
      </c>
      <c r="J304" s="72"/>
      <c r="K304" s="74"/>
      <c r="M304" s="79"/>
      <c r="N304" s="80" t="e">
        <f t="shared" si="47"/>
        <v>#N/A</v>
      </c>
      <c r="O304" s="76" t="e">
        <f t="shared" si="46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45"/>
        <v>#N/A</v>
      </c>
      <c r="H305" s="73" t="e">
        <f t="shared" si="43"/>
        <v>#N/A</v>
      </c>
      <c r="I305" s="73" t="b">
        <f t="shared" si="44"/>
        <v>0</v>
      </c>
      <c r="J305" s="72"/>
      <c r="K305" s="74"/>
      <c r="M305" s="79"/>
      <c r="N305" s="80" t="e">
        <f t="shared" si="47"/>
        <v>#N/A</v>
      </c>
      <c r="O305" s="80" t="e">
        <f t="shared" si="46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45"/>
        <v>#N/A</v>
      </c>
      <c r="H306" s="73" t="e">
        <f t="shared" si="43"/>
        <v>#N/A</v>
      </c>
      <c r="I306" s="73" t="b">
        <f t="shared" si="44"/>
        <v>0</v>
      </c>
      <c r="J306" s="72"/>
      <c r="K306" s="74"/>
      <c r="M306" s="79"/>
      <c r="N306" s="80" t="e">
        <f t="shared" si="47"/>
        <v>#N/A</v>
      </c>
      <c r="O306" s="80" t="e">
        <f t="shared" si="46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45"/>
        <v>#N/A</v>
      </c>
      <c r="H307" s="73" t="e">
        <f t="shared" si="43"/>
        <v>#N/A</v>
      </c>
      <c r="I307" s="73" t="b">
        <f t="shared" si="44"/>
        <v>0</v>
      </c>
      <c r="J307" s="72"/>
      <c r="K307" s="74"/>
      <c r="M307" s="79"/>
      <c r="N307" s="80" t="e">
        <f t="shared" si="47"/>
        <v>#N/A</v>
      </c>
      <c r="O307" s="80" t="e">
        <f t="shared" si="46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45"/>
        <v>#N/A</v>
      </c>
      <c r="H308" s="73" t="e">
        <f t="shared" si="43"/>
        <v>#N/A</v>
      </c>
      <c r="I308" s="73" t="b">
        <f t="shared" si="44"/>
        <v>0</v>
      </c>
      <c r="J308" s="72"/>
      <c r="K308" s="74"/>
      <c r="M308" s="79"/>
      <c r="N308" s="80" t="e">
        <f t="shared" si="47"/>
        <v>#N/A</v>
      </c>
      <c r="O308" s="80" t="e">
        <f t="shared" si="46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ref="G309:G340" si="48">VLOOKUP(D309,$S$3:$T$64,2,0)</f>
        <v>#N/A</v>
      </c>
      <c r="H309" s="73" t="e">
        <f t="shared" si="43"/>
        <v>#N/A</v>
      </c>
      <c r="I309" s="73" t="b">
        <f t="shared" si="44"/>
        <v>0</v>
      </c>
      <c r="J309" s="72"/>
      <c r="K309" s="74"/>
      <c r="M309" s="79"/>
      <c r="N309" s="80" t="e">
        <f t="shared" si="47"/>
        <v>#N/A</v>
      </c>
      <c r="O309" s="80" t="e">
        <f t="shared" si="46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48"/>
        <v>#N/A</v>
      </c>
      <c r="H310" s="73" t="e">
        <f t="shared" si="43"/>
        <v>#N/A</v>
      </c>
      <c r="I310" s="73" t="b">
        <f t="shared" si="44"/>
        <v>0</v>
      </c>
      <c r="J310" s="72"/>
      <c r="K310" s="74"/>
      <c r="M310" s="79"/>
      <c r="N310" s="80" t="e">
        <f t="shared" si="47"/>
        <v>#N/A</v>
      </c>
      <c r="O310" s="80" t="e">
        <f t="shared" ref="O310:O341" si="49">N310*F310</f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48"/>
        <v>#N/A</v>
      </c>
      <c r="H311" s="73" t="e">
        <f t="shared" si="43"/>
        <v>#N/A</v>
      </c>
      <c r="I311" s="73" t="b">
        <f t="shared" si="44"/>
        <v>0</v>
      </c>
      <c r="J311" s="72"/>
      <c r="K311" s="74"/>
      <c r="M311" s="79"/>
      <c r="N311" s="80" t="e">
        <f t="shared" si="47"/>
        <v>#N/A</v>
      </c>
      <c r="O311" s="80" t="e">
        <f t="shared" si="49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48"/>
        <v>#N/A</v>
      </c>
      <c r="H312" s="73" t="e">
        <f t="shared" si="43"/>
        <v>#N/A</v>
      </c>
      <c r="I312" s="73" t="b">
        <f t="shared" si="44"/>
        <v>0</v>
      </c>
      <c r="J312" s="72"/>
      <c r="K312" s="74"/>
      <c r="M312" s="79"/>
      <c r="N312" s="80" t="e">
        <f t="shared" si="47"/>
        <v>#N/A</v>
      </c>
      <c r="O312" s="80" t="e">
        <f t="shared" si="49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48"/>
        <v>#N/A</v>
      </c>
      <c r="H313" s="73" t="e">
        <f t="shared" si="43"/>
        <v>#N/A</v>
      </c>
      <c r="I313" s="73" t="b">
        <f t="shared" si="44"/>
        <v>0</v>
      </c>
      <c r="J313" s="72"/>
      <c r="K313" s="74"/>
      <c r="M313" s="79"/>
      <c r="N313" s="80" t="e">
        <f t="shared" si="47"/>
        <v>#N/A</v>
      </c>
      <c r="O313" s="80" t="e">
        <f t="shared" si="49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48"/>
        <v>#N/A</v>
      </c>
      <c r="H314" s="73" t="e">
        <f t="shared" si="43"/>
        <v>#N/A</v>
      </c>
      <c r="I314" s="73" t="b">
        <f t="shared" si="44"/>
        <v>0</v>
      </c>
      <c r="J314" s="72"/>
      <c r="K314" s="74"/>
      <c r="M314" s="79"/>
      <c r="N314" s="80" t="e">
        <f t="shared" si="47"/>
        <v>#N/A</v>
      </c>
      <c r="O314" s="80" t="e">
        <f t="shared" si="49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48"/>
        <v>#N/A</v>
      </c>
      <c r="H315" s="73" t="e">
        <f t="shared" si="43"/>
        <v>#N/A</v>
      </c>
      <c r="I315" s="73" t="b">
        <f t="shared" si="44"/>
        <v>0</v>
      </c>
      <c r="J315" s="72"/>
      <c r="K315" s="74"/>
      <c r="M315" s="79"/>
      <c r="N315" s="80" t="e">
        <f t="shared" si="47"/>
        <v>#N/A</v>
      </c>
      <c r="O315" s="80" t="e">
        <f t="shared" si="49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48"/>
        <v>#N/A</v>
      </c>
      <c r="H316" s="73" t="e">
        <f t="shared" si="43"/>
        <v>#N/A</v>
      </c>
      <c r="I316" s="73" t="b">
        <f t="shared" si="44"/>
        <v>0</v>
      </c>
      <c r="J316" s="72"/>
      <c r="K316" s="74"/>
      <c r="M316" s="79"/>
      <c r="N316" s="80" t="e">
        <f t="shared" ref="N316:N347" si="50">VLOOKUP(M316,$S$3:$U$64,3,0)</f>
        <v>#N/A</v>
      </c>
      <c r="O316" s="80" t="e">
        <f t="shared" si="49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48"/>
        <v>#N/A</v>
      </c>
      <c r="H317" s="73" t="e">
        <f t="shared" si="43"/>
        <v>#N/A</v>
      </c>
      <c r="I317" s="73" t="b">
        <f t="shared" si="44"/>
        <v>0</v>
      </c>
      <c r="J317" s="72"/>
      <c r="K317" s="74"/>
      <c r="M317" s="79"/>
      <c r="N317" s="80" t="e">
        <f t="shared" si="50"/>
        <v>#N/A</v>
      </c>
      <c r="O317" s="80" t="e">
        <f t="shared" si="49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48"/>
        <v>#N/A</v>
      </c>
      <c r="H318" s="73" t="e">
        <f t="shared" si="43"/>
        <v>#N/A</v>
      </c>
      <c r="I318" s="73" t="b">
        <f t="shared" si="44"/>
        <v>0</v>
      </c>
      <c r="J318" s="72"/>
      <c r="K318" s="74"/>
      <c r="M318" s="79"/>
      <c r="N318" s="80" t="e">
        <f t="shared" si="50"/>
        <v>#N/A</v>
      </c>
      <c r="O318" s="80" t="e">
        <f t="shared" si="49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48"/>
        <v>#N/A</v>
      </c>
      <c r="H319" s="73" t="e">
        <f t="shared" si="43"/>
        <v>#N/A</v>
      </c>
      <c r="I319" s="73" t="b">
        <f t="shared" si="44"/>
        <v>0</v>
      </c>
      <c r="J319" s="72"/>
      <c r="K319" s="74"/>
      <c r="M319" s="79"/>
      <c r="N319" s="80" t="e">
        <f t="shared" si="50"/>
        <v>#N/A</v>
      </c>
      <c r="O319" s="80" t="e">
        <f t="shared" si="49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48"/>
        <v>#N/A</v>
      </c>
      <c r="H320" s="73" t="e">
        <f t="shared" si="43"/>
        <v>#N/A</v>
      </c>
      <c r="I320" s="73" t="b">
        <f t="shared" si="44"/>
        <v>0</v>
      </c>
      <c r="J320" s="72"/>
      <c r="K320" s="74"/>
      <c r="M320" s="79"/>
      <c r="N320" s="80" t="e">
        <f t="shared" si="50"/>
        <v>#N/A</v>
      </c>
      <c r="O320" s="80" t="e">
        <f t="shared" si="49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48"/>
        <v>#N/A</v>
      </c>
      <c r="H321" s="73" t="e">
        <f t="shared" si="43"/>
        <v>#N/A</v>
      </c>
      <c r="I321" s="73" t="b">
        <f t="shared" si="44"/>
        <v>0</v>
      </c>
      <c r="J321" s="72"/>
      <c r="K321" s="74"/>
      <c r="M321" s="79"/>
      <c r="N321" s="80" t="e">
        <f t="shared" si="50"/>
        <v>#N/A</v>
      </c>
      <c r="O321" s="80" t="e">
        <f t="shared" si="49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48"/>
        <v>#N/A</v>
      </c>
      <c r="H322" s="73" t="e">
        <f t="shared" si="43"/>
        <v>#N/A</v>
      </c>
      <c r="I322" s="73" t="b">
        <f t="shared" si="44"/>
        <v>0</v>
      </c>
      <c r="J322" s="72"/>
      <c r="K322" s="74"/>
      <c r="M322" s="79"/>
      <c r="N322" s="80" t="e">
        <f t="shared" si="50"/>
        <v>#N/A</v>
      </c>
      <c r="O322" s="80" t="e">
        <f t="shared" si="49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48"/>
        <v>#N/A</v>
      </c>
      <c r="H323" s="73" t="e">
        <f t="shared" ref="H323:H373" si="51">F323*G323</f>
        <v>#N/A</v>
      </c>
      <c r="I323" s="73" t="b">
        <f t="shared" ref="I323:I373" si="52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79"/>
      <c r="N323" s="80" t="e">
        <f t="shared" si="50"/>
        <v>#N/A</v>
      </c>
      <c r="O323" s="80" t="e">
        <f t="shared" si="49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48"/>
        <v>#N/A</v>
      </c>
      <c r="H324" s="73" t="e">
        <f t="shared" si="51"/>
        <v>#N/A</v>
      </c>
      <c r="I324" s="73" t="b">
        <f t="shared" si="52"/>
        <v>0</v>
      </c>
      <c r="J324" s="72"/>
      <c r="K324" s="74"/>
      <c r="M324" s="79"/>
      <c r="N324" s="80" t="e">
        <f t="shared" si="50"/>
        <v>#N/A</v>
      </c>
      <c r="O324" s="80" t="e">
        <f t="shared" si="49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48"/>
        <v>#N/A</v>
      </c>
      <c r="H325" s="73" t="e">
        <f t="shared" si="51"/>
        <v>#N/A</v>
      </c>
      <c r="I325" s="73" t="b">
        <f t="shared" si="52"/>
        <v>0</v>
      </c>
      <c r="J325" s="72"/>
      <c r="K325" s="74"/>
      <c r="M325" s="79"/>
      <c r="N325" s="80" t="e">
        <f t="shared" si="50"/>
        <v>#N/A</v>
      </c>
      <c r="O325" s="80" t="e">
        <f t="shared" si="49"/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48"/>
        <v>#N/A</v>
      </c>
      <c r="H326" s="73" t="e">
        <f t="shared" si="51"/>
        <v>#N/A</v>
      </c>
      <c r="I326" s="73" t="b">
        <f t="shared" si="52"/>
        <v>0</v>
      </c>
      <c r="J326" s="72"/>
      <c r="K326" s="74"/>
      <c r="M326" s="79"/>
      <c r="N326" s="80" t="e">
        <f t="shared" si="50"/>
        <v>#N/A</v>
      </c>
      <c r="O326" s="80" t="e">
        <f t="shared" si="49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48"/>
        <v>#N/A</v>
      </c>
      <c r="H327" s="73" t="e">
        <f t="shared" si="51"/>
        <v>#N/A</v>
      </c>
      <c r="I327" s="73" t="b">
        <f t="shared" si="52"/>
        <v>0</v>
      </c>
      <c r="J327" s="72"/>
      <c r="K327" s="74"/>
      <c r="M327" s="79"/>
      <c r="N327" s="80" t="e">
        <f t="shared" si="50"/>
        <v>#N/A</v>
      </c>
      <c r="O327" s="80" t="e">
        <f t="shared" si="49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48"/>
        <v>#N/A</v>
      </c>
      <c r="H328" s="73" t="e">
        <f t="shared" si="51"/>
        <v>#N/A</v>
      </c>
      <c r="I328" s="73" t="b">
        <f t="shared" si="52"/>
        <v>0</v>
      </c>
      <c r="J328" s="72"/>
      <c r="K328" s="74"/>
      <c r="M328" s="79"/>
      <c r="N328" s="80" t="e">
        <f t="shared" si="50"/>
        <v>#N/A</v>
      </c>
      <c r="O328" s="80" t="e">
        <f t="shared" si="49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48"/>
        <v>#N/A</v>
      </c>
      <c r="H329" s="73" t="e">
        <f t="shared" si="51"/>
        <v>#N/A</v>
      </c>
      <c r="I329" s="73" t="b">
        <f t="shared" si="52"/>
        <v>0</v>
      </c>
      <c r="J329" s="72"/>
      <c r="K329" s="74"/>
      <c r="M329" s="79"/>
      <c r="N329" s="80" t="e">
        <f t="shared" si="50"/>
        <v>#N/A</v>
      </c>
      <c r="O329" s="80" t="e">
        <f t="shared" si="49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48"/>
        <v>#N/A</v>
      </c>
      <c r="H330" s="73" t="e">
        <f t="shared" si="51"/>
        <v>#N/A</v>
      </c>
      <c r="I330" s="73" t="b">
        <f t="shared" si="52"/>
        <v>0</v>
      </c>
      <c r="J330" s="72"/>
      <c r="K330" s="74"/>
      <c r="M330" s="79"/>
      <c r="N330" s="80" t="e">
        <f t="shared" si="50"/>
        <v>#N/A</v>
      </c>
      <c r="O330" s="80" t="e">
        <f t="shared" si="49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48"/>
        <v>#N/A</v>
      </c>
      <c r="H331" s="73" t="e">
        <f t="shared" si="51"/>
        <v>#N/A</v>
      </c>
      <c r="I331" s="73" t="b">
        <f t="shared" si="52"/>
        <v>0</v>
      </c>
      <c r="J331" s="72"/>
      <c r="K331" s="74"/>
      <c r="M331" s="79"/>
      <c r="N331" s="80" t="e">
        <f t="shared" si="50"/>
        <v>#N/A</v>
      </c>
      <c r="O331" s="80" t="e">
        <f t="shared" si="49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48"/>
        <v>#N/A</v>
      </c>
      <c r="H332" s="73" t="e">
        <f t="shared" si="51"/>
        <v>#N/A</v>
      </c>
      <c r="I332" s="73" t="b">
        <f t="shared" si="52"/>
        <v>0</v>
      </c>
      <c r="J332" s="72"/>
      <c r="K332" s="74"/>
      <c r="M332" s="79"/>
      <c r="N332" s="80" t="e">
        <f t="shared" si="50"/>
        <v>#N/A</v>
      </c>
      <c r="O332" s="80" t="e">
        <f t="shared" si="49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48"/>
        <v>#N/A</v>
      </c>
      <c r="H333" s="73" t="e">
        <f t="shared" si="51"/>
        <v>#N/A</v>
      </c>
      <c r="I333" s="73" t="b">
        <f t="shared" si="52"/>
        <v>0</v>
      </c>
      <c r="J333" s="72"/>
      <c r="K333" s="74"/>
      <c r="M333" s="79"/>
      <c r="N333" s="80" t="e">
        <f t="shared" si="50"/>
        <v>#N/A</v>
      </c>
      <c r="O333" s="80" t="e">
        <f t="shared" si="49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48"/>
        <v>#N/A</v>
      </c>
      <c r="H334" s="73" t="e">
        <f t="shared" si="51"/>
        <v>#N/A</v>
      </c>
      <c r="I334" s="73" t="b">
        <f t="shared" si="52"/>
        <v>0</v>
      </c>
      <c r="J334" s="72"/>
      <c r="K334" s="74"/>
      <c r="M334" s="79"/>
      <c r="N334" s="80" t="e">
        <f t="shared" si="50"/>
        <v>#N/A</v>
      </c>
      <c r="O334" s="80" t="e">
        <f t="shared" si="49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48"/>
        <v>#N/A</v>
      </c>
      <c r="H335" s="73" t="e">
        <f t="shared" si="51"/>
        <v>#N/A</v>
      </c>
      <c r="I335" s="73" t="b">
        <f t="shared" si="52"/>
        <v>0</v>
      </c>
      <c r="J335" s="72"/>
      <c r="K335" s="74"/>
      <c r="M335" s="79"/>
      <c r="N335" s="80" t="e">
        <f t="shared" si="50"/>
        <v>#N/A</v>
      </c>
      <c r="O335" s="80" t="e">
        <f t="shared" si="49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48"/>
        <v>#N/A</v>
      </c>
      <c r="H336" s="73" t="e">
        <f t="shared" si="51"/>
        <v>#N/A</v>
      </c>
      <c r="I336" s="73" t="b">
        <f t="shared" si="52"/>
        <v>0</v>
      </c>
      <c r="J336" s="72"/>
      <c r="K336" s="74"/>
      <c r="M336" s="79"/>
      <c r="N336" s="80" t="e">
        <f t="shared" si="50"/>
        <v>#N/A</v>
      </c>
      <c r="O336" s="80" t="e">
        <f t="shared" si="49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48"/>
        <v>#N/A</v>
      </c>
      <c r="H337" s="73" t="e">
        <f t="shared" si="51"/>
        <v>#N/A</v>
      </c>
      <c r="I337" s="73" t="b">
        <f t="shared" si="52"/>
        <v>0</v>
      </c>
      <c r="J337" s="72"/>
      <c r="K337" s="74"/>
      <c r="M337" s="79"/>
      <c r="N337" s="80" t="e">
        <f t="shared" si="50"/>
        <v>#N/A</v>
      </c>
      <c r="O337" s="80" t="e">
        <f t="shared" si="49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48"/>
        <v>#N/A</v>
      </c>
      <c r="H338" s="73" t="e">
        <f t="shared" si="51"/>
        <v>#N/A</v>
      </c>
      <c r="I338" s="73" t="b">
        <f t="shared" si="52"/>
        <v>0</v>
      </c>
      <c r="J338" s="72"/>
      <c r="K338" s="74"/>
      <c r="M338" s="79"/>
      <c r="N338" s="80" t="e">
        <f t="shared" si="50"/>
        <v>#N/A</v>
      </c>
      <c r="O338" s="80" t="e">
        <f t="shared" si="49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48"/>
        <v>#N/A</v>
      </c>
      <c r="H339" s="73" t="e">
        <f t="shared" si="51"/>
        <v>#N/A</v>
      </c>
      <c r="I339" s="73" t="b">
        <f t="shared" si="52"/>
        <v>0</v>
      </c>
      <c r="J339" s="72"/>
      <c r="K339" s="74"/>
      <c r="M339" s="79"/>
      <c r="N339" s="80" t="e">
        <f t="shared" si="50"/>
        <v>#N/A</v>
      </c>
      <c r="O339" s="80" t="e">
        <f t="shared" si="49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48"/>
        <v>#N/A</v>
      </c>
      <c r="H340" s="73" t="e">
        <f t="shared" si="51"/>
        <v>#N/A</v>
      </c>
      <c r="I340" s="73" t="b">
        <f t="shared" si="52"/>
        <v>0</v>
      </c>
      <c r="J340" s="72"/>
      <c r="K340" s="74"/>
      <c r="M340" s="79"/>
      <c r="N340" s="80" t="e">
        <f t="shared" si="50"/>
        <v>#N/A</v>
      </c>
      <c r="O340" s="80" t="e">
        <f t="shared" si="49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ref="G341:G373" si="53">VLOOKUP(D341,$S$3:$T$64,2,0)</f>
        <v>#N/A</v>
      </c>
      <c r="H341" s="73" t="e">
        <f t="shared" si="51"/>
        <v>#N/A</v>
      </c>
      <c r="I341" s="73" t="b">
        <f t="shared" si="52"/>
        <v>0</v>
      </c>
      <c r="J341" s="72"/>
      <c r="K341" s="74"/>
      <c r="M341" s="79"/>
      <c r="N341" s="80" t="e">
        <f t="shared" si="50"/>
        <v>#N/A</v>
      </c>
      <c r="O341" s="80" t="e">
        <f t="shared" si="49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53"/>
        <v>#N/A</v>
      </c>
      <c r="H342" s="73" t="e">
        <f t="shared" si="51"/>
        <v>#N/A</v>
      </c>
      <c r="I342" s="73" t="b">
        <f t="shared" si="52"/>
        <v>0</v>
      </c>
      <c r="J342" s="72"/>
      <c r="K342" s="74"/>
      <c r="M342" s="79"/>
      <c r="N342" s="80" t="e">
        <f t="shared" si="50"/>
        <v>#N/A</v>
      </c>
      <c r="O342" s="80" t="e">
        <f t="shared" ref="O342:O373" si="54">N342*F342</f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53"/>
        <v>#N/A</v>
      </c>
      <c r="H343" s="73" t="e">
        <f t="shared" si="51"/>
        <v>#N/A</v>
      </c>
      <c r="I343" s="73" t="b">
        <f t="shared" si="52"/>
        <v>0</v>
      </c>
      <c r="J343" s="72"/>
      <c r="K343" s="74"/>
      <c r="M343" s="79"/>
      <c r="N343" s="80" t="e">
        <f t="shared" si="50"/>
        <v>#N/A</v>
      </c>
      <c r="O343" s="80" t="e">
        <f t="shared" si="54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53"/>
        <v>#N/A</v>
      </c>
      <c r="H344" s="73" t="e">
        <f t="shared" si="51"/>
        <v>#N/A</v>
      </c>
      <c r="I344" s="73" t="b">
        <f t="shared" si="52"/>
        <v>0</v>
      </c>
      <c r="J344" s="72"/>
      <c r="K344" s="74"/>
      <c r="M344" s="79"/>
      <c r="N344" s="80" t="e">
        <f t="shared" si="50"/>
        <v>#N/A</v>
      </c>
      <c r="O344" s="80" t="e">
        <f t="shared" si="54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53"/>
        <v>#N/A</v>
      </c>
      <c r="H345" s="73" t="e">
        <f t="shared" si="51"/>
        <v>#N/A</v>
      </c>
      <c r="I345" s="73" t="b">
        <f t="shared" si="52"/>
        <v>0</v>
      </c>
      <c r="J345" s="72"/>
      <c r="K345" s="74"/>
      <c r="M345" s="79"/>
      <c r="N345" s="80" t="e">
        <f t="shared" si="50"/>
        <v>#N/A</v>
      </c>
      <c r="O345" s="80" t="e">
        <f t="shared" si="54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53"/>
        <v>#N/A</v>
      </c>
      <c r="H346" s="73" t="e">
        <f t="shared" si="51"/>
        <v>#N/A</v>
      </c>
      <c r="I346" s="73" t="b">
        <f t="shared" si="52"/>
        <v>0</v>
      </c>
      <c r="J346" s="72"/>
      <c r="K346" s="74"/>
      <c r="M346" s="79"/>
      <c r="N346" s="80" t="e">
        <f t="shared" si="50"/>
        <v>#N/A</v>
      </c>
      <c r="O346" s="80" t="e">
        <f t="shared" si="54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53"/>
        <v>#N/A</v>
      </c>
      <c r="H347" s="73" t="e">
        <f t="shared" si="51"/>
        <v>#N/A</v>
      </c>
      <c r="I347" s="73" t="b">
        <f t="shared" si="52"/>
        <v>0</v>
      </c>
      <c r="J347" s="72"/>
      <c r="K347" s="74"/>
      <c r="M347" s="79"/>
      <c r="N347" s="80" t="e">
        <f t="shared" si="50"/>
        <v>#N/A</v>
      </c>
      <c r="O347" s="80" t="e">
        <f t="shared" si="54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53"/>
        <v>#N/A</v>
      </c>
      <c r="H348" s="73" t="e">
        <f t="shared" si="51"/>
        <v>#N/A</v>
      </c>
      <c r="I348" s="73" t="b">
        <f t="shared" si="52"/>
        <v>0</v>
      </c>
      <c r="J348" s="72"/>
      <c r="K348" s="74"/>
      <c r="M348" s="79"/>
      <c r="N348" s="80" t="e">
        <f t="shared" ref="N348:N373" si="55">VLOOKUP(M348,$S$3:$U$64,3,0)</f>
        <v>#N/A</v>
      </c>
      <c r="O348" s="80" t="e">
        <f t="shared" si="54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53"/>
        <v>#N/A</v>
      </c>
      <c r="H349" s="73" t="e">
        <f t="shared" si="51"/>
        <v>#N/A</v>
      </c>
      <c r="I349" s="73" t="b">
        <f t="shared" si="52"/>
        <v>0</v>
      </c>
      <c r="J349" s="72"/>
      <c r="K349" s="74"/>
      <c r="M349" s="79"/>
      <c r="N349" s="80" t="e">
        <f t="shared" si="55"/>
        <v>#N/A</v>
      </c>
      <c r="O349" s="80" t="e">
        <f t="shared" si="54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53"/>
        <v>#N/A</v>
      </c>
      <c r="H350" s="73" t="e">
        <f t="shared" si="51"/>
        <v>#N/A</v>
      </c>
      <c r="I350" s="73" t="b">
        <f t="shared" si="52"/>
        <v>0</v>
      </c>
      <c r="J350" s="72"/>
      <c r="K350" s="74"/>
      <c r="M350" s="79"/>
      <c r="N350" s="80" t="e">
        <f t="shared" si="55"/>
        <v>#N/A</v>
      </c>
      <c r="O350" s="80" t="e">
        <f t="shared" si="54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53"/>
        <v>#N/A</v>
      </c>
      <c r="H351" s="73" t="e">
        <f t="shared" si="51"/>
        <v>#N/A</v>
      </c>
      <c r="I351" s="73" t="b">
        <f t="shared" si="52"/>
        <v>0</v>
      </c>
      <c r="J351" s="72"/>
      <c r="K351" s="74"/>
      <c r="M351" s="79"/>
      <c r="N351" s="80" t="e">
        <f t="shared" si="55"/>
        <v>#N/A</v>
      </c>
      <c r="O351" s="80" t="e">
        <f t="shared" si="54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53"/>
        <v>#N/A</v>
      </c>
      <c r="H352" s="73" t="e">
        <f t="shared" si="51"/>
        <v>#N/A</v>
      </c>
      <c r="I352" s="73" t="b">
        <f t="shared" si="52"/>
        <v>0</v>
      </c>
      <c r="J352" s="72"/>
      <c r="K352" s="74"/>
      <c r="M352" s="79"/>
      <c r="N352" s="80" t="e">
        <f t="shared" si="55"/>
        <v>#N/A</v>
      </c>
      <c r="O352" s="80" t="e">
        <f t="shared" si="54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53"/>
        <v>#N/A</v>
      </c>
      <c r="H353" s="73" t="e">
        <f t="shared" si="51"/>
        <v>#N/A</v>
      </c>
      <c r="I353" s="73" t="b">
        <f t="shared" si="52"/>
        <v>0</v>
      </c>
      <c r="J353" s="72"/>
      <c r="K353" s="74"/>
      <c r="M353" s="79"/>
      <c r="N353" s="80" t="e">
        <f t="shared" si="55"/>
        <v>#N/A</v>
      </c>
      <c r="O353" s="80" t="e">
        <f t="shared" si="54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53"/>
        <v>#N/A</v>
      </c>
      <c r="H354" s="73" t="e">
        <f t="shared" si="51"/>
        <v>#N/A</v>
      </c>
      <c r="I354" s="73" t="b">
        <f t="shared" si="52"/>
        <v>0</v>
      </c>
      <c r="J354" s="72"/>
      <c r="K354" s="74"/>
      <c r="M354" s="79"/>
      <c r="N354" s="80" t="e">
        <f t="shared" si="55"/>
        <v>#N/A</v>
      </c>
      <c r="O354" s="80" t="e">
        <f t="shared" si="54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53"/>
        <v>#N/A</v>
      </c>
      <c r="H355" s="73" t="e">
        <f t="shared" si="51"/>
        <v>#N/A</v>
      </c>
      <c r="I355" s="73" t="b">
        <f t="shared" si="52"/>
        <v>0</v>
      </c>
      <c r="J355" s="72"/>
      <c r="K355" s="74"/>
      <c r="M355" s="79"/>
      <c r="N355" s="80" t="e">
        <f t="shared" si="55"/>
        <v>#N/A</v>
      </c>
      <c r="O355" s="80" t="e">
        <f t="shared" si="54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53"/>
        <v>#N/A</v>
      </c>
      <c r="H356" s="73" t="e">
        <f t="shared" si="51"/>
        <v>#N/A</v>
      </c>
      <c r="I356" s="73" t="b">
        <f t="shared" si="52"/>
        <v>0</v>
      </c>
      <c r="J356" s="72"/>
      <c r="K356" s="74"/>
      <c r="M356" s="79"/>
      <c r="N356" s="80" t="e">
        <f t="shared" si="55"/>
        <v>#N/A</v>
      </c>
      <c r="O356" s="80" t="e">
        <f t="shared" si="54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si="53"/>
        <v>#N/A</v>
      </c>
      <c r="H357" s="73" t="e">
        <f t="shared" si="51"/>
        <v>#N/A</v>
      </c>
      <c r="I357" s="73" t="b">
        <f t="shared" si="52"/>
        <v>0</v>
      </c>
      <c r="J357" s="72"/>
      <c r="K357" s="74"/>
      <c r="M357" s="79"/>
      <c r="N357" s="80" t="e">
        <f t="shared" si="55"/>
        <v>#N/A</v>
      </c>
      <c r="O357" s="80" t="e">
        <f t="shared" si="54"/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53"/>
        <v>#N/A</v>
      </c>
      <c r="H358" s="73" t="e">
        <f t="shared" si="51"/>
        <v>#N/A</v>
      </c>
      <c r="I358" s="73" t="b">
        <f t="shared" si="52"/>
        <v>0</v>
      </c>
      <c r="J358" s="72"/>
      <c r="K358" s="74"/>
      <c r="M358" s="79"/>
      <c r="N358" s="80" t="e">
        <f t="shared" si="55"/>
        <v>#N/A</v>
      </c>
      <c r="O358" s="80" t="e">
        <f t="shared" si="54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si="53"/>
        <v>#N/A</v>
      </c>
      <c r="H359" s="73" t="e">
        <f t="shared" si="51"/>
        <v>#N/A</v>
      </c>
      <c r="I359" s="73" t="b">
        <f t="shared" si="52"/>
        <v>0</v>
      </c>
      <c r="J359" s="72"/>
      <c r="K359" s="74"/>
      <c r="M359" s="79"/>
      <c r="N359" s="80" t="e">
        <f t="shared" si="55"/>
        <v>#N/A</v>
      </c>
      <c r="O359" s="80" t="e">
        <f t="shared" si="54"/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53"/>
        <v>#N/A</v>
      </c>
      <c r="H360" s="73" t="e">
        <f t="shared" si="51"/>
        <v>#N/A</v>
      </c>
      <c r="I360" s="73" t="b">
        <f t="shared" si="52"/>
        <v>0</v>
      </c>
      <c r="J360" s="72"/>
      <c r="K360" s="74"/>
      <c r="M360" s="79"/>
      <c r="N360" s="80" t="e">
        <f t="shared" si="55"/>
        <v>#N/A</v>
      </c>
      <c r="O360" s="80" t="e">
        <f t="shared" si="54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53"/>
        <v>#N/A</v>
      </c>
      <c r="H361" s="73" t="e">
        <f t="shared" si="51"/>
        <v>#N/A</v>
      </c>
      <c r="I361" s="73" t="b">
        <f t="shared" si="52"/>
        <v>0</v>
      </c>
      <c r="J361" s="72"/>
      <c r="K361" s="74"/>
      <c r="M361" s="79"/>
      <c r="N361" s="80" t="e">
        <f t="shared" si="55"/>
        <v>#N/A</v>
      </c>
      <c r="O361" s="80" t="e">
        <f t="shared" si="54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53"/>
        <v>#N/A</v>
      </c>
      <c r="H362" s="73" t="e">
        <f t="shared" si="51"/>
        <v>#N/A</v>
      </c>
      <c r="I362" s="73" t="b">
        <f t="shared" si="52"/>
        <v>0</v>
      </c>
      <c r="J362" s="72"/>
      <c r="K362" s="74"/>
      <c r="M362" s="79"/>
      <c r="N362" s="80" t="e">
        <f t="shared" si="55"/>
        <v>#N/A</v>
      </c>
      <c r="O362" s="80" t="e">
        <f t="shared" si="54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si="53"/>
        <v>#N/A</v>
      </c>
      <c r="H363" s="73" t="e">
        <f t="shared" si="51"/>
        <v>#N/A</v>
      </c>
      <c r="I363" s="73" t="b">
        <f t="shared" si="52"/>
        <v>0</v>
      </c>
      <c r="J363" s="72"/>
      <c r="K363" s="74"/>
      <c r="M363" s="79"/>
      <c r="N363" s="80" t="e">
        <f t="shared" si="55"/>
        <v>#N/A</v>
      </c>
      <c r="O363" s="80" t="e">
        <f t="shared" si="54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53"/>
        <v>#N/A</v>
      </c>
      <c r="H364" s="73" t="e">
        <f t="shared" si="51"/>
        <v>#N/A</v>
      </c>
      <c r="I364" s="73" t="b">
        <f t="shared" si="52"/>
        <v>0</v>
      </c>
      <c r="J364" s="72"/>
      <c r="K364" s="74"/>
      <c r="M364" s="79"/>
      <c r="N364" s="80" t="e">
        <f t="shared" si="55"/>
        <v>#N/A</v>
      </c>
      <c r="O364" s="80" t="e">
        <f t="shared" si="54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53"/>
        <v>#N/A</v>
      </c>
      <c r="H365" s="73" t="e">
        <f t="shared" si="51"/>
        <v>#N/A</v>
      </c>
      <c r="I365" s="73" t="b">
        <f t="shared" si="52"/>
        <v>0</v>
      </c>
      <c r="J365" s="72"/>
      <c r="K365" s="74"/>
      <c r="M365" s="79"/>
      <c r="N365" s="80" t="e">
        <f t="shared" si="55"/>
        <v>#N/A</v>
      </c>
      <c r="O365" s="80" t="e">
        <f t="shared" si="54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53"/>
        <v>#N/A</v>
      </c>
      <c r="H366" s="73" t="e">
        <f t="shared" si="51"/>
        <v>#N/A</v>
      </c>
      <c r="I366" s="73" t="b">
        <f t="shared" si="52"/>
        <v>0</v>
      </c>
      <c r="J366" s="72"/>
      <c r="K366" s="74"/>
      <c r="M366" s="79"/>
      <c r="N366" s="80" t="e">
        <f t="shared" si="55"/>
        <v>#N/A</v>
      </c>
      <c r="O366" s="80" t="e">
        <f t="shared" si="54"/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53"/>
        <v>#N/A</v>
      </c>
      <c r="H367" s="73" t="e">
        <f t="shared" si="51"/>
        <v>#N/A</v>
      </c>
      <c r="I367" s="73" t="b">
        <f t="shared" si="52"/>
        <v>0</v>
      </c>
      <c r="J367" s="72"/>
      <c r="K367" s="74"/>
      <c r="M367" s="79"/>
      <c r="N367" s="80" t="e">
        <f t="shared" si="55"/>
        <v>#N/A</v>
      </c>
      <c r="O367" s="80" t="e">
        <f t="shared" si="54"/>
        <v>#N/A</v>
      </c>
      <c r="P367" s="103"/>
    </row>
    <row r="368" spans="1:16" x14ac:dyDescent="0.25">
      <c r="A368" s="95"/>
      <c r="B368" s="72"/>
      <c r="C368" s="72"/>
      <c r="D368" s="72"/>
      <c r="E368" s="72"/>
      <c r="F368" s="72"/>
      <c r="G368" s="73" t="e">
        <f t="shared" si="53"/>
        <v>#N/A</v>
      </c>
      <c r="H368" s="73" t="e">
        <f t="shared" si="51"/>
        <v>#N/A</v>
      </c>
      <c r="I368" s="73" t="b">
        <f t="shared" si="52"/>
        <v>0</v>
      </c>
      <c r="J368" s="72"/>
      <c r="K368" s="74"/>
      <c r="M368" s="79"/>
      <c r="N368" s="80" t="e">
        <f t="shared" si="55"/>
        <v>#N/A</v>
      </c>
      <c r="O368" s="80" t="e">
        <f t="shared" si="54"/>
        <v>#N/A</v>
      </c>
      <c r="P368" s="103"/>
    </row>
    <row r="369" spans="1:16" x14ac:dyDescent="0.25">
      <c r="A369" s="95"/>
      <c r="B369" s="72"/>
      <c r="C369" s="72"/>
      <c r="D369" s="72"/>
      <c r="E369" s="72"/>
      <c r="F369" s="72"/>
      <c r="G369" s="73" t="e">
        <f t="shared" si="53"/>
        <v>#N/A</v>
      </c>
      <c r="H369" s="73" t="e">
        <f t="shared" si="51"/>
        <v>#N/A</v>
      </c>
      <c r="I369" s="73" t="b">
        <f t="shared" si="52"/>
        <v>0</v>
      </c>
      <c r="J369" s="72"/>
      <c r="K369" s="74"/>
      <c r="M369" s="79"/>
      <c r="N369" s="80" t="e">
        <f t="shared" si="55"/>
        <v>#N/A</v>
      </c>
      <c r="O369" s="80" t="e">
        <f t="shared" si="54"/>
        <v>#N/A</v>
      </c>
      <c r="P369" s="103"/>
    </row>
    <row r="370" spans="1:16" x14ac:dyDescent="0.25">
      <c r="A370" s="95"/>
      <c r="B370" s="72"/>
      <c r="C370" s="72"/>
      <c r="D370" s="72"/>
      <c r="E370" s="72"/>
      <c r="F370" s="72"/>
      <c r="G370" s="73" t="e">
        <f t="shared" si="53"/>
        <v>#N/A</v>
      </c>
      <c r="H370" s="73" t="e">
        <f t="shared" si="51"/>
        <v>#N/A</v>
      </c>
      <c r="I370" s="73" t="b">
        <f t="shared" si="52"/>
        <v>0</v>
      </c>
      <c r="J370" s="72"/>
      <c r="K370" s="74"/>
      <c r="M370" s="79"/>
      <c r="N370" s="80" t="e">
        <f t="shared" si="55"/>
        <v>#N/A</v>
      </c>
      <c r="O370" s="80" t="e">
        <f t="shared" si="54"/>
        <v>#N/A</v>
      </c>
      <c r="P370" s="103"/>
    </row>
    <row r="371" spans="1:16" x14ac:dyDescent="0.25">
      <c r="A371" s="95"/>
      <c r="B371" s="72"/>
      <c r="C371" s="72"/>
      <c r="D371" s="72"/>
      <c r="E371" s="72"/>
      <c r="F371" s="72"/>
      <c r="G371" s="73" t="e">
        <f t="shared" si="53"/>
        <v>#N/A</v>
      </c>
      <c r="H371" s="73" t="e">
        <f t="shared" si="51"/>
        <v>#N/A</v>
      </c>
      <c r="I371" s="73" t="b">
        <f t="shared" si="52"/>
        <v>0</v>
      </c>
      <c r="J371" s="72"/>
      <c r="K371" s="74"/>
      <c r="M371" s="79"/>
      <c r="N371" s="80" t="e">
        <f t="shared" si="55"/>
        <v>#N/A</v>
      </c>
      <c r="O371" s="80" t="e">
        <f t="shared" si="54"/>
        <v>#N/A</v>
      </c>
      <c r="P371" s="103"/>
    </row>
    <row r="372" spans="1:16" x14ac:dyDescent="0.25">
      <c r="A372" s="95"/>
      <c r="B372" s="72"/>
      <c r="C372" s="72"/>
      <c r="D372" s="72"/>
      <c r="E372" s="72"/>
      <c r="F372" s="72"/>
      <c r="G372" s="73" t="e">
        <f t="shared" si="53"/>
        <v>#N/A</v>
      </c>
      <c r="H372" s="73" t="e">
        <f t="shared" si="51"/>
        <v>#N/A</v>
      </c>
      <c r="I372" s="73" t="b">
        <f t="shared" si="52"/>
        <v>0</v>
      </c>
      <c r="J372" s="72"/>
      <c r="K372" s="74"/>
      <c r="M372" s="79"/>
      <c r="N372" s="80" t="e">
        <f t="shared" si="55"/>
        <v>#N/A</v>
      </c>
      <c r="O372" s="80" t="e">
        <f t="shared" si="54"/>
        <v>#N/A</v>
      </c>
      <c r="P372" s="103"/>
    </row>
    <row r="373" spans="1:16" x14ac:dyDescent="0.25">
      <c r="A373" s="95"/>
      <c r="B373" s="72"/>
      <c r="C373" s="72"/>
      <c r="D373" s="72"/>
      <c r="E373" s="72"/>
      <c r="F373" s="72"/>
      <c r="G373" s="73" t="e">
        <f t="shared" si="53"/>
        <v>#N/A</v>
      </c>
      <c r="H373" s="73" t="e">
        <f t="shared" si="51"/>
        <v>#N/A</v>
      </c>
      <c r="I373" s="73" t="b">
        <f t="shared" si="52"/>
        <v>0</v>
      </c>
      <c r="J373" s="72"/>
      <c r="K373" s="74"/>
      <c r="M373" s="85"/>
      <c r="N373" s="86" t="e">
        <f t="shared" si="55"/>
        <v>#N/A</v>
      </c>
      <c r="O373" s="86" t="e">
        <f t="shared" si="54"/>
        <v>#N/A</v>
      </c>
      <c r="P373" s="104"/>
    </row>
    <row r="374" spans="1:16" ht="15.75" x14ac:dyDescent="0.25">
      <c r="H374" s="88" t="e">
        <f>SUM(H3:H373)</f>
        <v>#N/A</v>
      </c>
      <c r="I374" s="88"/>
      <c r="O374" s="89" t="e">
        <f>SUM(O3:O373)</f>
        <v>#N/A</v>
      </c>
      <c r="P374" s="2"/>
    </row>
    <row r="375" spans="1:16" x14ac:dyDescent="0.25">
      <c r="P375" s="2"/>
    </row>
    <row r="376" spans="1:16" x14ac:dyDescent="0.25">
      <c r="P376" s="2"/>
    </row>
    <row r="377" spans="1:16" x14ac:dyDescent="0.25">
      <c r="P377" s="2"/>
    </row>
    <row r="378" spans="1:16" x14ac:dyDescent="0.25">
      <c r="P378" s="2"/>
    </row>
    <row r="379" spans="1:16" x14ac:dyDescent="0.25">
      <c r="P379" s="2"/>
    </row>
    <row r="380" spans="1:16" x14ac:dyDescent="0.25">
      <c r="P380" s="2"/>
    </row>
    <row r="381" spans="1:16" x14ac:dyDescent="0.25">
      <c r="P381" s="2"/>
    </row>
    <row r="382" spans="1:16" x14ac:dyDescent="0.25">
      <c r="P382" s="2"/>
    </row>
    <row r="383" spans="1:16" x14ac:dyDescent="0.25">
      <c r="P383" s="2"/>
    </row>
    <row r="384" spans="1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  <row r="395" spans="16:16" x14ac:dyDescent="0.25">
      <c r="P39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5"/>
  <sheetViews>
    <sheetView workbookViewId="0">
      <selection activeCell="B7" sqref="B7"/>
    </sheetView>
  </sheetViews>
  <sheetFormatPr defaultRowHeight="15" x14ac:dyDescent="0.25"/>
  <cols>
    <col min="1" max="1" width="20.7109375" bestFit="1" customWidth="1"/>
    <col min="2" max="2" width="18.5703125" bestFit="1" customWidth="1"/>
    <col min="3" max="3" width="21.42578125" bestFit="1" customWidth="1"/>
    <col min="4" max="4" width="57.14062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40.42578125" bestFit="1" customWidth="1"/>
    <col min="13" max="13" width="35.8554687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718</v>
      </c>
      <c r="B1" s="53"/>
      <c r="C1" s="53"/>
      <c r="D1" s="53"/>
      <c r="E1" s="53"/>
      <c r="F1" s="54"/>
      <c r="G1" s="54" t="s">
        <v>66</v>
      </c>
      <c r="H1" s="55">
        <f>SUM(H3:H263)</f>
        <v>11472</v>
      </c>
      <c r="I1" s="55">
        <f>SUM(I3:I263)</f>
        <v>11279.414800000004</v>
      </c>
      <c r="J1" s="54"/>
      <c r="K1" s="56"/>
      <c r="M1" s="57"/>
      <c r="N1" s="58"/>
      <c r="O1" s="105">
        <f>SUM(O3:O263)</f>
        <v>1744.8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45505</v>
      </c>
      <c r="B3" s="72" t="s">
        <v>612</v>
      </c>
      <c r="C3" s="72" t="s">
        <v>8</v>
      </c>
      <c r="D3" s="72" t="s">
        <v>18</v>
      </c>
      <c r="E3" s="72" t="s">
        <v>56</v>
      </c>
      <c r="F3" s="72">
        <v>1</v>
      </c>
      <c r="G3" s="73">
        <f>VLOOKUP(D3,$S$3:$T$64,2,0)</f>
        <v>40</v>
      </c>
      <c r="H3" s="73">
        <f t="shared" ref="H3:H34" si="0">F3*G3</f>
        <v>40</v>
      </c>
      <c r="I3" s="73">
        <f t="shared" ref="I3:I66" si="1">IF(J3="Cartão de Debito",H3-(H3*$AC$5),IF(J3="Cartão de Credito",H3-(H3*$AC$6), IF(J3="Pix",H3-(H3*$AC$7), IF(J3="Dinheiro (R$)", H3-(H3*$AC$8)))))</f>
        <v>38.003999999999998</v>
      </c>
      <c r="J3" s="72" t="s">
        <v>86</v>
      </c>
      <c r="K3" s="74"/>
      <c r="M3" s="75" t="s">
        <v>18</v>
      </c>
      <c r="N3" s="76">
        <f>VLOOKUP(M3,$S$3:$U$64,3,0)</f>
        <v>16</v>
      </c>
      <c r="O3" s="76">
        <f t="shared" ref="O3:O13" si="2">N3*F3</f>
        <v>16</v>
      </c>
      <c r="P3" s="77" t="s">
        <v>56</v>
      </c>
      <c r="S3" s="50" t="s">
        <v>18</v>
      </c>
      <c r="T3" s="52">
        <v>40</v>
      </c>
      <c r="U3" s="52">
        <f t="shared" ref="U3:U30" si="3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4">Z3*0.4</f>
        <v>16</v>
      </c>
      <c r="AB3" s="92"/>
    </row>
    <row r="4" spans="1:32" x14ac:dyDescent="0.25">
      <c r="A4" s="95">
        <v>45505</v>
      </c>
      <c r="B4" s="72" t="s">
        <v>612</v>
      </c>
      <c r="C4" s="72" t="s">
        <v>8</v>
      </c>
      <c r="D4" s="72" t="s">
        <v>24</v>
      </c>
      <c r="E4" s="72" t="s">
        <v>56</v>
      </c>
      <c r="F4" s="72">
        <v>1</v>
      </c>
      <c r="G4" s="73">
        <f>VLOOKUP(D4,$S$3:$T$64,2,0)</f>
        <v>10</v>
      </c>
      <c r="H4" s="73">
        <f t="shared" si="0"/>
        <v>10</v>
      </c>
      <c r="I4" s="73">
        <f t="shared" si="1"/>
        <v>9.5009999999999994</v>
      </c>
      <c r="J4" s="72" t="s">
        <v>86</v>
      </c>
      <c r="K4" s="74"/>
      <c r="M4" s="79" t="s">
        <v>24</v>
      </c>
      <c r="N4" s="80">
        <f>VLOOKUP(M4,$S$3:$U$64,3,0)</f>
        <v>4</v>
      </c>
      <c r="O4" s="76">
        <f t="shared" si="2"/>
        <v>4</v>
      </c>
      <c r="P4" s="81" t="s">
        <v>56</v>
      </c>
      <c r="S4" s="50" t="s">
        <v>19</v>
      </c>
      <c r="T4" s="52">
        <v>40</v>
      </c>
      <c r="U4" s="52">
        <f t="shared" si="3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4"/>
        <v>16</v>
      </c>
      <c r="AB4" s="92"/>
    </row>
    <row r="5" spans="1:32" x14ac:dyDescent="0.25">
      <c r="A5" s="95">
        <v>45505</v>
      </c>
      <c r="B5" s="72" t="s">
        <v>460</v>
      </c>
      <c r="C5" s="72" t="s">
        <v>8</v>
      </c>
      <c r="D5" s="72" t="s">
        <v>22</v>
      </c>
      <c r="E5" s="72" t="s">
        <v>56</v>
      </c>
      <c r="F5" s="72">
        <v>1</v>
      </c>
      <c r="G5" s="73">
        <f>VLOOKUP(D5,$S$3:$T$64,2,0)</f>
        <v>30</v>
      </c>
      <c r="H5" s="73">
        <f t="shared" si="0"/>
        <v>30</v>
      </c>
      <c r="I5" s="73">
        <f t="shared" si="1"/>
        <v>30</v>
      </c>
      <c r="J5" s="72" t="s">
        <v>83</v>
      </c>
      <c r="K5" s="74"/>
      <c r="M5" s="79" t="s">
        <v>22</v>
      </c>
      <c r="N5" s="80">
        <f>VLOOKUP(M5,$S$3:$U$64,3,0)</f>
        <v>12</v>
      </c>
      <c r="O5" s="76">
        <f t="shared" si="2"/>
        <v>12</v>
      </c>
      <c r="P5" s="81" t="s">
        <v>56</v>
      </c>
      <c r="S5" s="50" t="s">
        <v>22</v>
      </c>
      <c r="T5" s="52">
        <v>30</v>
      </c>
      <c r="U5" s="52">
        <f t="shared" si="3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4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45505</v>
      </c>
      <c r="B6" s="72" t="s">
        <v>528</v>
      </c>
      <c r="C6" s="72" t="s">
        <v>9</v>
      </c>
      <c r="D6" s="72" t="s">
        <v>18</v>
      </c>
      <c r="E6" s="72" t="s">
        <v>56</v>
      </c>
      <c r="F6" s="72">
        <v>1</v>
      </c>
      <c r="G6" s="73">
        <f>VLOOKUP(D6,$S$3:$T$64,2,0)</f>
        <v>40</v>
      </c>
      <c r="H6" s="73">
        <f t="shared" si="0"/>
        <v>40</v>
      </c>
      <c r="I6" s="73">
        <f t="shared" si="1"/>
        <v>39.043999999999997</v>
      </c>
      <c r="J6" s="72" t="s">
        <v>78</v>
      </c>
      <c r="K6" s="74"/>
      <c r="M6" s="79" t="s">
        <v>18</v>
      </c>
      <c r="N6" s="80">
        <f>VLOOKUP(M6,$S$3:$U$64,3,0)</f>
        <v>16</v>
      </c>
      <c r="O6" s="76">
        <f t="shared" si="2"/>
        <v>16</v>
      </c>
      <c r="P6" s="81" t="s">
        <v>56</v>
      </c>
      <c r="S6" s="50" t="s">
        <v>23</v>
      </c>
      <c r="T6" s="52">
        <v>5</v>
      </c>
      <c r="U6" s="52">
        <f t="shared" si="3"/>
        <v>2</v>
      </c>
      <c r="W6" s="90" t="s">
        <v>86</v>
      </c>
      <c r="Y6" s="91" t="s">
        <v>90</v>
      </c>
      <c r="Z6" s="92">
        <v>38.003999999999998</v>
      </c>
      <c r="AA6" s="92">
        <f t="shared" si="4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45505</v>
      </c>
      <c r="B7" s="72" t="s">
        <v>692</v>
      </c>
      <c r="C7" s="72" t="s">
        <v>8</v>
      </c>
      <c r="D7" s="72" t="s">
        <v>18</v>
      </c>
      <c r="E7" s="72" t="s">
        <v>56</v>
      </c>
      <c r="F7" s="72">
        <v>1</v>
      </c>
      <c r="G7" s="73"/>
      <c r="H7" s="73">
        <f t="shared" si="0"/>
        <v>0</v>
      </c>
      <c r="I7" s="73">
        <f t="shared" si="1"/>
        <v>0</v>
      </c>
      <c r="J7" s="72" t="s">
        <v>83</v>
      </c>
      <c r="K7" s="74" t="s">
        <v>719</v>
      </c>
      <c r="M7" s="79"/>
      <c r="N7" s="80"/>
      <c r="O7" s="76">
        <f t="shared" si="2"/>
        <v>0</v>
      </c>
      <c r="P7" s="81" t="s">
        <v>56</v>
      </c>
      <c r="S7" s="50" t="s">
        <v>24</v>
      </c>
      <c r="T7" s="52">
        <v>10</v>
      </c>
      <c r="U7" s="52">
        <f t="shared" si="3"/>
        <v>4</v>
      </c>
      <c r="Y7" s="91" t="s">
        <v>93</v>
      </c>
      <c r="Z7" s="92">
        <v>40</v>
      </c>
      <c r="AA7" s="92">
        <f t="shared" si="4"/>
        <v>16</v>
      </c>
      <c r="AB7" s="92"/>
      <c r="AC7" s="91">
        <v>0</v>
      </c>
      <c r="AD7" s="50" t="s">
        <v>83</v>
      </c>
    </row>
    <row r="8" spans="1:32" x14ac:dyDescent="0.25">
      <c r="A8" s="95">
        <v>45505</v>
      </c>
      <c r="B8" s="72" t="s">
        <v>692</v>
      </c>
      <c r="C8" s="72" t="s">
        <v>8</v>
      </c>
      <c r="D8" s="72" t="s">
        <v>24</v>
      </c>
      <c r="E8" s="72" t="s">
        <v>56</v>
      </c>
      <c r="F8" s="72">
        <v>1</v>
      </c>
      <c r="G8" s="73"/>
      <c r="H8" s="73">
        <f t="shared" si="0"/>
        <v>0</v>
      </c>
      <c r="I8" s="73">
        <f t="shared" si="1"/>
        <v>0</v>
      </c>
      <c r="J8" s="72" t="s">
        <v>83</v>
      </c>
      <c r="K8" s="74" t="s">
        <v>719</v>
      </c>
      <c r="M8" s="79"/>
      <c r="N8" s="80"/>
      <c r="O8" s="76">
        <f t="shared" si="2"/>
        <v>0</v>
      </c>
      <c r="P8" s="81" t="s">
        <v>56</v>
      </c>
      <c r="S8" s="50" t="s">
        <v>21</v>
      </c>
      <c r="T8" s="52">
        <v>10</v>
      </c>
      <c r="U8" s="52">
        <f t="shared" si="3"/>
        <v>4</v>
      </c>
      <c r="Y8" s="91" t="s">
        <v>95</v>
      </c>
      <c r="Z8" s="92">
        <v>40</v>
      </c>
      <c r="AA8" s="92">
        <f t="shared" si="4"/>
        <v>16</v>
      </c>
      <c r="AB8" s="92"/>
      <c r="AC8" s="91">
        <v>0</v>
      </c>
      <c r="AD8" s="50" t="s">
        <v>440</v>
      </c>
    </row>
    <row r="9" spans="1:32" x14ac:dyDescent="0.25">
      <c r="A9" s="95">
        <v>45505</v>
      </c>
      <c r="B9" s="72" t="s">
        <v>692</v>
      </c>
      <c r="C9" s="72" t="s">
        <v>8</v>
      </c>
      <c r="D9" s="72" t="s">
        <v>34</v>
      </c>
      <c r="E9" s="72" t="s">
        <v>56</v>
      </c>
      <c r="F9" s="72">
        <v>1</v>
      </c>
      <c r="G9" s="73">
        <v>15</v>
      </c>
      <c r="H9" s="73">
        <f t="shared" si="0"/>
        <v>15</v>
      </c>
      <c r="I9" s="73">
        <f t="shared" si="1"/>
        <v>14.2515</v>
      </c>
      <c r="J9" s="72" t="s">
        <v>86</v>
      </c>
      <c r="K9" s="74"/>
      <c r="M9" s="79" t="s">
        <v>34</v>
      </c>
      <c r="N9" s="80">
        <f>G9*0.1</f>
        <v>1.5</v>
      </c>
      <c r="O9" s="76">
        <f t="shared" si="2"/>
        <v>1.5</v>
      </c>
      <c r="P9" s="81" t="s">
        <v>56</v>
      </c>
      <c r="S9" s="50" t="s">
        <v>42</v>
      </c>
      <c r="T9" s="52">
        <v>20</v>
      </c>
      <c r="U9" s="52">
        <f t="shared" si="3"/>
        <v>8</v>
      </c>
      <c r="Y9" s="91" t="s">
        <v>98</v>
      </c>
      <c r="Z9" s="92">
        <v>39.043999999999997</v>
      </c>
      <c r="AA9" s="92">
        <f t="shared" si="4"/>
        <v>15.617599999999999</v>
      </c>
      <c r="AB9" s="92"/>
    </row>
    <row r="10" spans="1:32" x14ac:dyDescent="0.25">
      <c r="A10" s="95">
        <v>45505</v>
      </c>
      <c r="B10" s="72" t="s">
        <v>720</v>
      </c>
      <c r="C10" s="72" t="s">
        <v>10</v>
      </c>
      <c r="D10" s="72" t="s">
        <v>18</v>
      </c>
      <c r="E10" s="72" t="s">
        <v>56</v>
      </c>
      <c r="F10" s="72">
        <v>1</v>
      </c>
      <c r="G10" s="73">
        <f t="shared" ref="G10:G34" si="5">VLOOKUP(D10,$S$3:$T$64,2,0)</f>
        <v>40</v>
      </c>
      <c r="H10" s="73">
        <f t="shared" si="0"/>
        <v>40</v>
      </c>
      <c r="I10" s="73">
        <f t="shared" si="1"/>
        <v>40</v>
      </c>
      <c r="J10" s="72" t="s">
        <v>83</v>
      </c>
      <c r="K10" s="74"/>
      <c r="M10" s="79" t="s">
        <v>18</v>
      </c>
      <c r="N10" s="80">
        <f t="shared" ref="N10:N41" si="6">VLOOKUP(M10,$S$3:$U$64,3,0)</f>
        <v>16</v>
      </c>
      <c r="O10" s="76">
        <f t="shared" si="2"/>
        <v>16</v>
      </c>
      <c r="P10" s="81" t="s">
        <v>56</v>
      </c>
      <c r="S10" s="50" t="s">
        <v>99</v>
      </c>
      <c r="T10" s="52">
        <v>40</v>
      </c>
      <c r="U10" s="52">
        <f t="shared" si="3"/>
        <v>16</v>
      </c>
      <c r="Y10" s="91" t="s">
        <v>100</v>
      </c>
      <c r="Z10" s="92">
        <v>38.003999999999998</v>
      </c>
      <c r="AA10" s="92">
        <f t="shared" si="4"/>
        <v>15.201599999999999</v>
      </c>
      <c r="AB10" s="92"/>
    </row>
    <row r="11" spans="1:32" x14ac:dyDescent="0.25">
      <c r="A11" s="95">
        <v>45506</v>
      </c>
      <c r="B11" s="72" t="s">
        <v>308</v>
      </c>
      <c r="C11" s="72" t="s">
        <v>8</v>
      </c>
      <c r="D11" s="72" t="s">
        <v>18</v>
      </c>
      <c r="E11" s="72" t="s">
        <v>56</v>
      </c>
      <c r="F11" s="72">
        <v>1</v>
      </c>
      <c r="G11" s="73">
        <f t="shared" si="5"/>
        <v>40</v>
      </c>
      <c r="H11" s="73">
        <f t="shared" si="0"/>
        <v>40</v>
      </c>
      <c r="I11" s="73">
        <f t="shared" si="1"/>
        <v>38.003999999999998</v>
      </c>
      <c r="J11" s="72" t="s">
        <v>86</v>
      </c>
      <c r="K11" s="74"/>
      <c r="M11" s="79" t="s">
        <v>18</v>
      </c>
      <c r="N11" s="80">
        <f t="shared" si="6"/>
        <v>16</v>
      </c>
      <c r="O11" s="76">
        <f t="shared" si="2"/>
        <v>16</v>
      </c>
      <c r="P11" s="81" t="s">
        <v>56</v>
      </c>
      <c r="S11" s="50" t="s">
        <v>13</v>
      </c>
      <c r="T11" s="52">
        <v>30</v>
      </c>
      <c r="U11" s="52">
        <f t="shared" si="3"/>
        <v>12</v>
      </c>
      <c r="Y11" s="91" t="s">
        <v>102</v>
      </c>
      <c r="Z11" s="92">
        <v>30</v>
      </c>
      <c r="AA11" s="92">
        <f t="shared" si="4"/>
        <v>12</v>
      </c>
      <c r="AB11" s="92"/>
    </row>
    <row r="12" spans="1:32" x14ac:dyDescent="0.25">
      <c r="A12" s="95">
        <v>45506</v>
      </c>
      <c r="B12" s="72" t="s">
        <v>721</v>
      </c>
      <c r="C12" s="72" t="s">
        <v>10</v>
      </c>
      <c r="D12" s="72" t="s">
        <v>24</v>
      </c>
      <c r="E12" s="72" t="s">
        <v>56</v>
      </c>
      <c r="F12" s="72">
        <v>1</v>
      </c>
      <c r="G12" s="73">
        <f t="shared" si="5"/>
        <v>10</v>
      </c>
      <c r="H12" s="73">
        <f t="shared" si="0"/>
        <v>10</v>
      </c>
      <c r="I12" s="73">
        <f t="shared" si="1"/>
        <v>9.7609999999999992</v>
      </c>
      <c r="J12" s="72" t="s">
        <v>78</v>
      </c>
      <c r="K12" s="74"/>
      <c r="M12" s="79" t="s">
        <v>24</v>
      </c>
      <c r="N12" s="80">
        <f t="shared" si="6"/>
        <v>4</v>
      </c>
      <c r="O12" s="76">
        <f t="shared" si="2"/>
        <v>4</v>
      </c>
      <c r="P12" s="81" t="s">
        <v>56</v>
      </c>
      <c r="S12" s="50" t="s">
        <v>104</v>
      </c>
      <c r="T12" s="52">
        <v>60</v>
      </c>
      <c r="U12" s="52">
        <f t="shared" si="3"/>
        <v>24</v>
      </c>
      <c r="Y12" s="91" t="s">
        <v>105</v>
      </c>
      <c r="Z12" s="92">
        <v>30</v>
      </c>
      <c r="AA12" s="92">
        <f t="shared" si="4"/>
        <v>12</v>
      </c>
      <c r="AB12" s="92"/>
    </row>
    <row r="13" spans="1:32" x14ac:dyDescent="0.25">
      <c r="A13" s="95">
        <v>45506</v>
      </c>
      <c r="B13" s="72" t="s">
        <v>605</v>
      </c>
      <c r="C13" s="72" t="s">
        <v>8</v>
      </c>
      <c r="D13" s="72" t="s">
        <v>18</v>
      </c>
      <c r="E13" s="72" t="s">
        <v>56</v>
      </c>
      <c r="F13" s="72">
        <v>1</v>
      </c>
      <c r="G13" s="73">
        <f t="shared" si="5"/>
        <v>40</v>
      </c>
      <c r="H13" s="73">
        <f t="shared" si="0"/>
        <v>40</v>
      </c>
      <c r="I13" s="73">
        <f t="shared" si="1"/>
        <v>40</v>
      </c>
      <c r="J13" s="72" t="s">
        <v>83</v>
      </c>
      <c r="K13" s="74"/>
      <c r="M13" s="79" t="s">
        <v>18</v>
      </c>
      <c r="N13" s="80">
        <f t="shared" si="6"/>
        <v>16</v>
      </c>
      <c r="O13" s="76">
        <f t="shared" si="2"/>
        <v>16</v>
      </c>
      <c r="P13" s="81" t="s">
        <v>56</v>
      </c>
      <c r="S13" s="50" t="s">
        <v>106</v>
      </c>
      <c r="T13" s="52">
        <v>15</v>
      </c>
      <c r="U13" s="52">
        <f t="shared" si="3"/>
        <v>6</v>
      </c>
      <c r="Y13" s="91" t="s">
        <v>107</v>
      </c>
      <c r="Z13" s="92">
        <v>29.283000000000001</v>
      </c>
      <c r="AA13" s="92">
        <f t="shared" si="4"/>
        <v>11.713200000000001</v>
      </c>
      <c r="AB13" s="92"/>
    </row>
    <row r="14" spans="1:32" x14ac:dyDescent="0.25">
      <c r="A14" s="95">
        <v>45506</v>
      </c>
      <c r="B14" s="72" t="s">
        <v>516</v>
      </c>
      <c r="C14" s="72" t="s">
        <v>8</v>
      </c>
      <c r="D14" s="72" t="s">
        <v>16</v>
      </c>
      <c r="E14" s="72" t="s">
        <v>722</v>
      </c>
      <c r="F14" s="72">
        <v>1</v>
      </c>
      <c r="G14" s="73">
        <f t="shared" si="5"/>
        <v>80</v>
      </c>
      <c r="H14" s="73">
        <f t="shared" si="0"/>
        <v>80</v>
      </c>
      <c r="I14" s="73">
        <f t="shared" si="1"/>
        <v>80</v>
      </c>
      <c r="J14" s="72" t="s">
        <v>83</v>
      </c>
      <c r="K14" s="74"/>
      <c r="M14" s="79"/>
      <c r="N14" s="80" t="e">
        <f t="shared" si="6"/>
        <v>#N/A</v>
      </c>
      <c r="O14" s="76"/>
      <c r="P14" s="81"/>
      <c r="S14" s="50" t="s">
        <v>15</v>
      </c>
      <c r="T14" s="52">
        <v>70</v>
      </c>
      <c r="U14" s="52">
        <f t="shared" si="3"/>
        <v>28</v>
      </c>
      <c r="Y14" s="91" t="s">
        <v>108</v>
      </c>
      <c r="Z14" s="92">
        <v>28.503</v>
      </c>
      <c r="AA14" s="92">
        <f t="shared" si="4"/>
        <v>11.401200000000001</v>
      </c>
      <c r="AB14" s="92"/>
    </row>
    <row r="15" spans="1:32" x14ac:dyDescent="0.25">
      <c r="A15" s="95">
        <v>45506</v>
      </c>
      <c r="B15" s="72" t="s">
        <v>610</v>
      </c>
      <c r="C15" s="72" t="s">
        <v>8</v>
      </c>
      <c r="D15" s="72" t="s">
        <v>18</v>
      </c>
      <c r="E15" s="72" t="s">
        <v>722</v>
      </c>
      <c r="F15" s="72">
        <v>1</v>
      </c>
      <c r="G15" s="73">
        <f t="shared" si="5"/>
        <v>40</v>
      </c>
      <c r="H15" s="73">
        <f t="shared" si="0"/>
        <v>40</v>
      </c>
      <c r="I15" s="73">
        <f t="shared" si="1"/>
        <v>40</v>
      </c>
      <c r="J15" s="72" t="s">
        <v>83</v>
      </c>
      <c r="K15" s="74"/>
      <c r="M15" s="79"/>
      <c r="N15" s="80" t="e">
        <f t="shared" si="6"/>
        <v>#N/A</v>
      </c>
      <c r="O15" s="76"/>
      <c r="P15" s="81"/>
      <c r="S15" s="50" t="s">
        <v>40</v>
      </c>
      <c r="T15" s="52">
        <v>45</v>
      </c>
      <c r="U15" s="52">
        <f t="shared" si="3"/>
        <v>18</v>
      </c>
      <c r="Y15" s="91" t="s">
        <v>110</v>
      </c>
      <c r="Z15" s="92">
        <v>5</v>
      </c>
      <c r="AA15" s="92">
        <f t="shared" si="4"/>
        <v>2</v>
      </c>
      <c r="AB15" s="92"/>
    </row>
    <row r="16" spans="1:32" x14ac:dyDescent="0.25">
      <c r="A16" s="95">
        <v>45506</v>
      </c>
      <c r="B16" s="72" t="s">
        <v>561</v>
      </c>
      <c r="C16" s="72" t="s">
        <v>8</v>
      </c>
      <c r="D16" s="72" t="s">
        <v>17</v>
      </c>
      <c r="E16" s="72" t="s">
        <v>722</v>
      </c>
      <c r="F16" s="72">
        <v>1</v>
      </c>
      <c r="G16" s="73">
        <f t="shared" si="5"/>
        <v>50</v>
      </c>
      <c r="H16" s="73">
        <f t="shared" si="0"/>
        <v>50</v>
      </c>
      <c r="I16" s="73">
        <f t="shared" si="1"/>
        <v>50</v>
      </c>
      <c r="J16" s="72" t="s">
        <v>83</v>
      </c>
      <c r="K16" s="74"/>
      <c r="M16" s="79"/>
      <c r="N16" s="80" t="e">
        <f t="shared" si="6"/>
        <v>#N/A</v>
      </c>
      <c r="O16" s="76"/>
      <c r="P16" s="81"/>
      <c r="S16" s="50" t="s">
        <v>17</v>
      </c>
      <c r="T16" s="52">
        <v>50</v>
      </c>
      <c r="U16" s="52">
        <f t="shared" si="3"/>
        <v>20</v>
      </c>
      <c r="Y16" s="91" t="s">
        <v>113</v>
      </c>
      <c r="Z16" s="92">
        <v>5</v>
      </c>
      <c r="AA16" s="92">
        <f t="shared" si="4"/>
        <v>2</v>
      </c>
      <c r="AB16" s="92"/>
    </row>
    <row r="17" spans="1:28" x14ac:dyDescent="0.25">
      <c r="A17" s="95">
        <v>45506</v>
      </c>
      <c r="B17" s="72" t="s">
        <v>516</v>
      </c>
      <c r="C17" s="72" t="s">
        <v>8</v>
      </c>
      <c r="D17" s="72" t="s">
        <v>40</v>
      </c>
      <c r="E17" s="72" t="s">
        <v>722</v>
      </c>
      <c r="F17" s="72">
        <v>1</v>
      </c>
      <c r="G17" s="73">
        <f t="shared" si="5"/>
        <v>45</v>
      </c>
      <c r="H17" s="73">
        <f t="shared" si="0"/>
        <v>45</v>
      </c>
      <c r="I17" s="73">
        <f t="shared" si="1"/>
        <v>45</v>
      </c>
      <c r="J17" s="72" t="s">
        <v>83</v>
      </c>
      <c r="K17" s="74"/>
      <c r="M17" s="79"/>
      <c r="N17" s="80" t="e">
        <f t="shared" si="6"/>
        <v>#N/A</v>
      </c>
      <c r="O17" s="76"/>
      <c r="P17" s="81"/>
      <c r="S17" s="50" t="s">
        <v>112</v>
      </c>
      <c r="T17" s="52">
        <v>75</v>
      </c>
      <c r="U17" s="52">
        <f t="shared" si="3"/>
        <v>30</v>
      </c>
      <c r="Y17" s="91" t="s">
        <v>115</v>
      </c>
      <c r="Z17" s="92">
        <v>4.8804999999999996</v>
      </c>
      <c r="AA17" s="92">
        <f t="shared" si="4"/>
        <v>1.9521999999999999</v>
      </c>
      <c r="AB17" s="92"/>
    </row>
    <row r="18" spans="1:28" x14ac:dyDescent="0.25">
      <c r="A18" s="95">
        <v>45506</v>
      </c>
      <c r="B18" s="72" t="s">
        <v>504</v>
      </c>
      <c r="C18" s="72" t="s">
        <v>8</v>
      </c>
      <c r="D18" s="72" t="s">
        <v>15</v>
      </c>
      <c r="E18" s="72" t="s">
        <v>722</v>
      </c>
      <c r="F18" s="72">
        <v>1</v>
      </c>
      <c r="G18" s="73">
        <f t="shared" si="5"/>
        <v>70</v>
      </c>
      <c r="H18" s="73">
        <f t="shared" si="0"/>
        <v>70</v>
      </c>
      <c r="I18" s="73">
        <f t="shared" si="1"/>
        <v>70</v>
      </c>
      <c r="J18" s="72" t="s">
        <v>79</v>
      </c>
      <c r="K18" s="74"/>
      <c r="M18" s="79"/>
      <c r="N18" s="80" t="e">
        <f t="shared" si="6"/>
        <v>#N/A</v>
      </c>
      <c r="O18" s="76"/>
      <c r="P18" s="81"/>
      <c r="S18" s="50" t="s">
        <v>14</v>
      </c>
      <c r="T18" s="52">
        <v>55</v>
      </c>
      <c r="U18" s="52">
        <f t="shared" si="3"/>
        <v>22</v>
      </c>
      <c r="Y18" s="91" t="s">
        <v>117</v>
      </c>
      <c r="Z18" s="92">
        <v>4.7504999999999997</v>
      </c>
      <c r="AA18" s="92">
        <f t="shared" si="4"/>
        <v>1.9001999999999999</v>
      </c>
    </row>
    <row r="19" spans="1:28" x14ac:dyDescent="0.25">
      <c r="A19" s="95">
        <v>45506</v>
      </c>
      <c r="B19" s="72" t="s">
        <v>647</v>
      </c>
      <c r="C19" s="72" t="s">
        <v>8</v>
      </c>
      <c r="D19" s="72" t="s">
        <v>15</v>
      </c>
      <c r="E19" s="72" t="s">
        <v>722</v>
      </c>
      <c r="F19" s="72">
        <v>1</v>
      </c>
      <c r="G19" s="73">
        <f t="shared" si="5"/>
        <v>70</v>
      </c>
      <c r="H19" s="73">
        <f t="shared" si="0"/>
        <v>70</v>
      </c>
      <c r="I19" s="73">
        <f t="shared" si="1"/>
        <v>68.326999999999998</v>
      </c>
      <c r="J19" s="72" t="s">
        <v>78</v>
      </c>
      <c r="K19" s="74"/>
      <c r="M19" s="79"/>
      <c r="N19" s="80" t="e">
        <f t="shared" si="6"/>
        <v>#N/A</v>
      </c>
      <c r="O19" s="76"/>
      <c r="P19" s="81"/>
      <c r="S19" s="50" t="s">
        <v>58</v>
      </c>
      <c r="T19" s="52">
        <v>100</v>
      </c>
      <c r="U19" s="52">
        <f t="shared" si="3"/>
        <v>40</v>
      </c>
      <c r="Y19" s="91" t="s">
        <v>119</v>
      </c>
      <c r="Z19" s="92">
        <v>10</v>
      </c>
      <c r="AA19" s="92">
        <f t="shared" si="4"/>
        <v>4</v>
      </c>
    </row>
    <row r="20" spans="1:28" x14ac:dyDescent="0.25">
      <c r="A20" s="95">
        <v>45506</v>
      </c>
      <c r="B20" s="72" t="s">
        <v>723</v>
      </c>
      <c r="C20" s="72" t="s">
        <v>8</v>
      </c>
      <c r="D20" s="72" t="s">
        <v>15</v>
      </c>
      <c r="E20" s="72" t="s">
        <v>722</v>
      </c>
      <c r="F20" s="72">
        <v>1</v>
      </c>
      <c r="G20" s="73">
        <f t="shared" si="5"/>
        <v>70</v>
      </c>
      <c r="H20" s="73">
        <f t="shared" si="0"/>
        <v>70</v>
      </c>
      <c r="I20" s="73">
        <f t="shared" si="1"/>
        <v>70</v>
      </c>
      <c r="J20" s="72" t="s">
        <v>83</v>
      </c>
      <c r="K20" s="74"/>
      <c r="M20" s="79"/>
      <c r="N20" s="80" t="e">
        <f t="shared" si="6"/>
        <v>#N/A</v>
      </c>
      <c r="O20" s="76"/>
      <c r="P20" s="81"/>
      <c r="S20" s="50" t="s">
        <v>30</v>
      </c>
      <c r="T20" s="52">
        <v>90</v>
      </c>
      <c r="U20" s="52">
        <f t="shared" si="3"/>
        <v>36</v>
      </c>
      <c r="Y20" s="91" t="s">
        <v>122</v>
      </c>
      <c r="Z20" s="92">
        <v>10</v>
      </c>
      <c r="AA20" s="92">
        <f t="shared" si="4"/>
        <v>4</v>
      </c>
    </row>
    <row r="21" spans="1:28" x14ac:dyDescent="0.25">
      <c r="A21" s="95">
        <v>45507</v>
      </c>
      <c r="B21" s="72" t="s">
        <v>56</v>
      </c>
      <c r="C21" s="72" t="s">
        <v>8</v>
      </c>
      <c r="D21" s="72" t="s">
        <v>17</v>
      </c>
      <c r="E21" s="72" t="s">
        <v>56</v>
      </c>
      <c r="F21" s="72">
        <v>1</v>
      </c>
      <c r="G21" s="73">
        <f t="shared" si="5"/>
        <v>50</v>
      </c>
      <c r="H21" s="73">
        <f t="shared" si="0"/>
        <v>50</v>
      </c>
      <c r="I21" s="73">
        <f t="shared" si="1"/>
        <v>48.805</v>
      </c>
      <c r="J21" s="72" t="s">
        <v>78</v>
      </c>
      <c r="K21" s="74"/>
      <c r="M21" s="79" t="s">
        <v>17</v>
      </c>
      <c r="N21" s="80">
        <f t="shared" si="6"/>
        <v>20</v>
      </c>
      <c r="O21" s="76">
        <f>N21*F21</f>
        <v>20</v>
      </c>
      <c r="P21" s="81" t="s">
        <v>56</v>
      </c>
      <c r="S21" s="50" t="s">
        <v>447</v>
      </c>
      <c r="T21" s="52">
        <v>180</v>
      </c>
      <c r="U21" s="52">
        <f t="shared" si="3"/>
        <v>72</v>
      </c>
      <c r="Y21" s="91" t="s">
        <v>123</v>
      </c>
      <c r="Z21" s="92">
        <v>9.7609999999999992</v>
      </c>
      <c r="AA21" s="92">
        <f t="shared" si="4"/>
        <v>3.9043999999999999</v>
      </c>
    </row>
    <row r="22" spans="1:28" x14ac:dyDescent="0.25">
      <c r="A22" s="95">
        <v>45507</v>
      </c>
      <c r="B22" s="72" t="s">
        <v>236</v>
      </c>
      <c r="C22" s="72" t="s">
        <v>8</v>
      </c>
      <c r="D22" s="72" t="s">
        <v>17</v>
      </c>
      <c r="E22" s="72" t="s">
        <v>56</v>
      </c>
      <c r="F22" s="72">
        <v>1</v>
      </c>
      <c r="G22" s="73">
        <f t="shared" si="5"/>
        <v>50</v>
      </c>
      <c r="H22" s="73">
        <f t="shared" si="0"/>
        <v>50</v>
      </c>
      <c r="I22" s="73">
        <f t="shared" si="1"/>
        <v>50</v>
      </c>
      <c r="J22" s="72" t="s">
        <v>79</v>
      </c>
      <c r="K22" s="74"/>
      <c r="M22" s="79" t="s">
        <v>17</v>
      </c>
      <c r="N22" s="80">
        <f t="shared" si="6"/>
        <v>20</v>
      </c>
      <c r="O22" s="76">
        <f>N22*F22</f>
        <v>20</v>
      </c>
      <c r="P22" s="81" t="s">
        <v>56</v>
      </c>
      <c r="S22" s="50" t="s">
        <v>43</v>
      </c>
      <c r="T22" s="52">
        <v>130</v>
      </c>
      <c r="U22" s="52">
        <f t="shared" si="3"/>
        <v>52</v>
      </c>
      <c r="Y22" s="91" t="s">
        <v>125</v>
      </c>
      <c r="Z22" s="92">
        <v>9.5009999999999994</v>
      </c>
      <c r="AA22" s="92">
        <f t="shared" si="4"/>
        <v>3.8003999999999998</v>
      </c>
      <c r="AB22" s="92"/>
    </row>
    <row r="23" spans="1:28" x14ac:dyDescent="0.25">
      <c r="A23" s="95">
        <v>45507</v>
      </c>
      <c r="B23" s="72" t="s">
        <v>256</v>
      </c>
      <c r="C23" s="72" t="s">
        <v>8</v>
      </c>
      <c r="D23" s="72" t="s">
        <v>15</v>
      </c>
      <c r="E23" s="72" t="s">
        <v>722</v>
      </c>
      <c r="F23" s="72">
        <v>1</v>
      </c>
      <c r="G23" s="73">
        <f t="shared" si="5"/>
        <v>70</v>
      </c>
      <c r="H23" s="73">
        <f t="shared" si="0"/>
        <v>70</v>
      </c>
      <c r="I23" s="73">
        <f t="shared" si="1"/>
        <v>70</v>
      </c>
      <c r="J23" s="72" t="s">
        <v>79</v>
      </c>
      <c r="K23" s="74"/>
      <c r="M23" s="79"/>
      <c r="N23" s="80" t="e">
        <f t="shared" si="6"/>
        <v>#N/A</v>
      </c>
      <c r="O23" s="76"/>
      <c r="P23" s="81"/>
      <c r="S23" s="50" t="s">
        <v>449</v>
      </c>
      <c r="T23" s="52">
        <v>240</v>
      </c>
      <c r="U23" s="52">
        <f t="shared" si="3"/>
        <v>96</v>
      </c>
      <c r="Y23" s="91" t="s">
        <v>126</v>
      </c>
      <c r="Z23" s="92">
        <v>10</v>
      </c>
      <c r="AA23" s="92">
        <f t="shared" si="4"/>
        <v>4</v>
      </c>
      <c r="AB23" s="92"/>
    </row>
    <row r="24" spans="1:28" x14ac:dyDescent="0.25">
      <c r="A24" s="95">
        <v>45507</v>
      </c>
      <c r="B24" s="72" t="s">
        <v>256</v>
      </c>
      <c r="C24" s="72" t="s">
        <v>8</v>
      </c>
      <c r="D24" s="72" t="s">
        <v>64</v>
      </c>
      <c r="E24" s="72" t="s">
        <v>722</v>
      </c>
      <c r="F24" s="72">
        <v>1</v>
      </c>
      <c r="G24" s="73">
        <f t="shared" si="5"/>
        <v>30</v>
      </c>
      <c r="H24" s="73">
        <f t="shared" si="0"/>
        <v>30</v>
      </c>
      <c r="I24" s="73">
        <f t="shared" si="1"/>
        <v>30</v>
      </c>
      <c r="J24" s="72" t="s">
        <v>79</v>
      </c>
      <c r="K24" s="74"/>
      <c r="M24" s="79"/>
      <c r="N24" s="80" t="e">
        <f t="shared" si="6"/>
        <v>#N/A</v>
      </c>
      <c r="O24" s="76"/>
      <c r="P24" s="81"/>
      <c r="S24" s="50" t="s">
        <v>16</v>
      </c>
      <c r="T24" s="52">
        <v>80</v>
      </c>
      <c r="U24" s="52">
        <f t="shared" si="3"/>
        <v>32</v>
      </c>
      <c r="Y24" s="91" t="s">
        <v>128</v>
      </c>
      <c r="Z24" s="92">
        <v>10</v>
      </c>
      <c r="AA24" s="92">
        <f t="shared" si="4"/>
        <v>4</v>
      </c>
    </row>
    <row r="25" spans="1:28" x14ac:dyDescent="0.25">
      <c r="A25" s="95">
        <v>45507</v>
      </c>
      <c r="B25" s="72" t="s">
        <v>561</v>
      </c>
      <c r="C25" s="72" t="s">
        <v>8</v>
      </c>
      <c r="D25" s="72" t="s">
        <v>17</v>
      </c>
      <c r="E25" s="72" t="s">
        <v>722</v>
      </c>
      <c r="F25" s="72">
        <v>1</v>
      </c>
      <c r="G25" s="73">
        <f t="shared" si="5"/>
        <v>50</v>
      </c>
      <c r="H25" s="73">
        <f t="shared" si="0"/>
        <v>50</v>
      </c>
      <c r="I25" s="73">
        <f t="shared" si="1"/>
        <v>48.805</v>
      </c>
      <c r="J25" s="72" t="s">
        <v>78</v>
      </c>
      <c r="K25" s="74"/>
      <c r="M25" s="79"/>
      <c r="N25" s="80" t="e">
        <f t="shared" si="6"/>
        <v>#N/A</v>
      </c>
      <c r="O25" s="76"/>
      <c r="P25" s="81"/>
      <c r="S25" s="50" t="s">
        <v>121</v>
      </c>
      <c r="T25" s="52">
        <v>130</v>
      </c>
      <c r="U25" s="52">
        <f t="shared" si="3"/>
        <v>52</v>
      </c>
      <c r="Y25" s="91" t="s">
        <v>130</v>
      </c>
      <c r="Z25" s="92">
        <v>9.7609999999999992</v>
      </c>
      <c r="AA25" s="92">
        <f t="shared" si="4"/>
        <v>3.9043999999999999</v>
      </c>
    </row>
    <row r="26" spans="1:28" x14ac:dyDescent="0.25">
      <c r="A26" s="95">
        <v>45507</v>
      </c>
      <c r="B26" s="72" t="s">
        <v>561</v>
      </c>
      <c r="C26" s="72" t="s">
        <v>8</v>
      </c>
      <c r="D26" s="72" t="s">
        <v>23</v>
      </c>
      <c r="E26" s="72" t="s">
        <v>722</v>
      </c>
      <c r="F26" s="72">
        <v>1</v>
      </c>
      <c r="G26" s="73">
        <f t="shared" si="5"/>
        <v>5</v>
      </c>
      <c r="H26" s="73">
        <f t="shared" si="0"/>
        <v>5</v>
      </c>
      <c r="I26" s="73">
        <f t="shared" si="1"/>
        <v>4.8804999999999996</v>
      </c>
      <c r="J26" s="72" t="s">
        <v>78</v>
      </c>
      <c r="K26" s="74"/>
      <c r="M26" s="79"/>
      <c r="N26" s="80" t="e">
        <f t="shared" si="6"/>
        <v>#N/A</v>
      </c>
      <c r="O26" s="76"/>
      <c r="P26" s="81"/>
      <c r="S26" s="50" t="s">
        <v>60</v>
      </c>
      <c r="T26" s="52">
        <v>90</v>
      </c>
      <c r="U26" s="52">
        <f t="shared" si="3"/>
        <v>36</v>
      </c>
      <c r="Y26" s="91" t="s">
        <v>132</v>
      </c>
      <c r="Z26" s="92">
        <v>9.5009999999999994</v>
      </c>
      <c r="AA26" s="92">
        <f t="shared" si="4"/>
        <v>3.8003999999999998</v>
      </c>
    </row>
    <row r="27" spans="1:28" x14ac:dyDescent="0.25">
      <c r="A27" s="95">
        <v>45507</v>
      </c>
      <c r="B27" s="72" t="s">
        <v>724</v>
      </c>
      <c r="C27" s="72" t="s">
        <v>10</v>
      </c>
      <c r="D27" s="72" t="s">
        <v>17</v>
      </c>
      <c r="E27" s="72" t="s">
        <v>56</v>
      </c>
      <c r="F27" s="72">
        <v>1</v>
      </c>
      <c r="G27" s="73">
        <f t="shared" si="5"/>
        <v>50</v>
      </c>
      <c r="H27" s="73">
        <f t="shared" si="0"/>
        <v>50</v>
      </c>
      <c r="I27" s="73">
        <f t="shared" si="1"/>
        <v>50</v>
      </c>
      <c r="J27" s="72" t="s">
        <v>83</v>
      </c>
      <c r="K27" s="74"/>
      <c r="M27" s="79" t="s">
        <v>17</v>
      </c>
      <c r="N27" s="80">
        <f t="shared" si="6"/>
        <v>20</v>
      </c>
      <c r="O27" s="76">
        <f>N27*F27</f>
        <v>20</v>
      </c>
      <c r="P27" s="81" t="s">
        <v>56</v>
      </c>
      <c r="S27" s="50" t="s">
        <v>600</v>
      </c>
      <c r="T27" s="52">
        <v>50</v>
      </c>
      <c r="U27" s="52">
        <f t="shared" si="3"/>
        <v>20</v>
      </c>
      <c r="Y27" s="91" t="s">
        <v>134</v>
      </c>
      <c r="Z27" s="92">
        <v>20</v>
      </c>
      <c r="AA27" s="92">
        <f t="shared" si="4"/>
        <v>8</v>
      </c>
    </row>
    <row r="28" spans="1:28" x14ac:dyDescent="0.25">
      <c r="A28" s="95">
        <v>45507</v>
      </c>
      <c r="B28" s="72" t="s">
        <v>481</v>
      </c>
      <c r="C28" s="72" t="s">
        <v>8</v>
      </c>
      <c r="D28" s="72" t="s">
        <v>17</v>
      </c>
      <c r="E28" s="72" t="s">
        <v>722</v>
      </c>
      <c r="F28" s="72">
        <v>1</v>
      </c>
      <c r="G28" s="73">
        <f t="shared" si="5"/>
        <v>50</v>
      </c>
      <c r="H28" s="73">
        <f t="shared" si="0"/>
        <v>50</v>
      </c>
      <c r="I28" s="73">
        <f t="shared" si="1"/>
        <v>50</v>
      </c>
      <c r="J28" s="72" t="s">
        <v>79</v>
      </c>
      <c r="K28" s="74"/>
      <c r="M28" s="79"/>
      <c r="N28" s="80" t="e">
        <f t="shared" si="6"/>
        <v>#N/A</v>
      </c>
      <c r="O28" s="76"/>
      <c r="P28" s="81"/>
      <c r="S28" s="50" t="s">
        <v>20</v>
      </c>
      <c r="T28" s="52">
        <v>15</v>
      </c>
      <c r="U28" s="52">
        <f t="shared" si="3"/>
        <v>6</v>
      </c>
      <c r="Y28" s="91" t="s">
        <v>136</v>
      </c>
      <c r="Z28" s="92">
        <v>20</v>
      </c>
      <c r="AA28" s="92">
        <f t="shared" si="4"/>
        <v>8</v>
      </c>
      <c r="AB28" s="92"/>
    </row>
    <row r="29" spans="1:28" x14ac:dyDescent="0.25">
      <c r="A29" s="95">
        <v>45507</v>
      </c>
      <c r="B29" s="72" t="s">
        <v>536</v>
      </c>
      <c r="C29" s="72" t="s">
        <v>8</v>
      </c>
      <c r="D29" s="72" t="s">
        <v>18</v>
      </c>
      <c r="E29" s="72" t="s">
        <v>722</v>
      </c>
      <c r="F29" s="72">
        <v>1</v>
      </c>
      <c r="G29" s="73">
        <f t="shared" si="5"/>
        <v>40</v>
      </c>
      <c r="H29" s="73">
        <f t="shared" si="0"/>
        <v>40</v>
      </c>
      <c r="I29" s="73">
        <f t="shared" si="1"/>
        <v>40</v>
      </c>
      <c r="J29" s="72" t="s">
        <v>83</v>
      </c>
      <c r="K29" s="74"/>
      <c r="M29" s="79"/>
      <c r="N29" s="80" t="e">
        <f t="shared" si="6"/>
        <v>#N/A</v>
      </c>
      <c r="O29" s="76"/>
      <c r="P29" s="81"/>
      <c r="S29" s="50" t="s">
        <v>31</v>
      </c>
      <c r="T29" s="52">
        <v>15</v>
      </c>
      <c r="U29" s="52">
        <f t="shared" si="3"/>
        <v>6</v>
      </c>
      <c r="Y29" s="91" t="s">
        <v>137</v>
      </c>
      <c r="Z29" s="92">
        <v>19.521999999999998</v>
      </c>
      <c r="AA29" s="92">
        <f t="shared" si="4"/>
        <v>7.8087999999999997</v>
      </c>
      <c r="AB29" s="92"/>
    </row>
    <row r="30" spans="1:28" x14ac:dyDescent="0.25">
      <c r="A30" s="95">
        <v>45507</v>
      </c>
      <c r="B30" s="72" t="s">
        <v>204</v>
      </c>
      <c r="C30" s="72" t="s">
        <v>8</v>
      </c>
      <c r="D30" s="72" t="s">
        <v>17</v>
      </c>
      <c r="E30" s="72" t="s">
        <v>722</v>
      </c>
      <c r="F30" s="72">
        <v>1</v>
      </c>
      <c r="G30" s="73">
        <f t="shared" si="5"/>
        <v>50</v>
      </c>
      <c r="H30" s="73">
        <f t="shared" si="0"/>
        <v>50</v>
      </c>
      <c r="I30" s="73">
        <f t="shared" si="1"/>
        <v>48.805</v>
      </c>
      <c r="J30" s="72" t="s">
        <v>78</v>
      </c>
      <c r="K30" s="74"/>
      <c r="M30" s="79"/>
      <c r="N30" s="80" t="e">
        <f t="shared" si="6"/>
        <v>#N/A</v>
      </c>
      <c r="O30" s="76"/>
      <c r="P30" s="81"/>
      <c r="S30" s="50" t="s">
        <v>25</v>
      </c>
      <c r="T30" s="52">
        <v>30</v>
      </c>
      <c r="U30" s="52">
        <f t="shared" si="3"/>
        <v>12</v>
      </c>
      <c r="Y30" s="91" t="s">
        <v>139</v>
      </c>
      <c r="Z30" s="92">
        <v>19.001999999999999</v>
      </c>
      <c r="AA30" s="92">
        <f t="shared" si="4"/>
        <v>7.6007999999999996</v>
      </c>
      <c r="AB30" s="92"/>
    </row>
    <row r="31" spans="1:28" x14ac:dyDescent="0.25">
      <c r="A31" s="95">
        <v>45507</v>
      </c>
      <c r="B31" s="72" t="s">
        <v>725</v>
      </c>
      <c r="C31" s="72" t="s">
        <v>10</v>
      </c>
      <c r="D31" s="72" t="s">
        <v>16</v>
      </c>
      <c r="E31" s="72" t="s">
        <v>56</v>
      </c>
      <c r="F31" s="72">
        <v>1</v>
      </c>
      <c r="G31" s="73">
        <f t="shared" si="5"/>
        <v>80</v>
      </c>
      <c r="H31" s="73">
        <f t="shared" si="0"/>
        <v>80</v>
      </c>
      <c r="I31" s="73">
        <f t="shared" si="1"/>
        <v>76.007999999999996</v>
      </c>
      <c r="J31" s="72" t="s">
        <v>86</v>
      </c>
      <c r="K31" s="74"/>
      <c r="M31" s="79" t="s">
        <v>16</v>
      </c>
      <c r="N31" s="80">
        <f t="shared" si="6"/>
        <v>32</v>
      </c>
      <c r="O31" s="76">
        <f>N31*F31</f>
        <v>32</v>
      </c>
      <c r="P31" s="81" t="s">
        <v>56</v>
      </c>
      <c r="Q31" s="106">
        <f>SUM(O3:O31)</f>
        <v>193.5</v>
      </c>
      <c r="S31" s="50" t="s">
        <v>131</v>
      </c>
      <c r="T31" s="52">
        <v>30</v>
      </c>
      <c r="U31" s="52">
        <f t="shared" ref="U31:U64" si="7">T31*0.1</f>
        <v>3</v>
      </c>
      <c r="Y31" s="91" t="s">
        <v>141</v>
      </c>
      <c r="Z31" s="92">
        <v>40</v>
      </c>
      <c r="AA31" s="92">
        <f t="shared" si="4"/>
        <v>16</v>
      </c>
    </row>
    <row r="32" spans="1:28" x14ac:dyDescent="0.25">
      <c r="A32" s="95">
        <v>45507</v>
      </c>
      <c r="B32" s="72" t="s">
        <v>204</v>
      </c>
      <c r="C32" s="72" t="s">
        <v>8</v>
      </c>
      <c r="D32" s="72" t="s">
        <v>17</v>
      </c>
      <c r="E32" s="72" t="s">
        <v>722</v>
      </c>
      <c r="F32" s="72">
        <v>1</v>
      </c>
      <c r="G32" s="73">
        <f t="shared" si="5"/>
        <v>50</v>
      </c>
      <c r="H32" s="73">
        <f t="shared" si="0"/>
        <v>50</v>
      </c>
      <c r="I32" s="73">
        <f t="shared" si="1"/>
        <v>48.805</v>
      </c>
      <c r="J32" s="72" t="s">
        <v>78</v>
      </c>
      <c r="K32" s="74"/>
      <c r="M32" s="79"/>
      <c r="N32" s="80" t="e">
        <f t="shared" si="6"/>
        <v>#N/A</v>
      </c>
      <c r="O32" s="76"/>
      <c r="P32" s="81"/>
      <c r="S32" s="50" t="s">
        <v>64</v>
      </c>
      <c r="T32" s="52">
        <v>30</v>
      </c>
      <c r="U32" s="52">
        <f t="shared" si="7"/>
        <v>3</v>
      </c>
      <c r="Y32" s="91" t="s">
        <v>144</v>
      </c>
      <c r="Z32" s="92">
        <v>40</v>
      </c>
      <c r="AA32" s="92">
        <f t="shared" si="4"/>
        <v>16</v>
      </c>
    </row>
    <row r="33" spans="1:27" x14ac:dyDescent="0.25">
      <c r="A33" s="95">
        <v>45507</v>
      </c>
      <c r="B33" s="72" t="s">
        <v>637</v>
      </c>
      <c r="C33" s="72" t="s">
        <v>8</v>
      </c>
      <c r="D33" s="72" t="s">
        <v>18</v>
      </c>
      <c r="E33" s="72" t="s">
        <v>722</v>
      </c>
      <c r="F33" s="72">
        <v>1</v>
      </c>
      <c r="G33" s="73">
        <f t="shared" si="5"/>
        <v>40</v>
      </c>
      <c r="H33" s="73">
        <f t="shared" si="0"/>
        <v>40</v>
      </c>
      <c r="I33" s="73">
        <f t="shared" si="1"/>
        <v>40</v>
      </c>
      <c r="J33" s="72" t="s">
        <v>83</v>
      </c>
      <c r="K33" s="74"/>
      <c r="M33" s="79"/>
      <c r="N33" s="80" t="e">
        <f t="shared" si="6"/>
        <v>#N/A</v>
      </c>
      <c r="O33" s="76"/>
      <c r="P33" s="81"/>
      <c r="S33" s="50" t="s">
        <v>97</v>
      </c>
      <c r="T33" s="52">
        <v>30</v>
      </c>
      <c r="U33" s="52">
        <f t="shared" si="7"/>
        <v>3</v>
      </c>
      <c r="Y33" s="91" t="s">
        <v>146</v>
      </c>
      <c r="Z33" s="92">
        <v>39.043999999999997</v>
      </c>
      <c r="AA33" s="92">
        <f t="shared" si="4"/>
        <v>15.617599999999999</v>
      </c>
    </row>
    <row r="34" spans="1:27" x14ac:dyDescent="0.25">
      <c r="A34" s="95">
        <v>45510</v>
      </c>
      <c r="B34" s="72" t="s">
        <v>308</v>
      </c>
      <c r="C34" s="72" t="s">
        <v>8</v>
      </c>
      <c r="D34" s="72" t="s">
        <v>18</v>
      </c>
      <c r="E34" s="72" t="s">
        <v>56</v>
      </c>
      <c r="F34" s="72">
        <v>1</v>
      </c>
      <c r="G34" s="73">
        <f t="shared" si="5"/>
        <v>40</v>
      </c>
      <c r="H34" s="73">
        <f t="shared" si="0"/>
        <v>40</v>
      </c>
      <c r="I34" s="73">
        <f t="shared" si="1"/>
        <v>38.003999999999998</v>
      </c>
      <c r="J34" s="72" t="s">
        <v>86</v>
      </c>
      <c r="K34" s="74"/>
      <c r="M34" s="79" t="s">
        <v>18</v>
      </c>
      <c r="N34" s="80">
        <f t="shared" si="6"/>
        <v>16</v>
      </c>
      <c r="O34" s="76">
        <f>N34*F34</f>
        <v>16</v>
      </c>
      <c r="P34" s="81" t="s">
        <v>56</v>
      </c>
      <c r="S34" s="50" t="s">
        <v>603</v>
      </c>
      <c r="T34" s="52">
        <v>35</v>
      </c>
      <c r="U34" s="52">
        <f t="shared" si="7"/>
        <v>3.5</v>
      </c>
      <c r="Y34" s="91" t="s">
        <v>148</v>
      </c>
      <c r="Z34" s="92">
        <v>38.003999999999998</v>
      </c>
      <c r="AA34" s="92">
        <f t="shared" si="4"/>
        <v>15.201599999999999</v>
      </c>
    </row>
    <row r="35" spans="1:27" x14ac:dyDescent="0.25">
      <c r="A35" s="95">
        <v>45510</v>
      </c>
      <c r="B35" s="72" t="s">
        <v>512</v>
      </c>
      <c r="C35" s="72" t="s">
        <v>8</v>
      </c>
      <c r="D35" s="72" t="s">
        <v>18</v>
      </c>
      <c r="E35" s="72" t="s">
        <v>722</v>
      </c>
      <c r="F35" s="72">
        <v>1</v>
      </c>
      <c r="G35" s="73">
        <v>35</v>
      </c>
      <c r="H35" s="73">
        <f t="shared" ref="H35:H66" si="8">F35*G35</f>
        <v>35</v>
      </c>
      <c r="I35" s="73">
        <f t="shared" si="1"/>
        <v>34.163499999999999</v>
      </c>
      <c r="J35" s="72" t="s">
        <v>78</v>
      </c>
      <c r="K35" s="74"/>
      <c r="M35" s="79"/>
      <c r="N35" s="80" t="e">
        <f t="shared" si="6"/>
        <v>#N/A</v>
      </c>
      <c r="O35" s="76"/>
      <c r="P35" s="81"/>
      <c r="S35" s="50" t="s">
        <v>607</v>
      </c>
      <c r="T35" s="52">
        <v>35</v>
      </c>
      <c r="U35" s="52">
        <f t="shared" si="7"/>
        <v>3.5</v>
      </c>
      <c r="Y35" s="91" t="s">
        <v>150</v>
      </c>
      <c r="Z35" s="92">
        <v>30</v>
      </c>
      <c r="AA35" s="92">
        <f t="shared" ref="AA35:AA66" si="9">Z35*0.4</f>
        <v>12</v>
      </c>
    </row>
    <row r="36" spans="1:27" x14ac:dyDescent="0.25">
      <c r="A36" s="95">
        <v>45510</v>
      </c>
      <c r="B36" s="72" t="s">
        <v>281</v>
      </c>
      <c r="C36" s="72" t="s">
        <v>8</v>
      </c>
      <c r="D36" s="72" t="s">
        <v>18</v>
      </c>
      <c r="E36" s="72" t="s">
        <v>722</v>
      </c>
      <c r="F36" s="72">
        <v>1</v>
      </c>
      <c r="G36" s="73">
        <v>35</v>
      </c>
      <c r="H36" s="73">
        <f t="shared" si="8"/>
        <v>35</v>
      </c>
      <c r="I36" s="73">
        <f t="shared" si="1"/>
        <v>35</v>
      </c>
      <c r="J36" s="72" t="s">
        <v>83</v>
      </c>
      <c r="K36" s="74"/>
      <c r="M36" s="79"/>
      <c r="N36" s="80" t="e">
        <f t="shared" si="6"/>
        <v>#N/A</v>
      </c>
      <c r="O36" s="76"/>
      <c r="P36" s="81"/>
      <c r="S36" s="50" t="s">
        <v>608</v>
      </c>
      <c r="T36" s="52">
        <v>35</v>
      </c>
      <c r="U36" s="52">
        <f t="shared" si="7"/>
        <v>3.5</v>
      </c>
      <c r="Y36" s="91" t="s">
        <v>153</v>
      </c>
      <c r="Z36" s="92">
        <v>30</v>
      </c>
      <c r="AA36" s="92">
        <f t="shared" si="9"/>
        <v>12</v>
      </c>
    </row>
    <row r="37" spans="1:27" x14ac:dyDescent="0.25">
      <c r="A37" s="95">
        <v>45510</v>
      </c>
      <c r="B37" s="72" t="s">
        <v>545</v>
      </c>
      <c r="C37" s="72" t="s">
        <v>8</v>
      </c>
      <c r="D37" s="72" t="s">
        <v>17</v>
      </c>
      <c r="E37" s="72" t="s">
        <v>722</v>
      </c>
      <c r="F37" s="72">
        <v>1</v>
      </c>
      <c r="G37" s="73">
        <f t="shared" ref="G37:G49" si="10">VLOOKUP(D37,$S$3:$T$64,2,0)</f>
        <v>50</v>
      </c>
      <c r="H37" s="73">
        <f t="shared" si="8"/>
        <v>50</v>
      </c>
      <c r="I37" s="73">
        <f t="shared" si="1"/>
        <v>48.805</v>
      </c>
      <c r="J37" s="72" t="s">
        <v>78</v>
      </c>
      <c r="K37" s="74"/>
      <c r="M37" s="79"/>
      <c r="N37" s="80" t="e">
        <f t="shared" si="6"/>
        <v>#N/A</v>
      </c>
      <c r="O37" s="76"/>
      <c r="P37" s="81"/>
      <c r="S37" s="50" t="s">
        <v>39</v>
      </c>
      <c r="T37" s="52">
        <v>10</v>
      </c>
      <c r="U37" s="52">
        <f t="shared" si="7"/>
        <v>1</v>
      </c>
      <c r="Y37" s="91" t="s">
        <v>154</v>
      </c>
      <c r="Z37" s="92">
        <v>29.283000000000001</v>
      </c>
      <c r="AA37" s="92">
        <f t="shared" si="9"/>
        <v>11.713200000000001</v>
      </c>
    </row>
    <row r="38" spans="1:27" x14ac:dyDescent="0.25">
      <c r="A38" s="95">
        <v>45510</v>
      </c>
      <c r="B38" s="72" t="s">
        <v>182</v>
      </c>
      <c r="C38" s="72" t="s">
        <v>8</v>
      </c>
      <c r="D38" s="72" t="s">
        <v>40</v>
      </c>
      <c r="E38" s="72" t="s">
        <v>722</v>
      </c>
      <c r="F38" s="72">
        <v>1</v>
      </c>
      <c r="G38" s="73">
        <f t="shared" si="10"/>
        <v>45</v>
      </c>
      <c r="H38" s="73">
        <f t="shared" si="8"/>
        <v>45</v>
      </c>
      <c r="I38" s="73">
        <f t="shared" si="1"/>
        <v>45</v>
      </c>
      <c r="J38" s="72" t="s">
        <v>79</v>
      </c>
      <c r="K38" s="74"/>
      <c r="M38" s="79"/>
      <c r="N38" s="80" t="e">
        <f t="shared" si="6"/>
        <v>#N/A</v>
      </c>
      <c r="O38" s="76"/>
      <c r="P38" s="81"/>
      <c r="S38" s="50" t="s">
        <v>63</v>
      </c>
      <c r="T38" s="52">
        <v>20</v>
      </c>
      <c r="U38" s="52">
        <f t="shared" si="7"/>
        <v>2</v>
      </c>
      <c r="Y38" s="91" t="s">
        <v>156</v>
      </c>
      <c r="Z38" s="92">
        <v>28.503</v>
      </c>
      <c r="AA38" s="92">
        <f t="shared" si="9"/>
        <v>11.401200000000001</v>
      </c>
    </row>
    <row r="39" spans="1:27" x14ac:dyDescent="0.25">
      <c r="A39" s="95">
        <v>45510</v>
      </c>
      <c r="B39" s="72" t="s">
        <v>182</v>
      </c>
      <c r="C39" s="72" t="s">
        <v>8</v>
      </c>
      <c r="D39" s="72" t="s">
        <v>63</v>
      </c>
      <c r="E39" s="72" t="s">
        <v>722</v>
      </c>
      <c r="F39" s="72">
        <v>1</v>
      </c>
      <c r="G39" s="73">
        <f t="shared" si="10"/>
        <v>20</v>
      </c>
      <c r="H39" s="73">
        <f t="shared" si="8"/>
        <v>20</v>
      </c>
      <c r="I39" s="73">
        <f t="shared" si="1"/>
        <v>20</v>
      </c>
      <c r="J39" s="72" t="s">
        <v>79</v>
      </c>
      <c r="K39" s="74"/>
      <c r="M39" s="79"/>
      <c r="N39" s="80" t="e">
        <f t="shared" si="6"/>
        <v>#N/A</v>
      </c>
      <c r="O39" s="76"/>
      <c r="P39" s="81"/>
      <c r="S39" s="50" t="s">
        <v>34</v>
      </c>
      <c r="T39" s="52">
        <v>10</v>
      </c>
      <c r="U39" s="52">
        <f t="shared" si="7"/>
        <v>1</v>
      </c>
      <c r="Y39" s="91" t="s">
        <v>158</v>
      </c>
      <c r="Z39" s="92">
        <v>60</v>
      </c>
      <c r="AA39" s="92">
        <f t="shared" si="9"/>
        <v>24</v>
      </c>
    </row>
    <row r="40" spans="1:27" x14ac:dyDescent="0.25">
      <c r="A40" s="95">
        <v>45510</v>
      </c>
      <c r="B40" s="72" t="s">
        <v>476</v>
      </c>
      <c r="C40" s="72" t="s">
        <v>8</v>
      </c>
      <c r="D40" s="72" t="s">
        <v>18</v>
      </c>
      <c r="E40" s="72" t="s">
        <v>56</v>
      </c>
      <c r="F40" s="72">
        <v>1</v>
      </c>
      <c r="G40" s="73">
        <f t="shared" si="10"/>
        <v>40</v>
      </c>
      <c r="H40" s="73">
        <f t="shared" si="8"/>
        <v>40</v>
      </c>
      <c r="I40" s="73">
        <f t="shared" si="1"/>
        <v>39.043999999999997</v>
      </c>
      <c r="J40" s="72" t="s">
        <v>78</v>
      </c>
      <c r="K40" s="74"/>
      <c r="M40" s="79" t="s">
        <v>18</v>
      </c>
      <c r="N40" s="80">
        <f t="shared" si="6"/>
        <v>16</v>
      </c>
      <c r="O40" s="76">
        <f>N40*F40</f>
        <v>16</v>
      </c>
      <c r="P40" s="81" t="s">
        <v>56</v>
      </c>
      <c r="S40" s="50" t="s">
        <v>36</v>
      </c>
      <c r="T40" s="52">
        <v>30</v>
      </c>
      <c r="U40" s="52">
        <f t="shared" si="7"/>
        <v>3</v>
      </c>
      <c r="Y40" s="91" t="s">
        <v>161</v>
      </c>
      <c r="Z40" s="92">
        <v>60</v>
      </c>
      <c r="AA40" s="92">
        <f t="shared" si="9"/>
        <v>24</v>
      </c>
    </row>
    <row r="41" spans="1:27" x14ac:dyDescent="0.25">
      <c r="A41" s="95">
        <v>45510</v>
      </c>
      <c r="B41" s="72" t="s">
        <v>561</v>
      </c>
      <c r="C41" s="72" t="s">
        <v>8</v>
      </c>
      <c r="D41" s="72" t="s">
        <v>17</v>
      </c>
      <c r="E41" s="72" t="s">
        <v>56</v>
      </c>
      <c r="F41" s="72">
        <v>1</v>
      </c>
      <c r="G41" s="73">
        <f t="shared" si="10"/>
        <v>50</v>
      </c>
      <c r="H41" s="73">
        <f t="shared" si="8"/>
        <v>50</v>
      </c>
      <c r="I41" s="73">
        <f t="shared" si="1"/>
        <v>48.805</v>
      </c>
      <c r="J41" s="72" t="s">
        <v>78</v>
      </c>
      <c r="K41" s="74"/>
      <c r="M41" s="79" t="s">
        <v>17</v>
      </c>
      <c r="N41" s="80">
        <f t="shared" si="6"/>
        <v>20</v>
      </c>
      <c r="O41" s="76">
        <f>N41*F41</f>
        <v>20</v>
      </c>
      <c r="P41" s="81" t="s">
        <v>56</v>
      </c>
      <c r="S41" s="50" t="s">
        <v>143</v>
      </c>
      <c r="T41" s="52">
        <v>35</v>
      </c>
      <c r="U41" s="52">
        <f t="shared" si="7"/>
        <v>3.5</v>
      </c>
      <c r="Y41" s="91" t="s">
        <v>163</v>
      </c>
      <c r="Z41" s="92">
        <v>58.566000000000003</v>
      </c>
      <c r="AA41" s="92">
        <f t="shared" si="9"/>
        <v>23.426400000000001</v>
      </c>
    </row>
    <row r="42" spans="1:27" x14ac:dyDescent="0.25">
      <c r="A42" s="95">
        <v>45510</v>
      </c>
      <c r="B42" s="72" t="s">
        <v>726</v>
      </c>
      <c r="C42" s="72" t="s">
        <v>8</v>
      </c>
      <c r="D42" s="72" t="s">
        <v>40</v>
      </c>
      <c r="E42" s="72" t="s">
        <v>56</v>
      </c>
      <c r="F42" s="72">
        <v>1</v>
      </c>
      <c r="G42" s="73">
        <f t="shared" si="10"/>
        <v>45</v>
      </c>
      <c r="H42" s="73">
        <f t="shared" si="8"/>
        <v>45</v>
      </c>
      <c r="I42" s="73">
        <f t="shared" si="1"/>
        <v>43.924500000000002</v>
      </c>
      <c r="J42" s="72" t="s">
        <v>78</v>
      </c>
      <c r="K42" s="74"/>
      <c r="M42" s="79" t="s">
        <v>40</v>
      </c>
      <c r="N42" s="80">
        <f t="shared" ref="N42:N63" si="11">VLOOKUP(M42,$S$3:$U$64,3,0)</f>
        <v>18</v>
      </c>
      <c r="O42" s="76">
        <f>N42*F42</f>
        <v>18</v>
      </c>
      <c r="P42" s="81" t="s">
        <v>56</v>
      </c>
      <c r="S42" s="50" t="s">
        <v>33</v>
      </c>
      <c r="T42" s="52">
        <v>35</v>
      </c>
      <c r="U42" s="52">
        <f t="shared" si="7"/>
        <v>3.5</v>
      </c>
      <c r="Y42" s="91" t="s">
        <v>165</v>
      </c>
      <c r="Z42" s="92">
        <v>57.006</v>
      </c>
      <c r="AA42" s="92">
        <f t="shared" si="9"/>
        <v>22.802400000000002</v>
      </c>
    </row>
    <row r="43" spans="1:27" x14ac:dyDescent="0.25">
      <c r="A43" s="95">
        <v>45511</v>
      </c>
      <c r="B43" s="72" t="s">
        <v>727</v>
      </c>
      <c r="C43" s="72" t="s">
        <v>10</v>
      </c>
      <c r="D43" s="72" t="s">
        <v>17</v>
      </c>
      <c r="E43" s="72" t="s">
        <v>56</v>
      </c>
      <c r="F43" s="72">
        <v>1</v>
      </c>
      <c r="G43" s="73">
        <f t="shared" si="10"/>
        <v>50</v>
      </c>
      <c r="H43" s="73">
        <f t="shared" si="8"/>
        <v>50</v>
      </c>
      <c r="I43" s="73">
        <f t="shared" si="1"/>
        <v>48.805</v>
      </c>
      <c r="J43" s="72" t="s">
        <v>78</v>
      </c>
      <c r="K43" s="74"/>
      <c r="M43" s="79" t="s">
        <v>17</v>
      </c>
      <c r="N43" s="80">
        <f t="shared" si="11"/>
        <v>20</v>
      </c>
      <c r="O43" s="76">
        <f>N43*F43</f>
        <v>20</v>
      </c>
      <c r="P43" s="81" t="s">
        <v>56</v>
      </c>
      <c r="S43" s="50" t="s">
        <v>26</v>
      </c>
      <c r="T43" s="52">
        <v>35</v>
      </c>
      <c r="U43" s="52">
        <f t="shared" si="7"/>
        <v>3.5</v>
      </c>
      <c r="Y43" s="91" t="s">
        <v>167</v>
      </c>
      <c r="Z43" s="92">
        <v>15</v>
      </c>
      <c r="AA43" s="92">
        <f t="shared" si="9"/>
        <v>6</v>
      </c>
    </row>
    <row r="44" spans="1:27" x14ac:dyDescent="0.25">
      <c r="A44" s="95">
        <v>45511</v>
      </c>
      <c r="B44" s="72" t="s">
        <v>610</v>
      </c>
      <c r="C44" s="72" t="s">
        <v>10</v>
      </c>
      <c r="D44" s="72" t="s">
        <v>18</v>
      </c>
      <c r="E44" s="72" t="s">
        <v>722</v>
      </c>
      <c r="F44" s="72">
        <v>1</v>
      </c>
      <c r="G44" s="73">
        <f t="shared" si="10"/>
        <v>40</v>
      </c>
      <c r="H44" s="73">
        <f t="shared" si="8"/>
        <v>40</v>
      </c>
      <c r="I44" s="73">
        <f t="shared" si="1"/>
        <v>39.043999999999997</v>
      </c>
      <c r="J44" s="72" t="s">
        <v>78</v>
      </c>
      <c r="K44" s="74"/>
      <c r="M44" s="79"/>
      <c r="N44" s="80" t="e">
        <f t="shared" si="11"/>
        <v>#N/A</v>
      </c>
      <c r="O44" s="76"/>
      <c r="P44" s="81"/>
      <c r="S44" s="50" t="s">
        <v>61</v>
      </c>
      <c r="T44" s="52">
        <v>35</v>
      </c>
      <c r="U44" s="52">
        <f t="shared" si="7"/>
        <v>3.5</v>
      </c>
      <c r="Y44" s="91" t="s">
        <v>169</v>
      </c>
      <c r="Z44" s="92">
        <v>15</v>
      </c>
      <c r="AA44" s="92">
        <f t="shared" si="9"/>
        <v>6</v>
      </c>
    </row>
    <row r="45" spans="1:27" x14ac:dyDescent="0.25">
      <c r="A45" s="95">
        <v>45511</v>
      </c>
      <c r="B45" s="72" t="s">
        <v>728</v>
      </c>
      <c r="C45" s="72" t="s">
        <v>8</v>
      </c>
      <c r="D45" s="72" t="s">
        <v>17</v>
      </c>
      <c r="E45" s="72" t="s">
        <v>722</v>
      </c>
      <c r="F45" s="72">
        <v>1</v>
      </c>
      <c r="G45" s="73">
        <f t="shared" si="10"/>
        <v>50</v>
      </c>
      <c r="H45" s="73">
        <f t="shared" si="8"/>
        <v>50</v>
      </c>
      <c r="I45" s="73">
        <f t="shared" si="1"/>
        <v>50</v>
      </c>
      <c r="J45" s="72" t="s">
        <v>83</v>
      </c>
      <c r="K45" s="74"/>
      <c r="M45" s="79"/>
      <c r="N45" s="80" t="e">
        <f t="shared" si="11"/>
        <v>#N/A</v>
      </c>
      <c r="O45" s="76"/>
      <c r="P45" s="81"/>
      <c r="S45" s="50" t="s">
        <v>152</v>
      </c>
      <c r="T45" s="52">
        <v>60</v>
      </c>
      <c r="U45" s="52">
        <f t="shared" si="7"/>
        <v>6</v>
      </c>
      <c r="Y45" s="91" t="s">
        <v>171</v>
      </c>
      <c r="Z45" s="92">
        <v>14.641500000000001</v>
      </c>
      <c r="AA45" s="92">
        <f t="shared" si="9"/>
        <v>5.8566000000000003</v>
      </c>
    </row>
    <row r="46" spans="1:27" x14ac:dyDescent="0.25">
      <c r="A46" s="95">
        <v>45511</v>
      </c>
      <c r="B46" s="72" t="s">
        <v>460</v>
      </c>
      <c r="C46" s="72" t="s">
        <v>9</v>
      </c>
      <c r="D46" s="72" t="s">
        <v>22</v>
      </c>
      <c r="E46" s="72" t="s">
        <v>56</v>
      </c>
      <c r="F46" s="72">
        <v>1</v>
      </c>
      <c r="G46" s="73">
        <f t="shared" si="10"/>
        <v>30</v>
      </c>
      <c r="H46" s="73">
        <f t="shared" si="8"/>
        <v>30</v>
      </c>
      <c r="I46" s="73">
        <f t="shared" si="1"/>
        <v>30</v>
      </c>
      <c r="J46" s="72" t="s">
        <v>83</v>
      </c>
      <c r="K46" s="74"/>
      <c r="M46" s="79" t="s">
        <v>22</v>
      </c>
      <c r="N46" s="80">
        <f t="shared" si="11"/>
        <v>12</v>
      </c>
      <c r="O46" s="76">
        <f>N46*F46</f>
        <v>12</v>
      </c>
      <c r="P46" s="81" t="s">
        <v>56</v>
      </c>
      <c r="S46" s="50" t="s">
        <v>62</v>
      </c>
      <c r="T46" s="52">
        <v>20</v>
      </c>
      <c r="U46" s="52">
        <f t="shared" si="7"/>
        <v>2</v>
      </c>
      <c r="Y46" s="91" t="s">
        <v>173</v>
      </c>
      <c r="Z46" s="92">
        <v>14.2515</v>
      </c>
      <c r="AA46" s="92">
        <f t="shared" si="9"/>
        <v>5.7006000000000006</v>
      </c>
    </row>
    <row r="47" spans="1:27" x14ac:dyDescent="0.25">
      <c r="A47" s="95">
        <v>45511</v>
      </c>
      <c r="B47" s="72" t="s">
        <v>344</v>
      </c>
      <c r="C47" s="72" t="s">
        <v>9</v>
      </c>
      <c r="D47" s="72" t="s">
        <v>18</v>
      </c>
      <c r="E47" s="72" t="s">
        <v>56</v>
      </c>
      <c r="F47" s="72">
        <v>1</v>
      </c>
      <c r="G47" s="73">
        <f t="shared" si="10"/>
        <v>40</v>
      </c>
      <c r="H47" s="73">
        <f t="shared" si="8"/>
        <v>40</v>
      </c>
      <c r="I47" s="73">
        <f t="shared" si="1"/>
        <v>40</v>
      </c>
      <c r="J47" s="72" t="s">
        <v>83</v>
      </c>
      <c r="K47" s="74"/>
      <c r="M47" s="79" t="s">
        <v>18</v>
      </c>
      <c r="N47" s="80">
        <f t="shared" si="11"/>
        <v>16</v>
      </c>
      <c r="O47" s="76">
        <f>N47*F47</f>
        <v>16</v>
      </c>
      <c r="P47" s="81" t="s">
        <v>56</v>
      </c>
      <c r="S47" s="50" t="s">
        <v>47</v>
      </c>
      <c r="T47" s="52">
        <v>65</v>
      </c>
      <c r="U47" s="52">
        <f t="shared" si="7"/>
        <v>6.5</v>
      </c>
      <c r="Y47" s="91" t="s">
        <v>176</v>
      </c>
      <c r="Z47" s="92">
        <v>70</v>
      </c>
      <c r="AA47" s="92">
        <f t="shared" si="9"/>
        <v>28</v>
      </c>
    </row>
    <row r="48" spans="1:27" x14ac:dyDescent="0.25">
      <c r="A48" s="95">
        <v>45511</v>
      </c>
      <c r="B48" s="72" t="s">
        <v>344</v>
      </c>
      <c r="C48" s="72" t="s">
        <v>9</v>
      </c>
      <c r="D48" s="72" t="s">
        <v>26</v>
      </c>
      <c r="E48" s="72" t="s">
        <v>56</v>
      </c>
      <c r="F48" s="72">
        <v>1</v>
      </c>
      <c r="G48" s="73">
        <f t="shared" si="10"/>
        <v>35</v>
      </c>
      <c r="H48" s="73">
        <f t="shared" si="8"/>
        <v>35</v>
      </c>
      <c r="I48" s="73">
        <f t="shared" si="1"/>
        <v>35</v>
      </c>
      <c r="J48" s="72" t="s">
        <v>83</v>
      </c>
      <c r="K48" s="74"/>
      <c r="M48" s="79" t="s">
        <v>26</v>
      </c>
      <c r="N48" s="80">
        <f t="shared" si="11"/>
        <v>3.5</v>
      </c>
      <c r="O48" s="76">
        <f>N48*F48</f>
        <v>3.5</v>
      </c>
      <c r="P48" s="81" t="s">
        <v>56</v>
      </c>
      <c r="S48" s="50" t="s">
        <v>57</v>
      </c>
      <c r="T48" s="52">
        <v>40</v>
      </c>
      <c r="U48" s="52">
        <f t="shared" si="7"/>
        <v>4</v>
      </c>
      <c r="Y48" s="91" t="s">
        <v>177</v>
      </c>
      <c r="Z48" s="92">
        <v>70</v>
      </c>
      <c r="AA48" s="92">
        <f t="shared" si="9"/>
        <v>28</v>
      </c>
    </row>
    <row r="49" spans="1:27" x14ac:dyDescent="0.25">
      <c r="A49" s="95">
        <v>45511</v>
      </c>
      <c r="B49" s="72" t="s">
        <v>578</v>
      </c>
      <c r="C49" s="72" t="s">
        <v>8</v>
      </c>
      <c r="D49" s="72" t="s">
        <v>17</v>
      </c>
      <c r="E49" s="72" t="s">
        <v>722</v>
      </c>
      <c r="F49" s="72">
        <v>1</v>
      </c>
      <c r="G49" s="73">
        <f t="shared" si="10"/>
        <v>50</v>
      </c>
      <c r="H49" s="73">
        <f t="shared" si="8"/>
        <v>50</v>
      </c>
      <c r="I49" s="73">
        <f t="shared" si="1"/>
        <v>50</v>
      </c>
      <c r="J49" s="72" t="s">
        <v>79</v>
      </c>
      <c r="K49" s="74"/>
      <c r="M49" s="79"/>
      <c r="N49" s="80" t="e">
        <f t="shared" si="11"/>
        <v>#N/A</v>
      </c>
      <c r="O49" s="76"/>
      <c r="P49" s="81"/>
      <c r="S49" s="50" t="s">
        <v>59</v>
      </c>
      <c r="T49" s="52"/>
      <c r="U49" s="52">
        <f t="shared" si="7"/>
        <v>0</v>
      </c>
      <c r="Y49" s="91" t="s">
        <v>180</v>
      </c>
      <c r="Z49" s="92">
        <v>68.326999999999998</v>
      </c>
      <c r="AA49" s="92">
        <f t="shared" si="9"/>
        <v>27.3308</v>
      </c>
    </row>
    <row r="50" spans="1:27" x14ac:dyDescent="0.25">
      <c r="A50" s="95">
        <v>45511</v>
      </c>
      <c r="B50" s="72" t="s">
        <v>573</v>
      </c>
      <c r="C50" s="72" t="s">
        <v>8</v>
      </c>
      <c r="D50" s="72" t="s">
        <v>58</v>
      </c>
      <c r="E50" s="72" t="s">
        <v>722</v>
      </c>
      <c r="F50" s="72">
        <v>1</v>
      </c>
      <c r="G50" s="73">
        <v>80</v>
      </c>
      <c r="H50" s="73">
        <f t="shared" si="8"/>
        <v>80</v>
      </c>
      <c r="I50" s="73">
        <f t="shared" si="1"/>
        <v>76.007999999999996</v>
      </c>
      <c r="J50" s="72" t="s">
        <v>86</v>
      </c>
      <c r="K50" s="74"/>
      <c r="M50" s="79"/>
      <c r="N50" s="80" t="e">
        <f t="shared" si="11"/>
        <v>#N/A</v>
      </c>
      <c r="O50" s="76"/>
      <c r="P50" s="81"/>
      <c r="S50" s="50" t="s">
        <v>160</v>
      </c>
      <c r="T50" s="52">
        <v>12</v>
      </c>
      <c r="U50" s="52">
        <f t="shared" si="7"/>
        <v>1.2000000000000002</v>
      </c>
      <c r="Y50" s="91" t="s">
        <v>181</v>
      </c>
      <c r="Z50" s="92">
        <v>66.507000000000005</v>
      </c>
      <c r="AA50" s="92">
        <f t="shared" si="9"/>
        <v>26.602800000000002</v>
      </c>
    </row>
    <row r="51" spans="1:27" x14ac:dyDescent="0.25">
      <c r="A51" s="95">
        <v>45511</v>
      </c>
      <c r="B51" s="72" t="s">
        <v>573</v>
      </c>
      <c r="C51" s="72" t="s">
        <v>8</v>
      </c>
      <c r="D51" s="72" t="s">
        <v>36</v>
      </c>
      <c r="E51" s="72" t="s">
        <v>722</v>
      </c>
      <c r="F51" s="72">
        <v>1</v>
      </c>
      <c r="G51" s="73">
        <v>30</v>
      </c>
      <c r="H51" s="73">
        <f t="shared" si="8"/>
        <v>30</v>
      </c>
      <c r="I51" s="73">
        <f t="shared" si="1"/>
        <v>28.503</v>
      </c>
      <c r="J51" s="72" t="s">
        <v>86</v>
      </c>
      <c r="K51" s="74"/>
      <c r="M51" s="72"/>
      <c r="N51" s="80" t="e">
        <f t="shared" si="11"/>
        <v>#N/A</v>
      </c>
      <c r="O51" s="76"/>
      <c r="P51" s="81"/>
      <c r="S51" s="50" t="s">
        <v>162</v>
      </c>
      <c r="T51" s="52">
        <v>8</v>
      </c>
      <c r="U51" s="52">
        <f t="shared" si="7"/>
        <v>0.8</v>
      </c>
      <c r="Y51" s="91" t="s">
        <v>184</v>
      </c>
      <c r="Z51" s="92">
        <v>75</v>
      </c>
      <c r="AA51" s="92">
        <f t="shared" si="9"/>
        <v>30</v>
      </c>
    </row>
    <row r="52" spans="1:27" x14ac:dyDescent="0.25">
      <c r="A52" s="95">
        <v>45511</v>
      </c>
      <c r="B52" s="72" t="s">
        <v>533</v>
      </c>
      <c r="C52" s="72" t="s">
        <v>8</v>
      </c>
      <c r="D52" s="72" t="s">
        <v>19</v>
      </c>
      <c r="E52" s="72" t="s">
        <v>722</v>
      </c>
      <c r="F52" s="72">
        <v>1</v>
      </c>
      <c r="G52" s="73">
        <f t="shared" ref="G52:G64" si="12">VLOOKUP(D52,$S$3:$T$64,2,0)</f>
        <v>40</v>
      </c>
      <c r="H52" s="73">
        <f t="shared" si="8"/>
        <v>40</v>
      </c>
      <c r="I52" s="73">
        <f t="shared" si="1"/>
        <v>40</v>
      </c>
      <c r="J52" s="72" t="s">
        <v>79</v>
      </c>
      <c r="K52" s="74"/>
      <c r="M52" s="72"/>
      <c r="N52" s="80" t="e">
        <f t="shared" si="11"/>
        <v>#N/A</v>
      </c>
      <c r="O52" s="76"/>
      <c r="P52" s="81"/>
      <c r="Q52" s="106"/>
      <c r="S52" s="50" t="s">
        <v>41</v>
      </c>
      <c r="T52" s="52">
        <v>7</v>
      </c>
      <c r="U52" s="52">
        <f t="shared" si="7"/>
        <v>0.70000000000000007</v>
      </c>
      <c r="Y52" s="91" t="s">
        <v>186</v>
      </c>
      <c r="Z52" s="92">
        <v>75</v>
      </c>
      <c r="AA52" s="92">
        <f t="shared" si="9"/>
        <v>30</v>
      </c>
    </row>
    <row r="53" spans="1:27" x14ac:dyDescent="0.25">
      <c r="A53" s="95">
        <v>45512</v>
      </c>
      <c r="B53" s="72" t="s">
        <v>504</v>
      </c>
      <c r="C53" s="72" t="s">
        <v>8</v>
      </c>
      <c r="D53" s="72" t="s">
        <v>15</v>
      </c>
      <c r="E53" s="72" t="s">
        <v>722</v>
      </c>
      <c r="F53" s="72">
        <v>1</v>
      </c>
      <c r="G53" s="73">
        <f t="shared" si="12"/>
        <v>70</v>
      </c>
      <c r="H53" s="73">
        <f t="shared" si="8"/>
        <v>70</v>
      </c>
      <c r="I53" s="73">
        <f t="shared" si="1"/>
        <v>70</v>
      </c>
      <c r="J53" s="72" t="s">
        <v>79</v>
      </c>
      <c r="K53" s="74"/>
      <c r="M53" s="79"/>
      <c r="N53" s="80" t="e">
        <f t="shared" si="11"/>
        <v>#N/A</v>
      </c>
      <c r="O53" s="76"/>
      <c r="P53" s="81"/>
      <c r="S53" s="50" t="s">
        <v>38</v>
      </c>
      <c r="T53" s="52">
        <v>6</v>
      </c>
      <c r="U53" s="52">
        <f t="shared" si="7"/>
        <v>0.60000000000000009</v>
      </c>
      <c r="Y53" s="91" t="s">
        <v>187</v>
      </c>
      <c r="Z53" s="92">
        <v>73.207499999999996</v>
      </c>
      <c r="AA53" s="92">
        <f t="shared" si="9"/>
        <v>29.283000000000001</v>
      </c>
    </row>
    <row r="54" spans="1:27" x14ac:dyDescent="0.25">
      <c r="A54" s="95">
        <v>45512</v>
      </c>
      <c r="B54" s="72" t="s">
        <v>661</v>
      </c>
      <c r="C54" s="72" t="s">
        <v>8</v>
      </c>
      <c r="D54" s="72" t="s">
        <v>18</v>
      </c>
      <c r="E54" s="72" t="s">
        <v>56</v>
      </c>
      <c r="F54" s="72">
        <v>1</v>
      </c>
      <c r="G54" s="73">
        <f t="shared" si="12"/>
        <v>40</v>
      </c>
      <c r="H54" s="73">
        <f t="shared" si="8"/>
        <v>40</v>
      </c>
      <c r="I54" s="73">
        <f t="shared" si="1"/>
        <v>39.043999999999997</v>
      </c>
      <c r="J54" s="72" t="s">
        <v>78</v>
      </c>
      <c r="K54" s="74"/>
      <c r="M54" s="79" t="s">
        <v>18</v>
      </c>
      <c r="N54" s="80">
        <f t="shared" si="11"/>
        <v>16</v>
      </c>
      <c r="O54" s="76">
        <f>N54*F54</f>
        <v>16</v>
      </c>
      <c r="P54" s="81" t="s">
        <v>56</v>
      </c>
      <c r="S54" s="50" t="s">
        <v>29</v>
      </c>
      <c r="T54" s="52">
        <v>7</v>
      </c>
      <c r="U54" s="52">
        <f t="shared" si="7"/>
        <v>0.70000000000000007</v>
      </c>
      <c r="Y54" s="91" t="s">
        <v>188</v>
      </c>
      <c r="Z54" s="92">
        <v>71.257499999999993</v>
      </c>
      <c r="AA54" s="92">
        <f t="shared" si="9"/>
        <v>28.503</v>
      </c>
    </row>
    <row r="55" spans="1:27" x14ac:dyDescent="0.25">
      <c r="A55" s="95">
        <v>45512</v>
      </c>
      <c r="B55" s="72" t="s">
        <v>729</v>
      </c>
      <c r="C55" s="72" t="s">
        <v>8</v>
      </c>
      <c r="D55" s="72" t="s">
        <v>18</v>
      </c>
      <c r="E55" s="72" t="s">
        <v>56</v>
      </c>
      <c r="F55" s="72">
        <v>1</v>
      </c>
      <c r="G55" s="73">
        <f t="shared" si="12"/>
        <v>40</v>
      </c>
      <c r="H55" s="73">
        <f t="shared" si="8"/>
        <v>40</v>
      </c>
      <c r="I55" s="73">
        <f t="shared" si="1"/>
        <v>38.003999999999998</v>
      </c>
      <c r="J55" s="72" t="s">
        <v>86</v>
      </c>
      <c r="K55" s="74"/>
      <c r="M55" s="79" t="s">
        <v>18</v>
      </c>
      <c r="N55" s="80">
        <f t="shared" si="11"/>
        <v>16</v>
      </c>
      <c r="O55" s="76">
        <f>N55*F55</f>
        <v>16</v>
      </c>
      <c r="P55" s="81" t="s">
        <v>56</v>
      </c>
      <c r="S55" s="50" t="s">
        <v>170</v>
      </c>
      <c r="T55" s="52">
        <v>5</v>
      </c>
      <c r="U55" s="52">
        <f t="shared" si="7"/>
        <v>0.5</v>
      </c>
      <c r="Y55" s="91" t="s">
        <v>190</v>
      </c>
      <c r="Z55" s="92">
        <v>55</v>
      </c>
      <c r="AA55" s="92">
        <f t="shared" si="9"/>
        <v>22</v>
      </c>
    </row>
    <row r="56" spans="1:27" x14ac:dyDescent="0.25">
      <c r="A56" s="95">
        <v>45512</v>
      </c>
      <c r="B56" s="72" t="s">
        <v>730</v>
      </c>
      <c r="C56" s="72" t="s">
        <v>10</v>
      </c>
      <c r="D56" s="72" t="s">
        <v>17</v>
      </c>
      <c r="E56" s="72" t="s">
        <v>56</v>
      </c>
      <c r="F56" s="72">
        <v>1</v>
      </c>
      <c r="G56" s="73">
        <f t="shared" si="12"/>
        <v>50</v>
      </c>
      <c r="H56" s="73">
        <f t="shared" si="8"/>
        <v>50</v>
      </c>
      <c r="I56" s="73">
        <f t="shared" si="1"/>
        <v>48.805</v>
      </c>
      <c r="J56" s="72" t="s">
        <v>78</v>
      </c>
      <c r="K56" s="74"/>
      <c r="M56" s="79" t="s">
        <v>17</v>
      </c>
      <c r="N56" s="80">
        <f t="shared" si="11"/>
        <v>20</v>
      </c>
      <c r="O56" s="76">
        <f>N56*F56</f>
        <v>20</v>
      </c>
      <c r="P56" s="81" t="s">
        <v>56</v>
      </c>
      <c r="S56" s="50" t="s">
        <v>48</v>
      </c>
      <c r="T56" s="52">
        <v>10</v>
      </c>
      <c r="U56" s="52">
        <f t="shared" si="7"/>
        <v>1</v>
      </c>
      <c r="Y56" s="91" t="s">
        <v>192</v>
      </c>
      <c r="Z56" s="92">
        <v>55</v>
      </c>
      <c r="AA56" s="92">
        <f t="shared" si="9"/>
        <v>22</v>
      </c>
    </row>
    <row r="57" spans="1:27" x14ac:dyDescent="0.25">
      <c r="A57" s="95">
        <v>45512</v>
      </c>
      <c r="B57" s="72" t="s">
        <v>561</v>
      </c>
      <c r="C57" s="72" t="s">
        <v>8</v>
      </c>
      <c r="D57" s="72" t="s">
        <v>17</v>
      </c>
      <c r="E57" s="72" t="s">
        <v>722</v>
      </c>
      <c r="F57" s="72">
        <v>1</v>
      </c>
      <c r="G57" s="73">
        <f t="shared" si="12"/>
        <v>50</v>
      </c>
      <c r="H57" s="73">
        <f t="shared" si="8"/>
        <v>50</v>
      </c>
      <c r="I57" s="73">
        <f t="shared" si="1"/>
        <v>48.805</v>
      </c>
      <c r="J57" s="72" t="s">
        <v>78</v>
      </c>
      <c r="K57" s="74"/>
      <c r="M57" s="79"/>
      <c r="N57" s="80" t="e">
        <f t="shared" si="11"/>
        <v>#N/A</v>
      </c>
      <c r="O57" s="76"/>
      <c r="P57" s="81"/>
      <c r="S57" s="50" t="s">
        <v>44</v>
      </c>
      <c r="T57" s="52">
        <v>5</v>
      </c>
      <c r="U57" s="52">
        <f t="shared" si="7"/>
        <v>0.5</v>
      </c>
      <c r="Y57" s="91" t="s">
        <v>193</v>
      </c>
      <c r="Z57" s="92">
        <v>53.685499999999998</v>
      </c>
      <c r="AA57" s="92">
        <f t="shared" si="9"/>
        <v>21.4742</v>
      </c>
    </row>
    <row r="58" spans="1:27" x14ac:dyDescent="0.25">
      <c r="A58" s="95">
        <v>45512</v>
      </c>
      <c r="B58" s="72" t="s">
        <v>555</v>
      </c>
      <c r="C58" s="72" t="s">
        <v>8</v>
      </c>
      <c r="D58" s="72" t="s">
        <v>18</v>
      </c>
      <c r="E58" s="72" t="s">
        <v>722</v>
      </c>
      <c r="F58" s="72">
        <v>1</v>
      </c>
      <c r="G58" s="73">
        <f t="shared" si="12"/>
        <v>40</v>
      </c>
      <c r="H58" s="73">
        <f t="shared" si="8"/>
        <v>40</v>
      </c>
      <c r="I58" s="73">
        <f t="shared" si="1"/>
        <v>40</v>
      </c>
      <c r="J58" s="72" t="s">
        <v>83</v>
      </c>
      <c r="K58" s="74"/>
      <c r="M58" s="79"/>
      <c r="N58" s="80" t="e">
        <f t="shared" si="11"/>
        <v>#N/A</v>
      </c>
      <c r="O58" s="76"/>
      <c r="P58" s="81"/>
      <c r="S58" s="50" t="s">
        <v>37</v>
      </c>
      <c r="T58" s="52">
        <v>7</v>
      </c>
      <c r="U58" s="52">
        <f t="shared" si="7"/>
        <v>0.70000000000000007</v>
      </c>
      <c r="Y58" s="91" t="s">
        <v>195</v>
      </c>
      <c r="Z58" s="92">
        <v>52.255499999999998</v>
      </c>
      <c r="AA58" s="92">
        <f t="shared" si="9"/>
        <v>20.902200000000001</v>
      </c>
    </row>
    <row r="59" spans="1:27" x14ac:dyDescent="0.25">
      <c r="A59" s="95">
        <v>45512</v>
      </c>
      <c r="B59" s="72" t="s">
        <v>555</v>
      </c>
      <c r="C59" s="72" t="s">
        <v>8</v>
      </c>
      <c r="D59" s="72" t="s">
        <v>45</v>
      </c>
      <c r="E59" s="72" t="s">
        <v>722</v>
      </c>
      <c r="F59" s="72">
        <v>1</v>
      </c>
      <c r="G59" s="73">
        <f t="shared" si="12"/>
        <v>3.5</v>
      </c>
      <c r="H59" s="73">
        <f t="shared" si="8"/>
        <v>3.5</v>
      </c>
      <c r="I59" s="73">
        <f t="shared" si="1"/>
        <v>3.5</v>
      </c>
      <c r="J59" s="72" t="s">
        <v>83</v>
      </c>
      <c r="K59" s="74"/>
      <c r="M59" s="79"/>
      <c r="N59" s="80" t="e">
        <f t="shared" si="11"/>
        <v>#N/A</v>
      </c>
      <c r="O59" s="76"/>
      <c r="P59" s="81"/>
      <c r="S59" s="50" t="s">
        <v>179</v>
      </c>
      <c r="T59" s="52">
        <v>3.5</v>
      </c>
      <c r="U59" s="52">
        <f t="shared" si="7"/>
        <v>0.35000000000000003</v>
      </c>
      <c r="Y59" s="91" t="s">
        <v>197</v>
      </c>
      <c r="Z59" s="92">
        <v>100</v>
      </c>
      <c r="AA59" s="92">
        <f t="shared" si="9"/>
        <v>40</v>
      </c>
    </row>
    <row r="60" spans="1:27" x14ac:dyDescent="0.25">
      <c r="A60" s="95">
        <v>45512</v>
      </c>
      <c r="B60" s="72" t="s">
        <v>564</v>
      </c>
      <c r="C60" s="72" t="s">
        <v>8</v>
      </c>
      <c r="D60" s="72" t="s">
        <v>18</v>
      </c>
      <c r="E60" s="72" t="s">
        <v>722</v>
      </c>
      <c r="F60" s="72">
        <v>1</v>
      </c>
      <c r="G60" s="73">
        <f t="shared" si="12"/>
        <v>40</v>
      </c>
      <c r="H60" s="73">
        <f t="shared" si="8"/>
        <v>40</v>
      </c>
      <c r="I60" s="73">
        <f t="shared" si="1"/>
        <v>40</v>
      </c>
      <c r="J60" s="72" t="s">
        <v>79</v>
      </c>
      <c r="K60" s="74"/>
      <c r="M60" s="79"/>
      <c r="N60" s="80" t="e">
        <f t="shared" si="11"/>
        <v>#N/A</v>
      </c>
      <c r="O60" s="76"/>
      <c r="P60" s="81"/>
      <c r="S60" s="50" t="s">
        <v>46</v>
      </c>
      <c r="T60" s="52">
        <v>5</v>
      </c>
      <c r="U60" s="52">
        <f t="shared" si="7"/>
        <v>0.5</v>
      </c>
      <c r="Y60" s="91" t="s">
        <v>199</v>
      </c>
      <c r="Z60" s="92">
        <v>100</v>
      </c>
      <c r="AA60" s="92">
        <f t="shared" si="9"/>
        <v>40</v>
      </c>
    </row>
    <row r="61" spans="1:27" x14ac:dyDescent="0.25">
      <c r="A61" s="95">
        <v>45512</v>
      </c>
      <c r="B61" s="72" t="s">
        <v>591</v>
      </c>
      <c r="C61" s="72" t="s">
        <v>8</v>
      </c>
      <c r="D61" s="72" t="s">
        <v>17</v>
      </c>
      <c r="E61" s="72" t="s">
        <v>722</v>
      </c>
      <c r="F61" s="72">
        <v>1</v>
      </c>
      <c r="G61" s="73">
        <f t="shared" si="12"/>
        <v>50</v>
      </c>
      <c r="H61" s="73">
        <f t="shared" si="8"/>
        <v>50</v>
      </c>
      <c r="I61" s="73">
        <f t="shared" si="1"/>
        <v>48.805</v>
      </c>
      <c r="J61" s="72" t="s">
        <v>78</v>
      </c>
      <c r="K61" s="74"/>
      <c r="M61" s="79"/>
      <c r="N61" s="80" t="e">
        <f t="shared" si="11"/>
        <v>#N/A</v>
      </c>
      <c r="O61" s="76"/>
      <c r="P61" s="81"/>
      <c r="S61" s="50" t="s">
        <v>183</v>
      </c>
      <c r="T61" s="52">
        <v>7</v>
      </c>
      <c r="U61" s="52">
        <f t="shared" si="7"/>
        <v>0.70000000000000007</v>
      </c>
      <c r="Y61" s="91" t="s">
        <v>201</v>
      </c>
      <c r="Z61" s="92">
        <v>97.61</v>
      </c>
      <c r="AA61" s="92">
        <f t="shared" si="9"/>
        <v>39.044000000000004</v>
      </c>
    </row>
    <row r="62" spans="1:27" x14ac:dyDescent="0.25">
      <c r="A62" s="95">
        <v>45512</v>
      </c>
      <c r="B62" s="72" t="s">
        <v>294</v>
      </c>
      <c r="C62" s="72" t="s">
        <v>8</v>
      </c>
      <c r="D62" s="72" t="s">
        <v>40</v>
      </c>
      <c r="E62" s="72" t="s">
        <v>722</v>
      </c>
      <c r="F62" s="72">
        <v>1</v>
      </c>
      <c r="G62" s="73">
        <f t="shared" si="12"/>
        <v>45</v>
      </c>
      <c r="H62" s="73">
        <f t="shared" si="8"/>
        <v>45</v>
      </c>
      <c r="I62" s="73">
        <f t="shared" si="1"/>
        <v>45</v>
      </c>
      <c r="J62" s="72" t="s">
        <v>83</v>
      </c>
      <c r="K62" s="74"/>
      <c r="M62" s="79"/>
      <c r="N62" s="80" t="e">
        <f t="shared" si="11"/>
        <v>#N/A</v>
      </c>
      <c r="O62" s="76"/>
      <c r="P62" s="81"/>
      <c r="S62" s="50" t="s">
        <v>35</v>
      </c>
      <c r="T62" s="52">
        <v>7</v>
      </c>
      <c r="U62" s="52">
        <f t="shared" si="7"/>
        <v>0.70000000000000007</v>
      </c>
      <c r="Y62" s="91" t="s">
        <v>203</v>
      </c>
      <c r="Z62" s="92">
        <v>95.01</v>
      </c>
      <c r="AA62" s="92">
        <f t="shared" si="9"/>
        <v>38.004000000000005</v>
      </c>
    </row>
    <row r="63" spans="1:27" x14ac:dyDescent="0.25">
      <c r="A63" s="95">
        <v>45513</v>
      </c>
      <c r="B63" s="72" t="s">
        <v>554</v>
      </c>
      <c r="C63" s="72" t="s">
        <v>8</v>
      </c>
      <c r="D63" s="72" t="s">
        <v>22</v>
      </c>
      <c r="E63" s="72" t="s">
        <v>722</v>
      </c>
      <c r="F63" s="72">
        <v>2</v>
      </c>
      <c r="G63" s="73">
        <f t="shared" si="12"/>
        <v>30</v>
      </c>
      <c r="H63" s="73">
        <f t="shared" si="8"/>
        <v>60</v>
      </c>
      <c r="I63" s="73">
        <f t="shared" si="1"/>
        <v>57.006</v>
      </c>
      <c r="J63" s="72" t="s">
        <v>86</v>
      </c>
      <c r="K63" s="74"/>
      <c r="M63" s="79"/>
      <c r="N63" s="80" t="e">
        <f t="shared" si="11"/>
        <v>#N/A</v>
      </c>
      <c r="O63" s="76"/>
      <c r="P63" s="81"/>
      <c r="S63" s="50" t="s">
        <v>155</v>
      </c>
      <c r="T63" s="52">
        <v>3.5</v>
      </c>
      <c r="U63" s="52">
        <f t="shared" si="7"/>
        <v>0.35000000000000003</v>
      </c>
      <c r="Y63" s="91" t="s">
        <v>205</v>
      </c>
      <c r="Z63" s="92">
        <v>80</v>
      </c>
      <c r="AA63" s="92">
        <f t="shared" si="9"/>
        <v>32</v>
      </c>
    </row>
    <row r="64" spans="1:27" x14ac:dyDescent="0.25">
      <c r="A64" s="95">
        <v>45513</v>
      </c>
      <c r="B64" s="72" t="s">
        <v>731</v>
      </c>
      <c r="C64" s="72" t="s">
        <v>8</v>
      </c>
      <c r="D64" s="72" t="s">
        <v>18</v>
      </c>
      <c r="E64" s="72" t="s">
        <v>722</v>
      </c>
      <c r="F64" s="72">
        <v>1</v>
      </c>
      <c r="G64" s="73">
        <f t="shared" si="12"/>
        <v>40</v>
      </c>
      <c r="H64" s="73">
        <f t="shared" si="8"/>
        <v>40</v>
      </c>
      <c r="I64" s="73">
        <f t="shared" si="1"/>
        <v>39.043999999999997</v>
      </c>
      <c r="J64" s="72" t="s">
        <v>78</v>
      </c>
      <c r="K64" s="74"/>
      <c r="M64" s="79"/>
      <c r="N64" s="80">
        <f>G64*0.1</f>
        <v>4</v>
      </c>
      <c r="O64" s="76"/>
      <c r="P64" s="81"/>
      <c r="S64" s="50" t="s">
        <v>45</v>
      </c>
      <c r="T64" s="52">
        <v>3.5</v>
      </c>
      <c r="U64" s="52">
        <f t="shared" si="7"/>
        <v>0.35000000000000003</v>
      </c>
      <c r="Y64" s="91" t="s">
        <v>207</v>
      </c>
      <c r="Z64" s="92">
        <v>80</v>
      </c>
      <c r="AA64" s="92">
        <f t="shared" si="9"/>
        <v>32</v>
      </c>
    </row>
    <row r="65" spans="1:27" x14ac:dyDescent="0.25">
      <c r="A65" s="95">
        <v>45513</v>
      </c>
      <c r="B65" s="72" t="s">
        <v>567</v>
      </c>
      <c r="C65" s="72" t="s">
        <v>8</v>
      </c>
      <c r="D65" s="72" t="s">
        <v>18</v>
      </c>
      <c r="E65" s="72" t="s">
        <v>722</v>
      </c>
      <c r="F65" s="72">
        <v>1</v>
      </c>
      <c r="G65" s="73">
        <v>35</v>
      </c>
      <c r="H65" s="73">
        <f t="shared" si="8"/>
        <v>35</v>
      </c>
      <c r="I65" s="73">
        <f t="shared" si="1"/>
        <v>34.163499999999999</v>
      </c>
      <c r="J65" s="72" t="s">
        <v>78</v>
      </c>
      <c r="K65" s="74"/>
      <c r="M65" s="79"/>
      <c r="N65" s="80" t="e">
        <f t="shared" ref="N65:N96" si="13">VLOOKUP(M65,$S$3:$U$64,3,0)</f>
        <v>#N/A</v>
      </c>
      <c r="O65" s="76"/>
      <c r="P65" s="81"/>
      <c r="Y65" s="91" t="s">
        <v>208</v>
      </c>
      <c r="Z65" s="92">
        <v>78.087999999999994</v>
      </c>
      <c r="AA65" s="92">
        <f t="shared" si="9"/>
        <v>31.235199999999999</v>
      </c>
    </row>
    <row r="66" spans="1:27" x14ac:dyDescent="0.25">
      <c r="A66" s="95">
        <v>45513</v>
      </c>
      <c r="B66" s="72" t="s">
        <v>732</v>
      </c>
      <c r="C66" s="72" t="s">
        <v>10</v>
      </c>
      <c r="D66" s="72" t="s">
        <v>22</v>
      </c>
      <c r="E66" s="72" t="s">
        <v>56</v>
      </c>
      <c r="F66" s="72">
        <v>1</v>
      </c>
      <c r="G66" s="73">
        <f t="shared" ref="G66:G97" si="14">VLOOKUP(D66,$S$3:$T$64,2,0)</f>
        <v>30</v>
      </c>
      <c r="H66" s="73">
        <f t="shared" si="8"/>
        <v>30</v>
      </c>
      <c r="I66" s="73">
        <f t="shared" si="1"/>
        <v>30</v>
      </c>
      <c r="J66" s="72" t="s">
        <v>79</v>
      </c>
      <c r="K66" s="74"/>
      <c r="M66" s="79" t="s">
        <v>22</v>
      </c>
      <c r="N66" s="80">
        <f t="shared" si="13"/>
        <v>12</v>
      </c>
      <c r="O66" s="76">
        <f>N66*F66</f>
        <v>12</v>
      </c>
      <c r="P66" s="81" t="s">
        <v>56</v>
      </c>
      <c r="Y66" s="91" t="s">
        <v>209</v>
      </c>
      <c r="Z66" s="92">
        <v>76.007999999999996</v>
      </c>
      <c r="AA66" s="92">
        <f t="shared" si="9"/>
        <v>30.403199999999998</v>
      </c>
    </row>
    <row r="67" spans="1:27" x14ac:dyDescent="0.25">
      <c r="A67" s="95">
        <v>45513</v>
      </c>
      <c r="B67" s="72" t="s">
        <v>732</v>
      </c>
      <c r="C67" s="72" t="s">
        <v>10</v>
      </c>
      <c r="D67" s="72" t="s">
        <v>13</v>
      </c>
      <c r="E67" s="72" t="s">
        <v>56</v>
      </c>
      <c r="F67" s="72">
        <v>1</v>
      </c>
      <c r="G67" s="73">
        <f t="shared" si="14"/>
        <v>30</v>
      </c>
      <c r="H67" s="73">
        <f t="shared" ref="H67:H96" si="15">F67*G67</f>
        <v>30</v>
      </c>
      <c r="I67" s="73">
        <f t="shared" ref="I67:I130" si="16">IF(J67="Cartão de Debito",H67-(H67*$AC$5),IF(J67="Cartão de Credito",H67-(H67*$AC$6), IF(J67="Pix",H67-(H67*$AC$7), IF(J67="Dinheiro (R$)", H67-(H67*$AC$8)))))</f>
        <v>30</v>
      </c>
      <c r="J67" s="72" t="s">
        <v>79</v>
      </c>
      <c r="K67" s="74" t="s">
        <v>733</v>
      </c>
      <c r="M67" s="79" t="s">
        <v>13</v>
      </c>
      <c r="N67" s="80">
        <f t="shared" si="13"/>
        <v>12</v>
      </c>
      <c r="O67" s="76">
        <f>N67*F67</f>
        <v>12</v>
      </c>
      <c r="P67" s="81" t="s">
        <v>56</v>
      </c>
      <c r="Y67" s="91" t="s">
        <v>211</v>
      </c>
      <c r="Z67" s="92">
        <v>130</v>
      </c>
      <c r="AA67" s="92">
        <f t="shared" ref="AA67:AA74" si="17">Z67*0.4</f>
        <v>52</v>
      </c>
    </row>
    <row r="68" spans="1:27" x14ac:dyDescent="0.25">
      <c r="A68" s="95">
        <v>45513</v>
      </c>
      <c r="B68" s="72" t="s">
        <v>734</v>
      </c>
      <c r="C68" s="72" t="s">
        <v>8</v>
      </c>
      <c r="D68" s="72" t="s">
        <v>18</v>
      </c>
      <c r="E68" s="72" t="s">
        <v>56</v>
      </c>
      <c r="F68" s="72">
        <v>1</v>
      </c>
      <c r="G68" s="73">
        <f t="shared" si="14"/>
        <v>40</v>
      </c>
      <c r="H68" s="73">
        <f t="shared" si="15"/>
        <v>40</v>
      </c>
      <c r="I68" s="73">
        <f t="shared" si="16"/>
        <v>39.043999999999997</v>
      </c>
      <c r="J68" s="72" t="s">
        <v>78</v>
      </c>
      <c r="K68" s="74"/>
      <c r="M68" s="79" t="s">
        <v>18</v>
      </c>
      <c r="N68" s="80">
        <f t="shared" si="13"/>
        <v>16</v>
      </c>
      <c r="O68" s="76">
        <f>N68*F68</f>
        <v>16</v>
      </c>
      <c r="P68" s="81" t="s">
        <v>56</v>
      </c>
      <c r="Y68" s="91" t="s">
        <v>213</v>
      </c>
      <c r="Z68" s="92">
        <v>130</v>
      </c>
      <c r="AA68" s="92">
        <f t="shared" si="17"/>
        <v>52</v>
      </c>
    </row>
    <row r="69" spans="1:27" x14ac:dyDescent="0.25">
      <c r="A69" s="95">
        <v>45513</v>
      </c>
      <c r="B69" s="72" t="s">
        <v>708</v>
      </c>
      <c r="C69" s="72" t="s">
        <v>8</v>
      </c>
      <c r="D69" s="72" t="s">
        <v>40</v>
      </c>
      <c r="E69" s="72" t="s">
        <v>722</v>
      </c>
      <c r="F69" s="72">
        <v>1</v>
      </c>
      <c r="G69" s="73">
        <f t="shared" si="14"/>
        <v>45</v>
      </c>
      <c r="H69" s="73">
        <f t="shared" si="15"/>
        <v>45</v>
      </c>
      <c r="I69" s="73">
        <f t="shared" si="16"/>
        <v>45</v>
      </c>
      <c r="J69" s="72" t="s">
        <v>83</v>
      </c>
      <c r="K69" s="74"/>
      <c r="M69" s="79"/>
      <c r="N69" s="80" t="e">
        <f t="shared" si="13"/>
        <v>#N/A</v>
      </c>
      <c r="O69" s="76"/>
      <c r="P69" s="81"/>
      <c r="Y69" s="91" t="s">
        <v>214</v>
      </c>
      <c r="Z69" s="92">
        <v>126.893</v>
      </c>
      <c r="AA69" s="92">
        <f t="shared" si="17"/>
        <v>50.757200000000005</v>
      </c>
    </row>
    <row r="70" spans="1:27" x14ac:dyDescent="0.25">
      <c r="A70" s="95">
        <v>45513</v>
      </c>
      <c r="B70" s="72" t="s">
        <v>458</v>
      </c>
      <c r="C70" s="72" t="s">
        <v>8</v>
      </c>
      <c r="D70" s="72" t="s">
        <v>40</v>
      </c>
      <c r="E70" s="72" t="s">
        <v>722</v>
      </c>
      <c r="F70" s="72">
        <v>1</v>
      </c>
      <c r="G70" s="73">
        <f t="shared" si="14"/>
        <v>45</v>
      </c>
      <c r="H70" s="73">
        <f t="shared" si="15"/>
        <v>45</v>
      </c>
      <c r="I70" s="73">
        <f t="shared" si="16"/>
        <v>45</v>
      </c>
      <c r="J70" s="72" t="s">
        <v>83</v>
      </c>
      <c r="K70" s="74"/>
      <c r="M70" s="79"/>
      <c r="N70" s="80" t="e">
        <f t="shared" si="13"/>
        <v>#N/A</v>
      </c>
      <c r="O70" s="76"/>
      <c r="P70" s="81"/>
      <c r="Y70" s="91" t="s">
        <v>208</v>
      </c>
      <c r="Z70" s="92">
        <v>78.087999999999994</v>
      </c>
      <c r="AA70" s="92">
        <f t="shared" si="17"/>
        <v>31.235199999999999</v>
      </c>
    </row>
    <row r="71" spans="1:27" x14ac:dyDescent="0.25">
      <c r="A71" s="95">
        <v>45513</v>
      </c>
      <c r="B71" s="72" t="s">
        <v>204</v>
      </c>
      <c r="C71" s="72" t="s">
        <v>8</v>
      </c>
      <c r="D71" s="72" t="s">
        <v>18</v>
      </c>
      <c r="E71" s="72" t="s">
        <v>722</v>
      </c>
      <c r="F71" s="72">
        <v>1</v>
      </c>
      <c r="G71" s="73">
        <f t="shared" si="14"/>
        <v>40</v>
      </c>
      <c r="H71" s="73">
        <f t="shared" si="15"/>
        <v>40</v>
      </c>
      <c r="I71" s="73">
        <f t="shared" si="16"/>
        <v>38.003999999999998</v>
      </c>
      <c r="J71" s="72" t="s">
        <v>86</v>
      </c>
      <c r="K71" s="74"/>
      <c r="M71" s="79"/>
      <c r="N71" s="80" t="e">
        <f t="shared" si="13"/>
        <v>#N/A</v>
      </c>
      <c r="O71" s="76"/>
      <c r="P71" s="81"/>
      <c r="Y71" s="91" t="s">
        <v>219</v>
      </c>
      <c r="Z71" s="92">
        <v>90</v>
      </c>
      <c r="AA71" s="92">
        <f t="shared" si="17"/>
        <v>36</v>
      </c>
    </row>
    <row r="72" spans="1:27" x14ac:dyDescent="0.25">
      <c r="A72" s="95">
        <v>45513</v>
      </c>
      <c r="B72" s="72" t="s">
        <v>591</v>
      </c>
      <c r="C72" s="72" t="s">
        <v>8</v>
      </c>
      <c r="D72" s="72" t="s">
        <v>18</v>
      </c>
      <c r="E72" s="72" t="s">
        <v>722</v>
      </c>
      <c r="F72" s="72">
        <v>1</v>
      </c>
      <c r="G72" s="73">
        <f t="shared" si="14"/>
        <v>40</v>
      </c>
      <c r="H72" s="73">
        <f t="shared" si="15"/>
        <v>40</v>
      </c>
      <c r="I72" s="73">
        <f t="shared" si="16"/>
        <v>39.043999999999997</v>
      </c>
      <c r="J72" s="72" t="s">
        <v>78</v>
      </c>
      <c r="K72" s="74"/>
      <c r="M72" s="79"/>
      <c r="N72" s="80" t="e">
        <f t="shared" si="13"/>
        <v>#N/A</v>
      </c>
      <c r="O72" s="76"/>
      <c r="P72" s="81"/>
      <c r="Y72" s="91" t="s">
        <v>221</v>
      </c>
      <c r="Z72" s="92">
        <v>90</v>
      </c>
      <c r="AA72" s="92">
        <f t="shared" si="17"/>
        <v>36</v>
      </c>
    </row>
    <row r="73" spans="1:27" x14ac:dyDescent="0.25">
      <c r="A73" s="95">
        <v>45514</v>
      </c>
      <c r="B73" s="72" t="s">
        <v>735</v>
      </c>
      <c r="C73" s="72" t="s">
        <v>8</v>
      </c>
      <c r="D73" s="72" t="s">
        <v>15</v>
      </c>
      <c r="E73" s="72" t="s">
        <v>56</v>
      </c>
      <c r="F73" s="72">
        <v>1</v>
      </c>
      <c r="G73" s="73">
        <f t="shared" si="14"/>
        <v>70</v>
      </c>
      <c r="H73" s="73">
        <f t="shared" si="15"/>
        <v>70</v>
      </c>
      <c r="I73" s="73">
        <f t="shared" si="16"/>
        <v>70</v>
      </c>
      <c r="J73" s="72" t="s">
        <v>83</v>
      </c>
      <c r="K73" s="74"/>
      <c r="M73" s="79" t="s">
        <v>15</v>
      </c>
      <c r="N73" s="80">
        <f t="shared" si="13"/>
        <v>28</v>
      </c>
      <c r="O73" s="76">
        <f>N73*F73</f>
        <v>28</v>
      </c>
      <c r="P73" s="81" t="s">
        <v>56</v>
      </c>
      <c r="Y73" s="91" t="s">
        <v>222</v>
      </c>
      <c r="Z73" s="92">
        <v>87.849000000000004</v>
      </c>
      <c r="AA73" s="92">
        <f t="shared" si="17"/>
        <v>35.139600000000002</v>
      </c>
    </row>
    <row r="74" spans="1:27" x14ac:dyDescent="0.25">
      <c r="A74" s="95">
        <v>45514</v>
      </c>
      <c r="B74" s="72" t="s">
        <v>236</v>
      </c>
      <c r="C74" s="72" t="s">
        <v>8</v>
      </c>
      <c r="D74" s="72" t="s">
        <v>18</v>
      </c>
      <c r="E74" s="72" t="s">
        <v>56</v>
      </c>
      <c r="F74" s="72">
        <v>1</v>
      </c>
      <c r="G74" s="73">
        <f t="shared" si="14"/>
        <v>40</v>
      </c>
      <c r="H74" s="73">
        <f t="shared" si="15"/>
        <v>40</v>
      </c>
      <c r="I74" s="73">
        <f t="shared" si="16"/>
        <v>39.043999999999997</v>
      </c>
      <c r="J74" s="72" t="s">
        <v>78</v>
      </c>
      <c r="K74" s="74"/>
      <c r="M74" s="79" t="s">
        <v>18</v>
      </c>
      <c r="N74" s="80">
        <f t="shared" si="13"/>
        <v>16</v>
      </c>
      <c r="O74" s="76">
        <f>N74*F74</f>
        <v>16</v>
      </c>
      <c r="P74" s="81" t="s">
        <v>56</v>
      </c>
      <c r="Y74" s="91" t="s">
        <v>224</v>
      </c>
      <c r="Z74" s="92">
        <v>85.509</v>
      </c>
      <c r="AA74" s="92">
        <f t="shared" si="17"/>
        <v>34.203600000000002</v>
      </c>
    </row>
    <row r="75" spans="1:27" x14ac:dyDescent="0.25">
      <c r="A75" s="95">
        <v>45514</v>
      </c>
      <c r="B75" s="72" t="s">
        <v>545</v>
      </c>
      <c r="C75" s="72" t="s">
        <v>8</v>
      </c>
      <c r="D75" s="72" t="s">
        <v>15</v>
      </c>
      <c r="E75" s="72" t="s">
        <v>722</v>
      </c>
      <c r="F75" s="72">
        <v>1</v>
      </c>
      <c r="G75" s="73">
        <f t="shared" si="14"/>
        <v>70</v>
      </c>
      <c r="H75" s="73">
        <f t="shared" si="15"/>
        <v>70</v>
      </c>
      <c r="I75" s="73">
        <f t="shared" si="16"/>
        <v>70</v>
      </c>
      <c r="J75" s="72" t="s">
        <v>83</v>
      </c>
      <c r="K75" s="74"/>
      <c r="M75" s="79"/>
      <c r="N75" s="80" t="e">
        <f t="shared" si="13"/>
        <v>#N/A</v>
      </c>
      <c r="O75" s="76"/>
      <c r="P75" s="81"/>
      <c r="Y75" s="91" t="s">
        <v>226</v>
      </c>
      <c r="Z75" s="92">
        <v>30</v>
      </c>
      <c r="AA75" s="92">
        <f t="shared" ref="AA75:AA118" si="18">Z75*0.1</f>
        <v>3</v>
      </c>
    </row>
    <row r="76" spans="1:27" x14ac:dyDescent="0.25">
      <c r="A76" s="95">
        <v>45514</v>
      </c>
      <c r="B76" s="72" t="s">
        <v>518</v>
      </c>
      <c r="C76" s="72" t="s">
        <v>8</v>
      </c>
      <c r="D76" s="72" t="s">
        <v>18</v>
      </c>
      <c r="E76" s="72" t="s">
        <v>722</v>
      </c>
      <c r="F76" s="72">
        <v>1</v>
      </c>
      <c r="G76" s="73">
        <f t="shared" si="14"/>
        <v>40</v>
      </c>
      <c r="H76" s="73">
        <f t="shared" si="15"/>
        <v>40</v>
      </c>
      <c r="I76" s="73">
        <f t="shared" si="16"/>
        <v>39.043999999999997</v>
      </c>
      <c r="J76" s="72" t="s">
        <v>78</v>
      </c>
      <c r="K76" s="74"/>
      <c r="M76" s="79"/>
      <c r="N76" s="80" t="e">
        <f t="shared" si="13"/>
        <v>#N/A</v>
      </c>
      <c r="O76" s="76"/>
      <c r="P76" s="81"/>
      <c r="Y76" s="91" t="s">
        <v>228</v>
      </c>
      <c r="Z76" s="92">
        <v>30</v>
      </c>
      <c r="AA76" s="92">
        <f t="shared" si="18"/>
        <v>3</v>
      </c>
    </row>
    <row r="77" spans="1:27" x14ac:dyDescent="0.25">
      <c r="A77" s="95">
        <v>45514</v>
      </c>
      <c r="B77" s="72" t="s">
        <v>522</v>
      </c>
      <c r="C77" s="72" t="s">
        <v>8</v>
      </c>
      <c r="D77" s="72" t="s">
        <v>18</v>
      </c>
      <c r="E77" s="72" t="s">
        <v>722</v>
      </c>
      <c r="F77" s="72">
        <v>1</v>
      </c>
      <c r="G77" s="73">
        <f t="shared" si="14"/>
        <v>40</v>
      </c>
      <c r="H77" s="73">
        <f t="shared" si="15"/>
        <v>40</v>
      </c>
      <c r="I77" s="73">
        <f t="shared" si="16"/>
        <v>40</v>
      </c>
      <c r="J77" s="72" t="s">
        <v>83</v>
      </c>
      <c r="K77" s="74"/>
      <c r="M77" s="79"/>
      <c r="N77" s="80" t="e">
        <f t="shared" si="13"/>
        <v>#N/A</v>
      </c>
      <c r="O77" s="76"/>
      <c r="P77" s="81"/>
      <c r="Y77" s="91" t="s">
        <v>230</v>
      </c>
      <c r="Z77" s="92">
        <v>29.283000000000001</v>
      </c>
      <c r="AA77" s="92">
        <f t="shared" si="18"/>
        <v>2.9283000000000001</v>
      </c>
    </row>
    <row r="78" spans="1:27" x14ac:dyDescent="0.25">
      <c r="A78" s="95">
        <v>45514</v>
      </c>
      <c r="B78" s="72" t="s">
        <v>586</v>
      </c>
      <c r="C78" s="72" t="s">
        <v>8</v>
      </c>
      <c r="D78" s="72" t="s">
        <v>17</v>
      </c>
      <c r="E78" s="72" t="s">
        <v>722</v>
      </c>
      <c r="F78" s="72">
        <v>1</v>
      </c>
      <c r="G78" s="73">
        <f t="shared" si="14"/>
        <v>50</v>
      </c>
      <c r="H78" s="73">
        <f t="shared" si="15"/>
        <v>50</v>
      </c>
      <c r="I78" s="73">
        <f t="shared" si="16"/>
        <v>48.805</v>
      </c>
      <c r="J78" s="72" t="s">
        <v>78</v>
      </c>
      <c r="K78" s="74"/>
      <c r="M78" s="79"/>
      <c r="N78" s="80" t="e">
        <f t="shared" si="13"/>
        <v>#N/A</v>
      </c>
      <c r="O78" s="76"/>
      <c r="P78" s="81"/>
      <c r="Y78" s="91" t="s">
        <v>231</v>
      </c>
      <c r="Z78" s="92">
        <v>28.503</v>
      </c>
      <c r="AA78" s="92">
        <f t="shared" si="18"/>
        <v>2.8503000000000003</v>
      </c>
    </row>
    <row r="79" spans="1:27" x14ac:dyDescent="0.25">
      <c r="A79" s="95">
        <v>45514</v>
      </c>
      <c r="B79" s="72" t="s">
        <v>586</v>
      </c>
      <c r="C79" s="72" t="s">
        <v>8</v>
      </c>
      <c r="D79" s="72" t="s">
        <v>23</v>
      </c>
      <c r="E79" s="72" t="s">
        <v>722</v>
      </c>
      <c r="F79" s="72">
        <v>1</v>
      </c>
      <c r="G79" s="73">
        <f t="shared" si="14"/>
        <v>5</v>
      </c>
      <c r="H79" s="73">
        <f t="shared" si="15"/>
        <v>5</v>
      </c>
      <c r="I79" s="73">
        <f t="shared" si="16"/>
        <v>4.8804999999999996</v>
      </c>
      <c r="J79" s="72" t="s">
        <v>78</v>
      </c>
      <c r="K79" s="74"/>
      <c r="M79" s="79"/>
      <c r="N79" s="80" t="e">
        <f t="shared" si="13"/>
        <v>#N/A</v>
      </c>
      <c r="O79" s="76"/>
      <c r="P79" s="81"/>
      <c r="Q79" s="106"/>
      <c r="Y79" s="91" t="s">
        <v>232</v>
      </c>
      <c r="Z79" s="92">
        <v>30</v>
      </c>
      <c r="AA79" s="92">
        <f t="shared" si="18"/>
        <v>3</v>
      </c>
    </row>
    <row r="80" spans="1:27" x14ac:dyDescent="0.25">
      <c r="A80" s="95">
        <v>45514</v>
      </c>
      <c r="B80" s="72" t="s">
        <v>736</v>
      </c>
      <c r="C80" s="72" t="s">
        <v>8</v>
      </c>
      <c r="D80" s="72" t="s">
        <v>15</v>
      </c>
      <c r="E80" s="72" t="s">
        <v>722</v>
      </c>
      <c r="F80" s="72">
        <v>1</v>
      </c>
      <c r="G80" s="73">
        <f t="shared" si="14"/>
        <v>70</v>
      </c>
      <c r="H80" s="73">
        <f t="shared" si="15"/>
        <v>70</v>
      </c>
      <c r="I80" s="73">
        <f t="shared" si="16"/>
        <v>66.507000000000005</v>
      </c>
      <c r="J80" s="72" t="s">
        <v>86</v>
      </c>
      <c r="K80" s="74"/>
      <c r="M80" s="79"/>
      <c r="N80" s="80" t="e">
        <f t="shared" si="13"/>
        <v>#N/A</v>
      </c>
      <c r="O80" s="76"/>
      <c r="P80" s="81"/>
      <c r="Y80" s="91" t="s">
        <v>234</v>
      </c>
      <c r="Z80" s="92">
        <v>30</v>
      </c>
      <c r="AA80" s="92">
        <f t="shared" si="18"/>
        <v>3</v>
      </c>
    </row>
    <row r="81" spans="1:27" x14ac:dyDescent="0.25">
      <c r="A81" s="95">
        <v>45514</v>
      </c>
      <c r="B81" s="72" t="s">
        <v>204</v>
      </c>
      <c r="C81" s="72" t="s">
        <v>10</v>
      </c>
      <c r="D81" s="72" t="s">
        <v>17</v>
      </c>
      <c r="E81" s="72" t="s">
        <v>722</v>
      </c>
      <c r="F81" s="72">
        <v>1</v>
      </c>
      <c r="G81" s="73">
        <f t="shared" si="14"/>
        <v>50</v>
      </c>
      <c r="H81" s="73">
        <f t="shared" si="15"/>
        <v>50</v>
      </c>
      <c r="I81" s="73">
        <f t="shared" si="16"/>
        <v>48.805</v>
      </c>
      <c r="J81" s="72" t="s">
        <v>78</v>
      </c>
      <c r="K81" s="74"/>
      <c r="M81" s="79"/>
      <c r="N81" s="80" t="e">
        <f t="shared" si="13"/>
        <v>#N/A</v>
      </c>
      <c r="O81" s="76"/>
      <c r="P81" s="81"/>
      <c r="Y81" s="91" t="s">
        <v>235</v>
      </c>
      <c r="Z81" s="92">
        <v>29.283000000000001</v>
      </c>
      <c r="AA81" s="92">
        <f t="shared" si="18"/>
        <v>2.9283000000000001</v>
      </c>
    </row>
    <row r="82" spans="1:27" x14ac:dyDescent="0.25">
      <c r="A82" s="95">
        <v>45514</v>
      </c>
      <c r="B82" s="72" t="s">
        <v>324</v>
      </c>
      <c r="C82" s="72" t="s">
        <v>8</v>
      </c>
      <c r="D82" s="72" t="s">
        <v>18</v>
      </c>
      <c r="E82" s="72" t="s">
        <v>722</v>
      </c>
      <c r="F82" s="72">
        <v>1</v>
      </c>
      <c r="G82" s="73">
        <f t="shared" si="14"/>
        <v>40</v>
      </c>
      <c r="H82" s="73">
        <f t="shared" si="15"/>
        <v>40</v>
      </c>
      <c r="I82" s="73">
        <f t="shared" si="16"/>
        <v>38.003999999999998</v>
      </c>
      <c r="J82" s="72" t="s">
        <v>86</v>
      </c>
      <c r="K82" s="74"/>
      <c r="M82" s="79"/>
      <c r="N82" s="80" t="e">
        <f t="shared" si="13"/>
        <v>#N/A</v>
      </c>
      <c r="O82" s="76"/>
      <c r="P82" s="81"/>
      <c r="Y82" s="91" t="s">
        <v>237</v>
      </c>
      <c r="Z82" s="92">
        <v>28.503</v>
      </c>
      <c r="AA82" s="92">
        <f t="shared" si="18"/>
        <v>2.8503000000000003</v>
      </c>
    </row>
    <row r="83" spans="1:27" x14ac:dyDescent="0.25">
      <c r="A83" s="95">
        <v>45514</v>
      </c>
      <c r="B83" s="72" t="s">
        <v>522</v>
      </c>
      <c r="C83" s="72" t="s">
        <v>8</v>
      </c>
      <c r="D83" s="72" t="s">
        <v>22</v>
      </c>
      <c r="E83" s="72" t="s">
        <v>722</v>
      </c>
      <c r="F83" s="72">
        <v>1</v>
      </c>
      <c r="G83" s="73">
        <f t="shared" si="14"/>
        <v>30</v>
      </c>
      <c r="H83" s="73">
        <f t="shared" si="15"/>
        <v>30</v>
      </c>
      <c r="I83" s="73">
        <f t="shared" si="16"/>
        <v>29.283000000000001</v>
      </c>
      <c r="J83" s="72" t="s">
        <v>78</v>
      </c>
      <c r="K83" s="74"/>
      <c r="M83" s="79"/>
      <c r="N83" s="80" t="e">
        <f t="shared" si="13"/>
        <v>#N/A</v>
      </c>
      <c r="O83" s="76"/>
      <c r="P83" s="81"/>
      <c r="Y83" s="91" t="s">
        <v>239</v>
      </c>
      <c r="Z83" s="92">
        <v>30</v>
      </c>
      <c r="AA83" s="92">
        <f t="shared" si="18"/>
        <v>3</v>
      </c>
    </row>
    <row r="84" spans="1:27" x14ac:dyDescent="0.25">
      <c r="A84" s="95">
        <v>45514</v>
      </c>
      <c r="B84" s="72" t="s">
        <v>522</v>
      </c>
      <c r="C84" s="72" t="s">
        <v>8</v>
      </c>
      <c r="D84" s="72" t="s">
        <v>13</v>
      </c>
      <c r="E84" s="72" t="s">
        <v>722</v>
      </c>
      <c r="F84" s="72">
        <v>1</v>
      </c>
      <c r="G84" s="73">
        <f t="shared" si="14"/>
        <v>30</v>
      </c>
      <c r="H84" s="73">
        <f t="shared" si="15"/>
        <v>30</v>
      </c>
      <c r="I84" s="73">
        <f t="shared" si="16"/>
        <v>29.283000000000001</v>
      </c>
      <c r="J84" s="72" t="s">
        <v>78</v>
      </c>
      <c r="K84" s="74"/>
      <c r="M84" s="79"/>
      <c r="N84" s="80" t="e">
        <f t="shared" si="13"/>
        <v>#N/A</v>
      </c>
      <c r="O84" s="76"/>
      <c r="P84" s="81"/>
      <c r="Y84" s="91" t="s">
        <v>241</v>
      </c>
      <c r="Z84" s="92">
        <v>30</v>
      </c>
      <c r="AA84" s="92">
        <f t="shared" si="18"/>
        <v>3</v>
      </c>
    </row>
    <row r="85" spans="1:27" x14ac:dyDescent="0.25">
      <c r="A85" s="95">
        <v>45514</v>
      </c>
      <c r="B85" s="72" t="s">
        <v>427</v>
      </c>
      <c r="C85" s="72" t="s">
        <v>8</v>
      </c>
      <c r="D85" s="72" t="s">
        <v>17</v>
      </c>
      <c r="E85" s="72" t="s">
        <v>56</v>
      </c>
      <c r="F85" s="72">
        <v>1</v>
      </c>
      <c r="G85" s="73">
        <f t="shared" si="14"/>
        <v>50</v>
      </c>
      <c r="H85" s="73">
        <f t="shared" si="15"/>
        <v>50</v>
      </c>
      <c r="I85" s="73">
        <f t="shared" si="16"/>
        <v>50</v>
      </c>
      <c r="J85" s="72" t="s">
        <v>83</v>
      </c>
      <c r="K85" s="74"/>
      <c r="M85" s="79" t="s">
        <v>17</v>
      </c>
      <c r="N85" s="80">
        <f t="shared" si="13"/>
        <v>20</v>
      </c>
      <c r="O85" s="76">
        <f>N85*F85</f>
        <v>20</v>
      </c>
      <c r="P85" s="81" t="s">
        <v>56</v>
      </c>
      <c r="Y85" s="91" t="s">
        <v>242</v>
      </c>
      <c r="Z85" s="92">
        <v>29.283000000000001</v>
      </c>
      <c r="AA85" s="92">
        <f t="shared" si="18"/>
        <v>2.9283000000000001</v>
      </c>
    </row>
    <row r="86" spans="1:27" x14ac:dyDescent="0.25">
      <c r="A86" s="95">
        <v>45514</v>
      </c>
      <c r="B86" s="72" t="s">
        <v>459</v>
      </c>
      <c r="C86" s="72" t="s">
        <v>8</v>
      </c>
      <c r="D86" s="72" t="s">
        <v>18</v>
      </c>
      <c r="E86" s="72" t="s">
        <v>56</v>
      </c>
      <c r="F86" s="72">
        <v>1</v>
      </c>
      <c r="G86" s="73">
        <f t="shared" si="14"/>
        <v>40</v>
      </c>
      <c r="H86" s="73">
        <f t="shared" si="15"/>
        <v>40</v>
      </c>
      <c r="I86" s="73">
        <f t="shared" si="16"/>
        <v>39.043999999999997</v>
      </c>
      <c r="J86" s="72" t="s">
        <v>78</v>
      </c>
      <c r="K86" s="74"/>
      <c r="M86" s="79" t="s">
        <v>18</v>
      </c>
      <c r="N86" s="80">
        <f t="shared" si="13"/>
        <v>16</v>
      </c>
      <c r="O86" s="76">
        <f>N86*F86</f>
        <v>16</v>
      </c>
      <c r="P86" s="81" t="s">
        <v>56</v>
      </c>
      <c r="Y86" s="91" t="s">
        <v>243</v>
      </c>
      <c r="Z86" s="92">
        <v>28.503</v>
      </c>
      <c r="AA86" s="92">
        <f t="shared" si="18"/>
        <v>2.8503000000000003</v>
      </c>
    </row>
    <row r="87" spans="1:27" x14ac:dyDescent="0.25">
      <c r="A87" s="95">
        <v>45514</v>
      </c>
      <c r="B87" s="72" t="s">
        <v>576</v>
      </c>
      <c r="C87" s="72" t="s">
        <v>8</v>
      </c>
      <c r="D87" s="72" t="s">
        <v>18</v>
      </c>
      <c r="E87" s="72" t="s">
        <v>56</v>
      </c>
      <c r="F87" s="72">
        <v>1</v>
      </c>
      <c r="G87" s="73">
        <f t="shared" si="14"/>
        <v>40</v>
      </c>
      <c r="H87" s="73">
        <f t="shared" si="15"/>
        <v>40</v>
      </c>
      <c r="I87" s="73">
        <f t="shared" si="16"/>
        <v>38.003999999999998</v>
      </c>
      <c r="J87" s="72" t="s">
        <v>86</v>
      </c>
      <c r="K87" s="74"/>
      <c r="M87" s="79" t="s">
        <v>18</v>
      </c>
      <c r="N87" s="80">
        <f t="shared" si="13"/>
        <v>16</v>
      </c>
      <c r="O87" s="76">
        <f>N87*F87</f>
        <v>16</v>
      </c>
      <c r="P87" s="81" t="s">
        <v>56</v>
      </c>
      <c r="Y87" s="91" t="s">
        <v>245</v>
      </c>
      <c r="Z87" s="92">
        <v>10</v>
      </c>
      <c r="AA87" s="92">
        <f t="shared" si="18"/>
        <v>1</v>
      </c>
    </row>
    <row r="88" spans="1:27" x14ac:dyDescent="0.25">
      <c r="A88" s="95">
        <v>45514</v>
      </c>
      <c r="B88" s="72" t="s">
        <v>737</v>
      </c>
      <c r="C88" s="72" t="s">
        <v>9</v>
      </c>
      <c r="D88" s="72" t="s">
        <v>18</v>
      </c>
      <c r="E88" s="72" t="s">
        <v>56</v>
      </c>
      <c r="F88" s="72">
        <v>1</v>
      </c>
      <c r="G88" s="73">
        <f t="shared" si="14"/>
        <v>40</v>
      </c>
      <c r="H88" s="73">
        <f t="shared" si="15"/>
        <v>40</v>
      </c>
      <c r="I88" s="73">
        <f t="shared" si="16"/>
        <v>39.043999999999997</v>
      </c>
      <c r="J88" s="72" t="s">
        <v>78</v>
      </c>
      <c r="K88" s="74"/>
      <c r="M88" s="79" t="s">
        <v>18</v>
      </c>
      <c r="N88" s="80">
        <f t="shared" si="13"/>
        <v>16</v>
      </c>
      <c r="O88" s="76">
        <f>N88*F88</f>
        <v>16</v>
      </c>
      <c r="P88" s="81" t="s">
        <v>56</v>
      </c>
      <c r="Y88" s="91" t="s">
        <v>246</v>
      </c>
      <c r="Z88" s="92">
        <v>10</v>
      </c>
      <c r="AA88" s="92">
        <f t="shared" si="18"/>
        <v>1</v>
      </c>
    </row>
    <row r="89" spans="1:27" x14ac:dyDescent="0.25">
      <c r="A89" s="95">
        <v>45514</v>
      </c>
      <c r="B89" s="72" t="s">
        <v>587</v>
      </c>
      <c r="C89" s="72" t="s">
        <v>10</v>
      </c>
      <c r="D89" s="72" t="s">
        <v>21</v>
      </c>
      <c r="E89" s="72" t="s">
        <v>56</v>
      </c>
      <c r="F89" s="72">
        <v>1</v>
      </c>
      <c r="G89" s="73">
        <f t="shared" si="14"/>
        <v>10</v>
      </c>
      <c r="H89" s="73">
        <f t="shared" si="15"/>
        <v>10</v>
      </c>
      <c r="I89" s="73">
        <f t="shared" si="16"/>
        <v>10</v>
      </c>
      <c r="J89" s="72" t="s">
        <v>83</v>
      </c>
      <c r="K89" s="74"/>
      <c r="M89" s="79" t="s">
        <v>21</v>
      </c>
      <c r="N89" s="80">
        <f t="shared" si="13"/>
        <v>4</v>
      </c>
      <c r="O89" s="76">
        <f>N89*F89</f>
        <v>4</v>
      </c>
      <c r="P89" s="81" t="s">
        <v>56</v>
      </c>
      <c r="Q89" s="106">
        <f>SUM(O34:O89)</f>
        <v>329.5</v>
      </c>
      <c r="Y89" s="91" t="s">
        <v>248</v>
      </c>
      <c r="Z89" s="92">
        <v>9.7609999999999992</v>
      </c>
      <c r="AA89" s="92">
        <f t="shared" si="18"/>
        <v>0.97609999999999997</v>
      </c>
    </row>
    <row r="90" spans="1:27" x14ac:dyDescent="0.25">
      <c r="A90" s="95">
        <v>45514</v>
      </c>
      <c r="B90" s="72" t="s">
        <v>204</v>
      </c>
      <c r="C90" s="72" t="s">
        <v>8</v>
      </c>
      <c r="D90" s="72" t="s">
        <v>17</v>
      </c>
      <c r="E90" s="72" t="s">
        <v>722</v>
      </c>
      <c r="F90" s="72">
        <v>1</v>
      </c>
      <c r="G90" s="73">
        <f t="shared" si="14"/>
        <v>50</v>
      </c>
      <c r="H90" s="73">
        <f t="shared" si="15"/>
        <v>50</v>
      </c>
      <c r="I90" s="73">
        <f t="shared" si="16"/>
        <v>50</v>
      </c>
      <c r="J90" s="72" t="s">
        <v>83</v>
      </c>
      <c r="K90" s="74"/>
      <c r="M90" s="79"/>
      <c r="N90" s="80" t="e">
        <f t="shared" si="13"/>
        <v>#N/A</v>
      </c>
      <c r="O90" s="76"/>
      <c r="P90" s="81"/>
      <c r="Y90" s="91" t="s">
        <v>249</v>
      </c>
      <c r="Z90" s="92">
        <v>9.5009999999999994</v>
      </c>
      <c r="AA90" s="92">
        <f t="shared" si="18"/>
        <v>0.95009999999999994</v>
      </c>
    </row>
    <row r="91" spans="1:27" x14ac:dyDescent="0.25">
      <c r="A91" s="95">
        <v>45517</v>
      </c>
      <c r="B91" s="72" t="s">
        <v>580</v>
      </c>
      <c r="C91" s="72" t="s">
        <v>8</v>
      </c>
      <c r="D91" s="72" t="s">
        <v>18</v>
      </c>
      <c r="E91" s="72" t="s">
        <v>56</v>
      </c>
      <c r="F91" s="72">
        <v>1</v>
      </c>
      <c r="G91" s="73">
        <f t="shared" si="14"/>
        <v>40</v>
      </c>
      <c r="H91" s="73">
        <f t="shared" si="15"/>
        <v>40</v>
      </c>
      <c r="I91" s="73">
        <f t="shared" si="16"/>
        <v>39.043999999999997</v>
      </c>
      <c r="J91" s="72" t="s">
        <v>78</v>
      </c>
      <c r="K91" s="74"/>
      <c r="M91" s="79" t="s">
        <v>18</v>
      </c>
      <c r="N91" s="80">
        <f t="shared" si="13"/>
        <v>16</v>
      </c>
      <c r="O91" s="76">
        <f>N91*F91</f>
        <v>16</v>
      </c>
      <c r="P91" s="81" t="s">
        <v>56</v>
      </c>
      <c r="Y91" s="91" t="s">
        <v>250</v>
      </c>
      <c r="Z91" s="92">
        <v>20</v>
      </c>
      <c r="AA91" s="92">
        <f t="shared" si="18"/>
        <v>2</v>
      </c>
    </row>
    <row r="92" spans="1:27" x14ac:dyDescent="0.25">
      <c r="A92" s="95">
        <v>45517</v>
      </c>
      <c r="B92" s="72" t="s">
        <v>524</v>
      </c>
      <c r="C92" s="72" t="s">
        <v>8</v>
      </c>
      <c r="D92" s="72" t="s">
        <v>15</v>
      </c>
      <c r="E92" s="72" t="s">
        <v>56</v>
      </c>
      <c r="F92" s="72">
        <v>1</v>
      </c>
      <c r="G92" s="73">
        <f t="shared" si="14"/>
        <v>70</v>
      </c>
      <c r="H92" s="73">
        <f t="shared" si="15"/>
        <v>70</v>
      </c>
      <c r="I92" s="73">
        <f t="shared" si="16"/>
        <v>70</v>
      </c>
      <c r="J92" s="72" t="s">
        <v>83</v>
      </c>
      <c r="K92" s="74"/>
      <c r="M92" s="79" t="s">
        <v>15</v>
      </c>
      <c r="N92" s="80">
        <f t="shared" si="13"/>
        <v>28</v>
      </c>
      <c r="O92" s="76">
        <f>N92*F92</f>
        <v>28</v>
      </c>
      <c r="P92" s="81" t="s">
        <v>56</v>
      </c>
      <c r="Y92" s="91" t="s">
        <v>252</v>
      </c>
      <c r="Z92" s="92">
        <v>20</v>
      </c>
      <c r="AA92" s="92">
        <f t="shared" si="18"/>
        <v>2</v>
      </c>
    </row>
    <row r="93" spans="1:27" x14ac:dyDescent="0.25">
      <c r="A93" s="95">
        <v>45517</v>
      </c>
      <c r="B93" s="72" t="s">
        <v>511</v>
      </c>
      <c r="C93" s="72" t="s">
        <v>8</v>
      </c>
      <c r="D93" s="72" t="s">
        <v>18</v>
      </c>
      <c r="E93" s="72" t="s">
        <v>722</v>
      </c>
      <c r="F93" s="72">
        <v>1</v>
      </c>
      <c r="G93" s="73">
        <f t="shared" si="14"/>
        <v>40</v>
      </c>
      <c r="H93" s="73">
        <f t="shared" si="15"/>
        <v>40</v>
      </c>
      <c r="I93" s="73">
        <f t="shared" si="16"/>
        <v>40</v>
      </c>
      <c r="J93" s="72" t="s">
        <v>83</v>
      </c>
      <c r="K93" s="74"/>
      <c r="M93" s="79"/>
      <c r="N93" s="80" t="e">
        <f t="shared" si="13"/>
        <v>#N/A</v>
      </c>
      <c r="O93" s="76"/>
      <c r="P93" s="81"/>
      <c r="Y93" s="91" t="s">
        <v>253</v>
      </c>
      <c r="Z93" s="92">
        <v>19.521999999999998</v>
      </c>
      <c r="AA93" s="92">
        <f t="shared" si="18"/>
        <v>1.9521999999999999</v>
      </c>
    </row>
    <row r="94" spans="1:27" x14ac:dyDescent="0.25">
      <c r="A94" s="95">
        <v>45517</v>
      </c>
      <c r="B94" s="72" t="s">
        <v>572</v>
      </c>
      <c r="C94" s="72" t="s">
        <v>8</v>
      </c>
      <c r="D94" s="72" t="s">
        <v>18</v>
      </c>
      <c r="E94" s="72" t="s">
        <v>722</v>
      </c>
      <c r="F94" s="72">
        <v>1</v>
      </c>
      <c r="G94" s="73">
        <f t="shared" si="14"/>
        <v>40</v>
      </c>
      <c r="H94" s="73">
        <f t="shared" si="15"/>
        <v>40</v>
      </c>
      <c r="I94" s="73">
        <f t="shared" si="16"/>
        <v>40</v>
      </c>
      <c r="J94" s="72" t="s">
        <v>79</v>
      </c>
      <c r="K94" s="74"/>
      <c r="M94" s="79"/>
      <c r="N94" s="80" t="e">
        <f t="shared" si="13"/>
        <v>#N/A</v>
      </c>
      <c r="O94" s="76"/>
      <c r="P94" s="81"/>
      <c r="Y94" s="91" t="s">
        <v>254</v>
      </c>
      <c r="Z94" s="92">
        <v>19.001999999999999</v>
      </c>
      <c r="AA94" s="92">
        <f t="shared" si="18"/>
        <v>1.9001999999999999</v>
      </c>
    </row>
    <row r="95" spans="1:27" x14ac:dyDescent="0.25">
      <c r="A95" s="95">
        <v>45517</v>
      </c>
      <c r="B95" s="72" t="s">
        <v>204</v>
      </c>
      <c r="C95" s="72" t="s">
        <v>8</v>
      </c>
      <c r="D95" s="72" t="s">
        <v>40</v>
      </c>
      <c r="E95" s="72" t="s">
        <v>722</v>
      </c>
      <c r="F95" s="72">
        <v>1</v>
      </c>
      <c r="G95" s="73">
        <f t="shared" si="14"/>
        <v>45</v>
      </c>
      <c r="H95" s="73">
        <f t="shared" si="15"/>
        <v>45</v>
      </c>
      <c r="I95" s="73">
        <f t="shared" si="16"/>
        <v>45</v>
      </c>
      <c r="J95" s="72" t="s">
        <v>79</v>
      </c>
      <c r="K95" s="74"/>
      <c r="M95" s="79"/>
      <c r="N95" s="80" t="e">
        <f t="shared" si="13"/>
        <v>#N/A</v>
      </c>
      <c r="O95" s="76"/>
      <c r="P95" s="81"/>
      <c r="Y95" s="91" t="s">
        <v>255</v>
      </c>
      <c r="Z95" s="92">
        <v>10</v>
      </c>
      <c r="AA95" s="92">
        <f t="shared" si="18"/>
        <v>1</v>
      </c>
    </row>
    <row r="96" spans="1:27" x14ac:dyDescent="0.25">
      <c r="A96" s="95">
        <v>45517</v>
      </c>
      <c r="B96" s="72" t="s">
        <v>738</v>
      </c>
      <c r="C96" s="72" t="s">
        <v>8</v>
      </c>
      <c r="D96" s="72" t="s">
        <v>15</v>
      </c>
      <c r="E96" s="72" t="s">
        <v>722</v>
      </c>
      <c r="F96" s="72">
        <v>1</v>
      </c>
      <c r="G96" s="73">
        <f t="shared" si="14"/>
        <v>70</v>
      </c>
      <c r="H96" s="73">
        <f t="shared" si="15"/>
        <v>70</v>
      </c>
      <c r="I96" s="73">
        <f t="shared" si="16"/>
        <v>70</v>
      </c>
      <c r="J96" s="72" t="s">
        <v>83</v>
      </c>
      <c r="K96" s="74"/>
      <c r="M96" s="79"/>
      <c r="N96" s="80" t="e">
        <f t="shared" si="13"/>
        <v>#N/A</v>
      </c>
      <c r="O96" s="76"/>
      <c r="P96" s="81"/>
      <c r="Y96" s="91" t="s">
        <v>257</v>
      </c>
      <c r="Z96" s="92">
        <v>10</v>
      </c>
      <c r="AA96" s="92">
        <f t="shared" si="18"/>
        <v>1</v>
      </c>
    </row>
    <row r="97" spans="1:27" x14ac:dyDescent="0.25">
      <c r="A97" s="95">
        <v>45517</v>
      </c>
      <c r="B97" s="72" t="s">
        <v>196</v>
      </c>
      <c r="C97" s="72" t="s">
        <v>8</v>
      </c>
      <c r="D97" s="72" t="s">
        <v>18</v>
      </c>
      <c r="E97" s="72" t="s">
        <v>722</v>
      </c>
      <c r="F97" s="72">
        <v>4</v>
      </c>
      <c r="G97" s="73">
        <f t="shared" si="14"/>
        <v>40</v>
      </c>
      <c r="H97" s="73">
        <v>140</v>
      </c>
      <c r="I97" s="73">
        <f t="shared" si="16"/>
        <v>140</v>
      </c>
      <c r="J97" s="72" t="s">
        <v>79</v>
      </c>
      <c r="K97" s="74"/>
      <c r="M97" s="79"/>
      <c r="N97" s="80" t="e">
        <f t="shared" ref="N97:N128" si="19">VLOOKUP(M97,$S$3:$U$64,3,0)</f>
        <v>#N/A</v>
      </c>
      <c r="O97" s="76"/>
      <c r="P97" s="81"/>
      <c r="Y97" s="91" t="s">
        <v>259</v>
      </c>
      <c r="Z97" s="92">
        <v>9.7609999999999992</v>
      </c>
      <c r="AA97" s="92">
        <f t="shared" si="18"/>
        <v>0.97609999999999997</v>
      </c>
    </row>
    <row r="98" spans="1:27" x14ac:dyDescent="0.25">
      <c r="A98" s="95">
        <v>45517</v>
      </c>
      <c r="B98" s="72" t="s">
        <v>739</v>
      </c>
      <c r="C98" s="72" t="s">
        <v>10</v>
      </c>
      <c r="D98" s="72" t="s">
        <v>17</v>
      </c>
      <c r="E98" s="72" t="s">
        <v>56</v>
      </c>
      <c r="F98" s="72">
        <v>1</v>
      </c>
      <c r="G98" s="73">
        <f t="shared" ref="G98:G129" si="20">VLOOKUP(D98,$S$3:$T$64,2,0)</f>
        <v>50</v>
      </c>
      <c r="H98" s="73">
        <f t="shared" ref="H98:H161" si="21">F98*G98</f>
        <v>50</v>
      </c>
      <c r="I98" s="73">
        <f t="shared" si="16"/>
        <v>48.805</v>
      </c>
      <c r="J98" s="72" t="s">
        <v>78</v>
      </c>
      <c r="K98" s="74"/>
      <c r="M98" s="79" t="s">
        <v>17</v>
      </c>
      <c r="N98" s="80">
        <f t="shared" si="19"/>
        <v>20</v>
      </c>
      <c r="O98" s="76">
        <f>N98*F98</f>
        <v>20</v>
      </c>
      <c r="P98" s="81" t="s">
        <v>56</v>
      </c>
      <c r="Y98" s="91" t="s">
        <v>261</v>
      </c>
      <c r="Z98" s="92">
        <v>9.5009999999999994</v>
      </c>
      <c r="AA98" s="92">
        <f t="shared" si="18"/>
        <v>0.95009999999999994</v>
      </c>
    </row>
    <row r="99" spans="1:27" x14ac:dyDescent="0.25">
      <c r="A99" s="95">
        <v>45517</v>
      </c>
      <c r="B99" s="72" t="s">
        <v>178</v>
      </c>
      <c r="C99" s="72" t="s">
        <v>8</v>
      </c>
      <c r="D99" s="72" t="s">
        <v>18</v>
      </c>
      <c r="E99" s="72" t="s">
        <v>722</v>
      </c>
      <c r="F99" s="72">
        <v>1</v>
      </c>
      <c r="G99" s="73">
        <f t="shared" si="20"/>
        <v>40</v>
      </c>
      <c r="H99" s="73">
        <f t="shared" si="21"/>
        <v>40</v>
      </c>
      <c r="I99" s="73">
        <f t="shared" si="16"/>
        <v>40</v>
      </c>
      <c r="J99" s="72" t="s">
        <v>83</v>
      </c>
      <c r="K99" s="74"/>
      <c r="M99" s="79"/>
      <c r="N99" s="80" t="e">
        <f t="shared" si="19"/>
        <v>#N/A</v>
      </c>
      <c r="O99" s="76"/>
      <c r="P99" s="81"/>
      <c r="Y99" s="91" t="s">
        <v>263</v>
      </c>
      <c r="Z99" s="92">
        <v>35</v>
      </c>
      <c r="AA99" s="92">
        <f t="shared" si="18"/>
        <v>3.5</v>
      </c>
    </row>
    <row r="100" spans="1:27" x14ac:dyDescent="0.25">
      <c r="A100" s="95">
        <v>45518</v>
      </c>
      <c r="B100" s="72" t="s">
        <v>631</v>
      </c>
      <c r="C100" s="72" t="s">
        <v>9</v>
      </c>
      <c r="D100" s="72" t="s">
        <v>17</v>
      </c>
      <c r="E100" s="72" t="s">
        <v>56</v>
      </c>
      <c r="F100" s="72">
        <v>1</v>
      </c>
      <c r="G100" s="73">
        <f t="shared" si="20"/>
        <v>50</v>
      </c>
      <c r="H100" s="73">
        <f t="shared" si="21"/>
        <v>50</v>
      </c>
      <c r="I100" s="73">
        <f t="shared" si="16"/>
        <v>47.505000000000003</v>
      </c>
      <c r="J100" s="72" t="s">
        <v>86</v>
      </c>
      <c r="K100" s="74"/>
      <c r="M100" s="79" t="s">
        <v>17</v>
      </c>
      <c r="N100" s="80">
        <f t="shared" si="19"/>
        <v>20</v>
      </c>
      <c r="O100" s="76">
        <f>N100*F100</f>
        <v>20</v>
      </c>
      <c r="P100" s="81" t="s">
        <v>56</v>
      </c>
      <c r="Y100" s="91" t="s">
        <v>265</v>
      </c>
      <c r="Z100" s="92">
        <v>35</v>
      </c>
      <c r="AA100" s="92">
        <f t="shared" si="18"/>
        <v>3.5</v>
      </c>
    </row>
    <row r="101" spans="1:27" x14ac:dyDescent="0.25">
      <c r="A101" s="95">
        <v>45518</v>
      </c>
      <c r="B101" s="72" t="s">
        <v>612</v>
      </c>
      <c r="C101" s="72" t="s">
        <v>8</v>
      </c>
      <c r="D101" s="72" t="s">
        <v>17</v>
      </c>
      <c r="E101" s="72" t="s">
        <v>56</v>
      </c>
      <c r="F101" s="72">
        <v>1</v>
      </c>
      <c r="G101" s="73">
        <f t="shared" si="20"/>
        <v>50</v>
      </c>
      <c r="H101" s="73">
        <f t="shared" si="21"/>
        <v>50</v>
      </c>
      <c r="I101" s="73">
        <f t="shared" si="16"/>
        <v>47.505000000000003</v>
      </c>
      <c r="J101" s="72" t="s">
        <v>86</v>
      </c>
      <c r="K101" s="74"/>
      <c r="M101" s="79" t="s">
        <v>17</v>
      </c>
      <c r="N101" s="80">
        <f t="shared" si="19"/>
        <v>20</v>
      </c>
      <c r="O101" s="76">
        <f>N101*F101</f>
        <v>20</v>
      </c>
      <c r="P101" s="81" t="s">
        <v>56</v>
      </c>
      <c r="Y101" s="91" t="s">
        <v>267</v>
      </c>
      <c r="Z101" s="92">
        <v>34.163499999999999</v>
      </c>
      <c r="AA101" s="92">
        <f t="shared" si="18"/>
        <v>3.41635</v>
      </c>
    </row>
    <row r="102" spans="1:27" x14ac:dyDescent="0.25">
      <c r="A102" s="95">
        <v>45518</v>
      </c>
      <c r="B102" s="72" t="s">
        <v>289</v>
      </c>
      <c r="C102" s="72" t="s">
        <v>8</v>
      </c>
      <c r="D102" s="72" t="s">
        <v>15</v>
      </c>
      <c r="E102" s="72" t="s">
        <v>722</v>
      </c>
      <c r="F102" s="72">
        <v>1</v>
      </c>
      <c r="G102" s="73">
        <f t="shared" si="20"/>
        <v>70</v>
      </c>
      <c r="H102" s="73">
        <f t="shared" si="21"/>
        <v>70</v>
      </c>
      <c r="I102" s="73">
        <f t="shared" si="16"/>
        <v>68.326999999999998</v>
      </c>
      <c r="J102" s="72" t="s">
        <v>78</v>
      </c>
      <c r="K102" s="74"/>
      <c r="M102" s="79"/>
      <c r="N102" s="80" t="e">
        <f t="shared" si="19"/>
        <v>#N/A</v>
      </c>
      <c r="O102" s="76"/>
      <c r="P102" s="81"/>
      <c r="Y102" s="91" t="s">
        <v>271</v>
      </c>
      <c r="Z102" s="92">
        <v>35</v>
      </c>
      <c r="AA102" s="92">
        <f t="shared" si="18"/>
        <v>3.5</v>
      </c>
    </row>
    <row r="103" spans="1:27" x14ac:dyDescent="0.25">
      <c r="A103" s="95">
        <v>45518</v>
      </c>
      <c r="B103" s="72" t="s">
        <v>593</v>
      </c>
      <c r="C103" s="72" t="s">
        <v>8</v>
      </c>
      <c r="D103" s="72" t="s">
        <v>18</v>
      </c>
      <c r="E103" s="72" t="s">
        <v>82</v>
      </c>
      <c r="F103" s="72">
        <v>1</v>
      </c>
      <c r="G103" s="73">
        <f t="shared" si="20"/>
        <v>40</v>
      </c>
      <c r="H103" s="73">
        <f t="shared" si="21"/>
        <v>40</v>
      </c>
      <c r="I103" s="73">
        <f t="shared" si="16"/>
        <v>39.043999999999997</v>
      </c>
      <c r="J103" s="72" t="s">
        <v>78</v>
      </c>
      <c r="K103" s="74"/>
      <c r="M103" s="79"/>
      <c r="N103" s="80" t="e">
        <f t="shared" si="19"/>
        <v>#N/A</v>
      </c>
      <c r="O103" s="76"/>
      <c r="P103" s="81"/>
      <c r="Q103" s="106"/>
      <c r="Y103" s="91" t="s">
        <v>273</v>
      </c>
      <c r="Z103" s="92">
        <v>35</v>
      </c>
      <c r="AA103" s="92">
        <f t="shared" si="18"/>
        <v>3.5</v>
      </c>
    </row>
    <row r="104" spans="1:27" x14ac:dyDescent="0.25">
      <c r="A104" s="95">
        <v>45518</v>
      </c>
      <c r="B104" s="72" t="s">
        <v>516</v>
      </c>
      <c r="C104" s="72" t="s">
        <v>8</v>
      </c>
      <c r="D104" s="72" t="s">
        <v>15</v>
      </c>
      <c r="E104" s="72" t="s">
        <v>56</v>
      </c>
      <c r="F104" s="72">
        <v>1</v>
      </c>
      <c r="G104" s="73">
        <f t="shared" si="20"/>
        <v>70</v>
      </c>
      <c r="H104" s="73">
        <f t="shared" si="21"/>
        <v>70</v>
      </c>
      <c r="I104" s="73">
        <f t="shared" si="16"/>
        <v>70</v>
      </c>
      <c r="J104" s="72" t="s">
        <v>83</v>
      </c>
      <c r="K104" s="74"/>
      <c r="M104" s="79" t="s">
        <v>15</v>
      </c>
      <c r="N104" s="80">
        <f t="shared" si="19"/>
        <v>28</v>
      </c>
      <c r="O104" s="76">
        <f>N104*F104</f>
        <v>28</v>
      </c>
      <c r="P104" s="81" t="s">
        <v>56</v>
      </c>
      <c r="Y104" s="91" t="s">
        <v>275</v>
      </c>
      <c r="Z104" s="92">
        <v>34.163499999999999</v>
      </c>
      <c r="AA104" s="92">
        <f t="shared" si="18"/>
        <v>3.41635</v>
      </c>
    </row>
    <row r="105" spans="1:27" x14ac:dyDescent="0.25">
      <c r="A105" s="95">
        <v>45518</v>
      </c>
      <c r="B105" s="72" t="s">
        <v>324</v>
      </c>
      <c r="C105" s="72" t="s">
        <v>8</v>
      </c>
      <c r="D105" s="72" t="s">
        <v>17</v>
      </c>
      <c r="E105" s="72" t="s">
        <v>722</v>
      </c>
      <c r="F105" s="72">
        <v>1</v>
      </c>
      <c r="G105" s="73">
        <f t="shared" si="20"/>
        <v>50</v>
      </c>
      <c r="H105" s="73">
        <f t="shared" si="21"/>
        <v>50</v>
      </c>
      <c r="I105" s="73">
        <f t="shared" si="16"/>
        <v>48.805</v>
      </c>
      <c r="J105" s="72" t="s">
        <v>78</v>
      </c>
      <c r="K105" s="74"/>
      <c r="M105" s="79"/>
      <c r="N105" s="80" t="e">
        <f t="shared" si="19"/>
        <v>#N/A</v>
      </c>
      <c r="O105" s="76"/>
      <c r="P105" s="81"/>
      <c r="Y105" s="91" t="s">
        <v>277</v>
      </c>
      <c r="Z105" s="92">
        <v>33.253500000000003</v>
      </c>
      <c r="AA105" s="92">
        <f t="shared" si="18"/>
        <v>3.3253500000000003</v>
      </c>
    </row>
    <row r="106" spans="1:27" x14ac:dyDescent="0.25">
      <c r="A106" s="95">
        <v>45518</v>
      </c>
      <c r="B106" s="72" t="s">
        <v>740</v>
      </c>
      <c r="C106" s="72" t="s">
        <v>8</v>
      </c>
      <c r="D106" s="72" t="s">
        <v>18</v>
      </c>
      <c r="E106" s="72" t="s">
        <v>56</v>
      </c>
      <c r="F106" s="72">
        <v>1</v>
      </c>
      <c r="G106" s="73">
        <f t="shared" si="20"/>
        <v>40</v>
      </c>
      <c r="H106" s="73">
        <f t="shared" si="21"/>
        <v>40</v>
      </c>
      <c r="I106" s="73">
        <f t="shared" si="16"/>
        <v>38.003999999999998</v>
      </c>
      <c r="J106" s="72" t="s">
        <v>86</v>
      </c>
      <c r="K106" s="74"/>
      <c r="M106" s="79" t="s">
        <v>18</v>
      </c>
      <c r="N106" s="80">
        <f t="shared" si="19"/>
        <v>16</v>
      </c>
      <c r="O106" s="76">
        <f>N106*F106</f>
        <v>16</v>
      </c>
      <c r="P106" s="81" t="s">
        <v>56</v>
      </c>
      <c r="Y106" s="91" t="s">
        <v>278</v>
      </c>
      <c r="Z106" s="92">
        <v>35</v>
      </c>
      <c r="AA106" s="92">
        <f t="shared" si="18"/>
        <v>3.5</v>
      </c>
    </row>
    <row r="107" spans="1:27" x14ac:dyDescent="0.25">
      <c r="A107" s="95">
        <v>45519</v>
      </c>
      <c r="B107" s="72" t="s">
        <v>427</v>
      </c>
      <c r="C107" s="72" t="s">
        <v>10</v>
      </c>
      <c r="D107" s="72" t="s">
        <v>36</v>
      </c>
      <c r="E107" s="72" t="s">
        <v>56</v>
      </c>
      <c r="F107" s="72">
        <v>1</v>
      </c>
      <c r="G107" s="73">
        <f t="shared" si="20"/>
        <v>30</v>
      </c>
      <c r="H107" s="73">
        <f t="shared" si="21"/>
        <v>30</v>
      </c>
      <c r="I107" s="73">
        <f t="shared" si="16"/>
        <v>30</v>
      </c>
      <c r="J107" s="72" t="s">
        <v>83</v>
      </c>
      <c r="K107" s="74"/>
      <c r="M107" s="79" t="s">
        <v>36</v>
      </c>
      <c r="N107" s="80">
        <f t="shared" si="19"/>
        <v>3</v>
      </c>
      <c r="O107" s="76">
        <f>N107*F107</f>
        <v>3</v>
      </c>
      <c r="P107" s="81" t="s">
        <v>56</v>
      </c>
      <c r="Y107" s="91" t="s">
        <v>280</v>
      </c>
      <c r="Z107" s="92">
        <v>35</v>
      </c>
      <c r="AA107" s="92">
        <f t="shared" si="18"/>
        <v>3.5</v>
      </c>
    </row>
    <row r="108" spans="1:27" x14ac:dyDescent="0.25">
      <c r="A108" s="95">
        <v>45519</v>
      </c>
      <c r="B108" s="72" t="s">
        <v>741</v>
      </c>
      <c r="C108" s="72" t="s">
        <v>8</v>
      </c>
      <c r="D108" s="72" t="s">
        <v>18</v>
      </c>
      <c r="E108" s="72" t="s">
        <v>722</v>
      </c>
      <c r="F108" s="72">
        <v>1</v>
      </c>
      <c r="G108" s="73">
        <f t="shared" si="20"/>
        <v>40</v>
      </c>
      <c r="H108" s="73">
        <f t="shared" si="21"/>
        <v>40</v>
      </c>
      <c r="I108" s="73">
        <f t="shared" si="16"/>
        <v>40</v>
      </c>
      <c r="J108" s="72" t="s">
        <v>83</v>
      </c>
      <c r="K108" s="74"/>
      <c r="M108" s="79"/>
      <c r="N108" s="80" t="e">
        <f t="shared" si="19"/>
        <v>#N/A</v>
      </c>
      <c r="O108" s="76"/>
      <c r="P108" s="81"/>
      <c r="Y108" s="91" t="s">
        <v>282</v>
      </c>
      <c r="Z108" s="92">
        <v>34.163499999999999</v>
      </c>
      <c r="AA108" s="92">
        <f t="shared" si="18"/>
        <v>3.41635</v>
      </c>
    </row>
    <row r="109" spans="1:27" x14ac:dyDescent="0.25">
      <c r="A109" s="95">
        <v>45519</v>
      </c>
      <c r="B109" s="72" t="s">
        <v>574</v>
      </c>
      <c r="C109" s="72" t="s">
        <v>8</v>
      </c>
      <c r="D109" s="72" t="s">
        <v>17</v>
      </c>
      <c r="E109" s="72" t="s">
        <v>722</v>
      </c>
      <c r="F109" s="72">
        <v>1</v>
      </c>
      <c r="G109" s="73">
        <f t="shared" si="20"/>
        <v>50</v>
      </c>
      <c r="H109" s="73">
        <f t="shared" si="21"/>
        <v>50</v>
      </c>
      <c r="I109" s="73">
        <f t="shared" si="16"/>
        <v>50</v>
      </c>
      <c r="J109" s="72" t="s">
        <v>83</v>
      </c>
      <c r="K109" s="74"/>
      <c r="M109" s="79"/>
      <c r="N109" s="80" t="e">
        <f t="shared" si="19"/>
        <v>#N/A</v>
      </c>
      <c r="O109" s="76"/>
      <c r="P109" s="81"/>
      <c r="Y109" s="91" t="s">
        <v>285</v>
      </c>
      <c r="Z109" s="92">
        <v>33.253500000000003</v>
      </c>
      <c r="AA109" s="92">
        <f t="shared" si="18"/>
        <v>3.3253500000000003</v>
      </c>
    </row>
    <row r="110" spans="1:27" x14ac:dyDescent="0.25">
      <c r="A110" s="95">
        <v>45519</v>
      </c>
      <c r="B110" s="72" t="s">
        <v>516</v>
      </c>
      <c r="C110" s="72" t="s">
        <v>8</v>
      </c>
      <c r="D110" s="72" t="s">
        <v>16</v>
      </c>
      <c r="E110" s="72" t="s">
        <v>722</v>
      </c>
      <c r="F110" s="72">
        <v>1</v>
      </c>
      <c r="G110" s="73">
        <f t="shared" si="20"/>
        <v>80</v>
      </c>
      <c r="H110" s="73">
        <f t="shared" si="21"/>
        <v>80</v>
      </c>
      <c r="I110" s="73">
        <f t="shared" si="16"/>
        <v>80</v>
      </c>
      <c r="J110" s="72" t="s">
        <v>83</v>
      </c>
      <c r="K110" s="74"/>
      <c r="M110" s="79"/>
      <c r="N110" s="80" t="e">
        <f t="shared" si="19"/>
        <v>#N/A</v>
      </c>
      <c r="O110" s="76"/>
      <c r="P110" s="81"/>
      <c r="Y110" s="91" t="s">
        <v>286</v>
      </c>
      <c r="Z110" s="92">
        <v>35</v>
      </c>
      <c r="AA110" s="92">
        <f t="shared" si="18"/>
        <v>3.5</v>
      </c>
    </row>
    <row r="111" spans="1:27" x14ac:dyDescent="0.25">
      <c r="A111" s="95">
        <v>45519</v>
      </c>
      <c r="B111" s="72" t="s">
        <v>680</v>
      </c>
      <c r="C111" s="72" t="s">
        <v>8</v>
      </c>
      <c r="D111" s="72" t="s">
        <v>43</v>
      </c>
      <c r="E111" s="72" t="s">
        <v>722</v>
      </c>
      <c r="F111" s="72">
        <v>1</v>
      </c>
      <c r="G111" s="73">
        <f t="shared" si="20"/>
        <v>130</v>
      </c>
      <c r="H111" s="73">
        <f t="shared" si="21"/>
        <v>130</v>
      </c>
      <c r="I111" s="73">
        <f t="shared" si="16"/>
        <v>123.51300000000001</v>
      </c>
      <c r="J111" s="72" t="s">
        <v>86</v>
      </c>
      <c r="K111" s="74"/>
      <c r="M111" s="79"/>
      <c r="N111" s="80" t="e">
        <f t="shared" si="19"/>
        <v>#N/A</v>
      </c>
      <c r="O111" s="76"/>
      <c r="P111" s="81"/>
      <c r="Y111" s="91" t="s">
        <v>287</v>
      </c>
      <c r="Z111" s="92">
        <v>35</v>
      </c>
      <c r="AA111" s="92">
        <f t="shared" si="18"/>
        <v>3.5</v>
      </c>
    </row>
    <row r="112" spans="1:27" x14ac:dyDescent="0.25">
      <c r="A112" s="95">
        <v>45519</v>
      </c>
      <c r="B112" s="72" t="s">
        <v>174</v>
      </c>
      <c r="C112" s="72" t="s">
        <v>8</v>
      </c>
      <c r="D112" s="72" t="s">
        <v>18</v>
      </c>
      <c r="E112" s="72" t="s">
        <v>56</v>
      </c>
      <c r="F112" s="72">
        <v>1</v>
      </c>
      <c r="G112" s="73">
        <f t="shared" si="20"/>
        <v>40</v>
      </c>
      <c r="H112" s="73">
        <f t="shared" si="21"/>
        <v>40</v>
      </c>
      <c r="I112" s="73">
        <f t="shared" si="16"/>
        <v>40</v>
      </c>
      <c r="J112" s="72" t="s">
        <v>83</v>
      </c>
      <c r="K112" s="74"/>
      <c r="M112" s="79" t="s">
        <v>18</v>
      </c>
      <c r="N112" s="80">
        <f t="shared" si="19"/>
        <v>16</v>
      </c>
      <c r="O112" s="76">
        <f t="shared" ref="O112:O118" si="22">N112*F112</f>
        <v>16</v>
      </c>
      <c r="P112" s="81" t="s">
        <v>56</v>
      </c>
      <c r="Y112" s="91" t="s">
        <v>288</v>
      </c>
      <c r="Z112" s="92">
        <v>34.163499999999999</v>
      </c>
      <c r="AA112" s="92">
        <f t="shared" si="18"/>
        <v>3.41635</v>
      </c>
    </row>
    <row r="113" spans="1:27" x14ac:dyDescent="0.25">
      <c r="A113" s="95">
        <v>45519</v>
      </c>
      <c r="B113" s="72" t="s">
        <v>594</v>
      </c>
      <c r="C113" s="72" t="s">
        <v>8</v>
      </c>
      <c r="D113" s="72" t="s">
        <v>17</v>
      </c>
      <c r="E113" s="72" t="s">
        <v>56</v>
      </c>
      <c r="F113" s="72">
        <v>1</v>
      </c>
      <c r="G113" s="73">
        <f t="shared" si="20"/>
        <v>50</v>
      </c>
      <c r="H113" s="73">
        <f t="shared" si="21"/>
        <v>50</v>
      </c>
      <c r="I113" s="73">
        <f t="shared" si="16"/>
        <v>50</v>
      </c>
      <c r="J113" s="72" t="s">
        <v>83</v>
      </c>
      <c r="K113" s="74"/>
      <c r="M113" s="79" t="s">
        <v>17</v>
      </c>
      <c r="N113" s="80">
        <f t="shared" si="19"/>
        <v>20</v>
      </c>
      <c r="O113" s="76">
        <f t="shared" si="22"/>
        <v>20</v>
      </c>
      <c r="P113" s="81" t="s">
        <v>56</v>
      </c>
      <c r="Y113" s="91" t="s">
        <v>290</v>
      </c>
      <c r="Z113" s="92">
        <v>33.253500000000003</v>
      </c>
      <c r="AA113" s="92">
        <f t="shared" si="18"/>
        <v>3.3253500000000003</v>
      </c>
    </row>
    <row r="114" spans="1:27" x14ac:dyDescent="0.25">
      <c r="A114" s="95">
        <v>45519</v>
      </c>
      <c r="B114" s="72" t="s">
        <v>634</v>
      </c>
      <c r="C114" s="72" t="s">
        <v>8</v>
      </c>
      <c r="D114" s="72" t="s">
        <v>18</v>
      </c>
      <c r="E114" s="72" t="s">
        <v>56</v>
      </c>
      <c r="F114" s="72">
        <v>1</v>
      </c>
      <c r="G114" s="73">
        <f t="shared" si="20"/>
        <v>40</v>
      </c>
      <c r="H114" s="73">
        <f t="shared" si="21"/>
        <v>40</v>
      </c>
      <c r="I114" s="73">
        <f t="shared" si="16"/>
        <v>39.043999999999997</v>
      </c>
      <c r="J114" s="72" t="s">
        <v>78</v>
      </c>
      <c r="K114" s="74"/>
      <c r="M114" s="79" t="s">
        <v>18</v>
      </c>
      <c r="N114" s="80">
        <f t="shared" si="19"/>
        <v>16</v>
      </c>
      <c r="O114" s="76">
        <f t="shared" si="22"/>
        <v>16</v>
      </c>
      <c r="P114" s="81" t="s">
        <v>56</v>
      </c>
      <c r="Y114" s="91" t="s">
        <v>292</v>
      </c>
      <c r="Z114" s="92">
        <v>60</v>
      </c>
      <c r="AA114" s="92">
        <f t="shared" si="18"/>
        <v>6</v>
      </c>
    </row>
    <row r="115" spans="1:27" x14ac:dyDescent="0.25">
      <c r="A115" s="95">
        <v>45520</v>
      </c>
      <c r="B115" s="72" t="s">
        <v>508</v>
      </c>
      <c r="C115" s="72" t="s">
        <v>8</v>
      </c>
      <c r="D115" s="72" t="s">
        <v>18</v>
      </c>
      <c r="E115" s="72" t="s">
        <v>56</v>
      </c>
      <c r="F115" s="72">
        <v>1</v>
      </c>
      <c r="G115" s="73">
        <f t="shared" si="20"/>
        <v>40</v>
      </c>
      <c r="H115" s="73">
        <f t="shared" si="21"/>
        <v>40</v>
      </c>
      <c r="I115" s="73">
        <f t="shared" si="16"/>
        <v>38.003999999999998</v>
      </c>
      <c r="J115" s="72" t="s">
        <v>86</v>
      </c>
      <c r="K115" s="74"/>
      <c r="M115" s="79" t="s">
        <v>18</v>
      </c>
      <c r="N115" s="80">
        <f t="shared" si="19"/>
        <v>16</v>
      </c>
      <c r="O115" s="76">
        <f t="shared" si="22"/>
        <v>16</v>
      </c>
      <c r="P115" s="81" t="s">
        <v>56</v>
      </c>
      <c r="Y115" s="91" t="s">
        <v>293</v>
      </c>
      <c r="Z115" s="92">
        <v>60</v>
      </c>
      <c r="AA115" s="92">
        <f t="shared" si="18"/>
        <v>6</v>
      </c>
    </row>
    <row r="116" spans="1:27" x14ac:dyDescent="0.25">
      <c r="A116" s="95">
        <v>45520</v>
      </c>
      <c r="B116" s="72" t="s">
        <v>537</v>
      </c>
      <c r="C116" s="72" t="s">
        <v>10</v>
      </c>
      <c r="D116" s="72" t="s">
        <v>22</v>
      </c>
      <c r="E116" s="72" t="s">
        <v>56</v>
      </c>
      <c r="F116" s="72">
        <v>1</v>
      </c>
      <c r="G116" s="73">
        <f t="shared" si="20"/>
        <v>30</v>
      </c>
      <c r="H116" s="73">
        <f t="shared" si="21"/>
        <v>30</v>
      </c>
      <c r="I116" s="73">
        <f t="shared" si="16"/>
        <v>30</v>
      </c>
      <c r="J116" s="72" t="s">
        <v>83</v>
      </c>
      <c r="K116" s="74"/>
      <c r="M116" s="79" t="s">
        <v>22</v>
      </c>
      <c r="N116" s="80">
        <f t="shared" si="19"/>
        <v>12</v>
      </c>
      <c r="O116" s="76">
        <f t="shared" si="22"/>
        <v>12</v>
      </c>
      <c r="P116" s="81" t="s">
        <v>56</v>
      </c>
      <c r="Y116" s="91" t="s">
        <v>295</v>
      </c>
      <c r="Z116" s="92">
        <v>58.566000000000003</v>
      </c>
      <c r="AA116" s="92">
        <f t="shared" si="18"/>
        <v>5.8566000000000003</v>
      </c>
    </row>
    <row r="117" spans="1:27" x14ac:dyDescent="0.25">
      <c r="A117" s="95">
        <v>45520</v>
      </c>
      <c r="B117" s="72" t="s">
        <v>537</v>
      </c>
      <c r="C117" s="72" t="s">
        <v>10</v>
      </c>
      <c r="D117" s="72" t="s">
        <v>13</v>
      </c>
      <c r="E117" s="72" t="s">
        <v>56</v>
      </c>
      <c r="F117" s="72">
        <v>1</v>
      </c>
      <c r="G117" s="73">
        <f t="shared" si="20"/>
        <v>30</v>
      </c>
      <c r="H117" s="73">
        <f t="shared" si="21"/>
        <v>30</v>
      </c>
      <c r="I117" s="73">
        <f t="shared" si="16"/>
        <v>30</v>
      </c>
      <c r="J117" s="72" t="s">
        <v>83</v>
      </c>
      <c r="K117" s="74"/>
      <c r="M117" s="79" t="s">
        <v>13</v>
      </c>
      <c r="N117" s="80">
        <f t="shared" si="19"/>
        <v>12</v>
      </c>
      <c r="O117" s="76">
        <f t="shared" si="22"/>
        <v>12</v>
      </c>
      <c r="P117" s="81" t="s">
        <v>56</v>
      </c>
      <c r="Y117" s="91" t="s">
        <v>296</v>
      </c>
      <c r="Z117" s="92">
        <v>57.006</v>
      </c>
      <c r="AA117" s="92">
        <f t="shared" si="18"/>
        <v>5.7006000000000006</v>
      </c>
    </row>
    <row r="118" spans="1:27" x14ac:dyDescent="0.25">
      <c r="A118" s="95">
        <v>45520</v>
      </c>
      <c r="B118" s="72" t="s">
        <v>692</v>
      </c>
      <c r="C118" s="72" t="s">
        <v>8</v>
      </c>
      <c r="D118" s="72" t="s">
        <v>18</v>
      </c>
      <c r="E118" s="72" t="s">
        <v>56</v>
      </c>
      <c r="F118" s="72">
        <v>1</v>
      </c>
      <c r="G118" s="73">
        <f t="shared" si="20"/>
        <v>40</v>
      </c>
      <c r="H118" s="73">
        <f t="shared" si="21"/>
        <v>40</v>
      </c>
      <c r="I118" s="73">
        <f t="shared" si="16"/>
        <v>38.003999999999998</v>
      </c>
      <c r="J118" s="72" t="s">
        <v>86</v>
      </c>
      <c r="K118" s="74"/>
      <c r="M118" s="79" t="s">
        <v>18</v>
      </c>
      <c r="N118" s="80">
        <f t="shared" si="19"/>
        <v>16</v>
      </c>
      <c r="O118" s="76">
        <f t="shared" si="22"/>
        <v>16</v>
      </c>
      <c r="P118" s="81" t="s">
        <v>56</v>
      </c>
      <c r="Y118" s="91" t="s">
        <v>298</v>
      </c>
      <c r="Z118" s="92">
        <v>6</v>
      </c>
      <c r="AA118" s="92">
        <f t="shared" si="18"/>
        <v>0.60000000000000009</v>
      </c>
    </row>
    <row r="119" spans="1:27" x14ac:dyDescent="0.25">
      <c r="A119" s="95">
        <v>45520</v>
      </c>
      <c r="B119" s="72" t="s">
        <v>504</v>
      </c>
      <c r="C119" s="72" t="s">
        <v>8</v>
      </c>
      <c r="D119" s="72" t="s">
        <v>15</v>
      </c>
      <c r="E119" s="72" t="s">
        <v>722</v>
      </c>
      <c r="F119" s="72">
        <v>1</v>
      </c>
      <c r="G119" s="73">
        <f t="shared" si="20"/>
        <v>70</v>
      </c>
      <c r="H119" s="73">
        <f t="shared" si="21"/>
        <v>70</v>
      </c>
      <c r="I119" s="73">
        <f t="shared" si="16"/>
        <v>70</v>
      </c>
      <c r="J119" s="72" t="s">
        <v>79</v>
      </c>
      <c r="K119" s="74"/>
      <c r="M119" s="79"/>
      <c r="N119" s="80" t="e">
        <f t="shared" si="19"/>
        <v>#N/A</v>
      </c>
      <c r="O119" s="76"/>
      <c r="P119" s="81"/>
      <c r="AA119" s="92"/>
    </row>
    <row r="120" spans="1:27" x14ac:dyDescent="0.25">
      <c r="A120" s="95">
        <v>45520</v>
      </c>
      <c r="B120" s="72" t="s">
        <v>200</v>
      </c>
      <c r="C120" s="72" t="s">
        <v>8</v>
      </c>
      <c r="D120" s="72" t="s">
        <v>18</v>
      </c>
      <c r="E120" s="72" t="s">
        <v>722</v>
      </c>
      <c r="F120" s="72">
        <v>3</v>
      </c>
      <c r="G120" s="73">
        <f t="shared" si="20"/>
        <v>40</v>
      </c>
      <c r="H120" s="73">
        <f t="shared" si="21"/>
        <v>120</v>
      </c>
      <c r="I120" s="73">
        <f t="shared" si="16"/>
        <v>120</v>
      </c>
      <c r="J120" s="72" t="s">
        <v>83</v>
      </c>
      <c r="K120" s="74"/>
      <c r="M120" s="79"/>
      <c r="N120" s="80" t="e">
        <f t="shared" si="19"/>
        <v>#N/A</v>
      </c>
      <c r="O120" s="76"/>
      <c r="P120" s="81"/>
      <c r="AA120" s="92"/>
    </row>
    <row r="121" spans="1:27" x14ac:dyDescent="0.25">
      <c r="A121" s="95">
        <v>45520</v>
      </c>
      <c r="B121" s="72" t="s">
        <v>200</v>
      </c>
      <c r="C121" s="72" t="s">
        <v>8</v>
      </c>
      <c r="D121" s="72" t="s">
        <v>24</v>
      </c>
      <c r="E121" s="72" t="s">
        <v>722</v>
      </c>
      <c r="F121" s="72">
        <v>1</v>
      </c>
      <c r="G121" s="73">
        <f t="shared" si="20"/>
        <v>10</v>
      </c>
      <c r="H121" s="73">
        <f t="shared" si="21"/>
        <v>10</v>
      </c>
      <c r="I121" s="73">
        <f t="shared" si="16"/>
        <v>10</v>
      </c>
      <c r="J121" s="72" t="s">
        <v>83</v>
      </c>
      <c r="K121" s="74"/>
      <c r="M121" s="79"/>
      <c r="N121" s="80" t="e">
        <f t="shared" si="19"/>
        <v>#N/A</v>
      </c>
      <c r="O121" s="76"/>
      <c r="P121" s="81"/>
      <c r="AA121" s="92"/>
    </row>
    <row r="122" spans="1:27" x14ac:dyDescent="0.25">
      <c r="A122" s="95">
        <v>45520</v>
      </c>
      <c r="B122" s="72" t="s">
        <v>562</v>
      </c>
      <c r="C122" s="72" t="s">
        <v>8</v>
      </c>
      <c r="D122" s="72" t="s">
        <v>30</v>
      </c>
      <c r="E122" s="72" t="s">
        <v>722</v>
      </c>
      <c r="F122" s="72">
        <v>1</v>
      </c>
      <c r="G122" s="73">
        <f t="shared" si="20"/>
        <v>90</v>
      </c>
      <c r="H122" s="73">
        <f t="shared" si="21"/>
        <v>90</v>
      </c>
      <c r="I122" s="73">
        <f t="shared" si="16"/>
        <v>85.509</v>
      </c>
      <c r="J122" s="72" t="s">
        <v>86</v>
      </c>
      <c r="K122" s="74"/>
      <c r="M122" s="79"/>
      <c r="N122" s="80" t="e">
        <f t="shared" si="19"/>
        <v>#N/A</v>
      </c>
      <c r="O122" s="76"/>
      <c r="P122" s="81"/>
      <c r="AA122" s="92"/>
    </row>
    <row r="123" spans="1:27" x14ac:dyDescent="0.25">
      <c r="A123" s="95">
        <v>45520</v>
      </c>
      <c r="B123" s="72" t="s">
        <v>276</v>
      </c>
      <c r="C123" s="72" t="s">
        <v>8</v>
      </c>
      <c r="D123" s="72" t="s">
        <v>40</v>
      </c>
      <c r="E123" s="72" t="s">
        <v>722</v>
      </c>
      <c r="F123" s="72">
        <v>1</v>
      </c>
      <c r="G123" s="73">
        <f t="shared" si="20"/>
        <v>45</v>
      </c>
      <c r="H123" s="73">
        <f t="shared" si="21"/>
        <v>45</v>
      </c>
      <c r="I123" s="73">
        <f t="shared" si="16"/>
        <v>42.7545</v>
      </c>
      <c r="J123" s="72" t="s">
        <v>86</v>
      </c>
      <c r="K123" s="74"/>
      <c r="M123" s="72"/>
      <c r="N123" s="80" t="e">
        <f t="shared" si="19"/>
        <v>#N/A</v>
      </c>
      <c r="O123" s="76"/>
      <c r="P123" s="81"/>
      <c r="AA123" s="92"/>
    </row>
    <row r="124" spans="1:27" x14ac:dyDescent="0.25">
      <c r="A124" s="95">
        <v>45520</v>
      </c>
      <c r="B124" s="72" t="s">
        <v>483</v>
      </c>
      <c r="C124" s="72" t="s">
        <v>8</v>
      </c>
      <c r="D124" s="72" t="s">
        <v>18</v>
      </c>
      <c r="E124" s="72" t="s">
        <v>722</v>
      </c>
      <c r="F124" s="72">
        <v>1</v>
      </c>
      <c r="G124" s="73">
        <f t="shared" si="20"/>
        <v>40</v>
      </c>
      <c r="H124" s="73">
        <f t="shared" si="21"/>
        <v>40</v>
      </c>
      <c r="I124" s="73">
        <f t="shared" si="16"/>
        <v>40</v>
      </c>
      <c r="J124" s="72" t="s">
        <v>83</v>
      </c>
      <c r="K124" s="74"/>
      <c r="M124" s="72"/>
      <c r="N124" s="80" t="e">
        <f t="shared" si="19"/>
        <v>#N/A</v>
      </c>
      <c r="O124" s="76"/>
      <c r="P124" s="81"/>
      <c r="AA124" s="92"/>
    </row>
    <row r="125" spans="1:27" x14ac:dyDescent="0.25">
      <c r="A125" s="95">
        <v>45520</v>
      </c>
      <c r="B125" s="72" t="s">
        <v>194</v>
      </c>
      <c r="C125" s="72" t="s">
        <v>8</v>
      </c>
      <c r="D125" s="72" t="s">
        <v>18</v>
      </c>
      <c r="E125" s="72" t="s">
        <v>722</v>
      </c>
      <c r="F125" s="72">
        <v>1</v>
      </c>
      <c r="G125" s="73">
        <f t="shared" si="20"/>
        <v>40</v>
      </c>
      <c r="H125" s="73">
        <f t="shared" si="21"/>
        <v>40</v>
      </c>
      <c r="I125" s="73">
        <f t="shared" si="16"/>
        <v>40</v>
      </c>
      <c r="J125" s="72" t="s">
        <v>83</v>
      </c>
      <c r="K125" s="74"/>
      <c r="M125" s="72"/>
      <c r="N125" s="80" t="e">
        <f t="shared" si="19"/>
        <v>#N/A</v>
      </c>
      <c r="O125" s="76"/>
      <c r="P125" s="81"/>
      <c r="Q125" s="106"/>
      <c r="Y125" s="91" t="s">
        <v>300</v>
      </c>
      <c r="Z125" s="92">
        <v>6</v>
      </c>
      <c r="AA125" s="92">
        <f>Z125*0.1</f>
        <v>0.60000000000000009</v>
      </c>
    </row>
    <row r="126" spans="1:27" x14ac:dyDescent="0.25">
      <c r="A126" s="95">
        <v>45520</v>
      </c>
      <c r="B126" s="72" t="s">
        <v>194</v>
      </c>
      <c r="C126" s="72" t="s">
        <v>8</v>
      </c>
      <c r="D126" s="72" t="s">
        <v>37</v>
      </c>
      <c r="E126" s="72" t="s">
        <v>722</v>
      </c>
      <c r="F126" s="72">
        <v>1</v>
      </c>
      <c r="G126" s="73">
        <f t="shared" si="20"/>
        <v>7</v>
      </c>
      <c r="H126" s="73">
        <f t="shared" si="21"/>
        <v>7</v>
      </c>
      <c r="I126" s="73">
        <f t="shared" si="16"/>
        <v>7</v>
      </c>
      <c r="J126" s="72" t="s">
        <v>83</v>
      </c>
      <c r="K126" s="74"/>
      <c r="M126" s="79"/>
      <c r="N126" s="80" t="e">
        <f t="shared" si="19"/>
        <v>#N/A</v>
      </c>
      <c r="O126" s="76"/>
      <c r="P126" s="81"/>
      <c r="AA126" s="92"/>
    </row>
    <row r="127" spans="1:27" x14ac:dyDescent="0.25">
      <c r="A127" s="95">
        <v>45520</v>
      </c>
      <c r="B127" s="72" t="s">
        <v>742</v>
      </c>
      <c r="C127" s="72" t="s">
        <v>8</v>
      </c>
      <c r="D127" s="72" t="s">
        <v>16</v>
      </c>
      <c r="E127" s="72" t="s">
        <v>56</v>
      </c>
      <c r="F127" s="72">
        <v>1</v>
      </c>
      <c r="G127" s="73">
        <f t="shared" si="20"/>
        <v>80</v>
      </c>
      <c r="H127" s="73">
        <f t="shared" si="21"/>
        <v>80</v>
      </c>
      <c r="I127" s="73">
        <f t="shared" si="16"/>
        <v>80</v>
      </c>
      <c r="J127" s="72" t="s">
        <v>83</v>
      </c>
      <c r="K127" s="74"/>
      <c r="M127" s="79" t="s">
        <v>16</v>
      </c>
      <c r="N127" s="80">
        <f t="shared" si="19"/>
        <v>32</v>
      </c>
      <c r="O127" s="76">
        <f>N127*F127</f>
        <v>32</v>
      </c>
      <c r="P127" s="81" t="s">
        <v>56</v>
      </c>
      <c r="AA127" s="92"/>
    </row>
    <row r="128" spans="1:27" x14ac:dyDescent="0.25">
      <c r="A128" s="95">
        <v>45520</v>
      </c>
      <c r="B128" s="72" t="s">
        <v>200</v>
      </c>
      <c r="C128" s="72" t="s">
        <v>8</v>
      </c>
      <c r="D128" s="72" t="s">
        <v>18</v>
      </c>
      <c r="E128" s="72" t="s">
        <v>722</v>
      </c>
      <c r="F128" s="72">
        <v>1</v>
      </c>
      <c r="G128" s="73">
        <f t="shared" si="20"/>
        <v>40</v>
      </c>
      <c r="H128" s="73">
        <f t="shared" si="21"/>
        <v>40</v>
      </c>
      <c r="I128" s="73">
        <f t="shared" si="16"/>
        <v>40</v>
      </c>
      <c r="J128" s="72" t="s">
        <v>83</v>
      </c>
      <c r="K128" s="74"/>
      <c r="M128" s="79"/>
      <c r="N128" s="80" t="e">
        <f t="shared" si="19"/>
        <v>#N/A</v>
      </c>
      <c r="O128" s="76"/>
      <c r="P128" s="81"/>
      <c r="AA128" s="92"/>
    </row>
    <row r="129" spans="1:27" x14ac:dyDescent="0.25">
      <c r="A129" s="95">
        <v>45520</v>
      </c>
      <c r="B129" s="72" t="s">
        <v>204</v>
      </c>
      <c r="C129" s="72" t="s">
        <v>8</v>
      </c>
      <c r="D129" s="72" t="s">
        <v>17</v>
      </c>
      <c r="E129" s="72" t="s">
        <v>722</v>
      </c>
      <c r="F129" s="72">
        <v>1</v>
      </c>
      <c r="G129" s="73">
        <f t="shared" si="20"/>
        <v>50</v>
      </c>
      <c r="H129" s="73">
        <f t="shared" si="21"/>
        <v>50</v>
      </c>
      <c r="I129" s="73">
        <f t="shared" si="16"/>
        <v>50</v>
      </c>
      <c r="J129" s="72" t="s">
        <v>83</v>
      </c>
      <c r="K129" s="74"/>
      <c r="M129" s="79"/>
      <c r="N129" s="80" t="e">
        <f t="shared" ref="N129:N135" si="23">VLOOKUP(M129,$S$3:$U$64,3,0)</f>
        <v>#N/A</v>
      </c>
      <c r="O129" s="76"/>
      <c r="P129" s="81"/>
      <c r="AA129" s="92"/>
    </row>
    <row r="130" spans="1:27" x14ac:dyDescent="0.25">
      <c r="A130" s="95">
        <v>45521</v>
      </c>
      <c r="B130" s="72" t="s">
        <v>743</v>
      </c>
      <c r="C130" s="72" t="s">
        <v>8</v>
      </c>
      <c r="D130" s="72" t="s">
        <v>18</v>
      </c>
      <c r="E130" s="72" t="s">
        <v>722</v>
      </c>
      <c r="F130" s="72">
        <v>1</v>
      </c>
      <c r="G130" s="73">
        <f t="shared" ref="G130:G136" si="24">VLOOKUP(D130,$S$3:$T$64,2,0)</f>
        <v>40</v>
      </c>
      <c r="H130" s="73">
        <f t="shared" si="21"/>
        <v>40</v>
      </c>
      <c r="I130" s="73">
        <f t="shared" si="16"/>
        <v>40</v>
      </c>
      <c r="J130" s="72" t="s">
        <v>83</v>
      </c>
      <c r="K130" s="74"/>
      <c r="M130" s="79"/>
      <c r="N130" s="80" t="e">
        <f t="shared" si="23"/>
        <v>#N/A</v>
      </c>
      <c r="O130" s="76"/>
      <c r="P130" s="81"/>
      <c r="AA130" s="92"/>
    </row>
    <row r="131" spans="1:27" x14ac:dyDescent="0.25">
      <c r="A131" s="95">
        <v>45521</v>
      </c>
      <c r="B131" s="72" t="s">
        <v>498</v>
      </c>
      <c r="C131" s="72" t="s">
        <v>8</v>
      </c>
      <c r="D131" s="72" t="s">
        <v>60</v>
      </c>
      <c r="E131" s="72" t="s">
        <v>722</v>
      </c>
      <c r="F131" s="72">
        <v>1</v>
      </c>
      <c r="G131" s="73">
        <f t="shared" si="24"/>
        <v>90</v>
      </c>
      <c r="H131" s="73">
        <f t="shared" si="21"/>
        <v>90</v>
      </c>
      <c r="I131" s="73">
        <f t="shared" ref="I131:I194" si="25">IF(J131="Cartão de Debito",H131-(H131*$AC$5),IF(J131="Cartão de Credito",H131-(H131*$AC$6), IF(J131="Pix",H131-(H131*$AC$7), IF(J131="Dinheiro (R$)", H131-(H131*$AC$8)))))</f>
        <v>85.509</v>
      </c>
      <c r="J131" s="72" t="s">
        <v>86</v>
      </c>
      <c r="K131" s="74"/>
      <c r="M131" s="79"/>
      <c r="N131" s="80" t="e">
        <f t="shared" si="23"/>
        <v>#N/A</v>
      </c>
      <c r="O131" s="76"/>
      <c r="P131" s="81"/>
      <c r="AA131" s="92"/>
    </row>
    <row r="132" spans="1:27" x14ac:dyDescent="0.25">
      <c r="A132" s="95">
        <v>45521</v>
      </c>
      <c r="B132" s="72" t="s">
        <v>498</v>
      </c>
      <c r="C132" s="72" t="s">
        <v>8</v>
      </c>
      <c r="D132" s="72" t="s">
        <v>18</v>
      </c>
      <c r="E132" s="72" t="s">
        <v>722</v>
      </c>
      <c r="F132" s="72">
        <v>1</v>
      </c>
      <c r="G132" s="73">
        <f t="shared" si="24"/>
        <v>40</v>
      </c>
      <c r="H132" s="73">
        <f t="shared" si="21"/>
        <v>40</v>
      </c>
      <c r="I132" s="73">
        <f t="shared" si="25"/>
        <v>38.003999999999998</v>
      </c>
      <c r="J132" s="72" t="s">
        <v>86</v>
      </c>
      <c r="K132" s="74"/>
      <c r="M132" s="79"/>
      <c r="N132" s="80" t="e">
        <f t="shared" si="23"/>
        <v>#N/A</v>
      </c>
      <c r="O132" s="76"/>
      <c r="P132" s="81"/>
      <c r="AA132" s="92"/>
    </row>
    <row r="133" spans="1:27" x14ac:dyDescent="0.25">
      <c r="A133" s="95">
        <v>45521</v>
      </c>
      <c r="B133" s="72" t="s">
        <v>713</v>
      </c>
      <c r="C133" s="72" t="s">
        <v>8</v>
      </c>
      <c r="D133" s="72" t="s">
        <v>18</v>
      </c>
      <c r="E133" s="72" t="s">
        <v>56</v>
      </c>
      <c r="F133" s="72">
        <v>1</v>
      </c>
      <c r="G133" s="73">
        <f t="shared" si="24"/>
        <v>40</v>
      </c>
      <c r="H133" s="73">
        <f t="shared" si="21"/>
        <v>40</v>
      </c>
      <c r="I133" s="73">
        <f t="shared" si="25"/>
        <v>40</v>
      </c>
      <c r="J133" s="72" t="s">
        <v>83</v>
      </c>
      <c r="K133" s="74"/>
      <c r="M133" s="79" t="s">
        <v>18</v>
      </c>
      <c r="N133" s="80">
        <f t="shared" si="23"/>
        <v>16</v>
      </c>
      <c r="O133" s="76">
        <f t="shared" ref="O133:O140" si="26">N133*F133</f>
        <v>16</v>
      </c>
      <c r="P133" s="81" t="s">
        <v>56</v>
      </c>
      <c r="AA133" s="92"/>
    </row>
    <row r="134" spans="1:27" x14ac:dyDescent="0.25">
      <c r="A134" s="95">
        <v>45521</v>
      </c>
      <c r="B134" s="72" t="s">
        <v>516</v>
      </c>
      <c r="C134" s="72" t="s">
        <v>10</v>
      </c>
      <c r="D134" s="72" t="s">
        <v>18</v>
      </c>
      <c r="E134" s="72" t="s">
        <v>56</v>
      </c>
      <c r="F134" s="72">
        <v>1</v>
      </c>
      <c r="G134" s="73">
        <f t="shared" si="24"/>
        <v>40</v>
      </c>
      <c r="H134" s="73">
        <f t="shared" si="21"/>
        <v>40</v>
      </c>
      <c r="I134" s="73">
        <f t="shared" si="25"/>
        <v>40</v>
      </c>
      <c r="J134" s="72" t="s">
        <v>83</v>
      </c>
      <c r="K134" s="74"/>
      <c r="M134" s="79" t="s">
        <v>18</v>
      </c>
      <c r="N134" s="80">
        <f t="shared" si="23"/>
        <v>16</v>
      </c>
      <c r="O134" s="76">
        <f t="shared" si="26"/>
        <v>16</v>
      </c>
      <c r="P134" s="81" t="s">
        <v>56</v>
      </c>
      <c r="AA134" s="92"/>
    </row>
    <row r="135" spans="1:27" x14ac:dyDescent="0.25">
      <c r="A135" s="95">
        <v>45521</v>
      </c>
      <c r="B135" s="72" t="s">
        <v>475</v>
      </c>
      <c r="C135" s="72" t="s">
        <v>10</v>
      </c>
      <c r="D135" s="72" t="s">
        <v>17</v>
      </c>
      <c r="E135" s="72" t="s">
        <v>56</v>
      </c>
      <c r="F135" s="72">
        <v>1</v>
      </c>
      <c r="G135" s="73">
        <f t="shared" si="24"/>
        <v>50</v>
      </c>
      <c r="H135" s="73">
        <f t="shared" si="21"/>
        <v>50</v>
      </c>
      <c r="I135" s="73">
        <f t="shared" si="25"/>
        <v>50</v>
      </c>
      <c r="J135" s="72" t="s">
        <v>79</v>
      </c>
      <c r="K135" s="74"/>
      <c r="M135" s="79" t="s">
        <v>17</v>
      </c>
      <c r="N135" s="80">
        <f t="shared" si="23"/>
        <v>20</v>
      </c>
      <c r="O135" s="76">
        <f t="shared" si="26"/>
        <v>20</v>
      </c>
      <c r="P135" s="81" t="s">
        <v>56</v>
      </c>
      <c r="AA135" s="92"/>
    </row>
    <row r="136" spans="1:27" x14ac:dyDescent="0.25">
      <c r="A136" s="95">
        <v>45521</v>
      </c>
      <c r="B136" s="72" t="s">
        <v>475</v>
      </c>
      <c r="C136" s="72" t="s">
        <v>10</v>
      </c>
      <c r="D136" s="72" t="s">
        <v>57</v>
      </c>
      <c r="E136" s="72" t="s">
        <v>56</v>
      </c>
      <c r="F136" s="72">
        <v>1</v>
      </c>
      <c r="G136" s="73">
        <f t="shared" si="24"/>
        <v>40</v>
      </c>
      <c r="H136" s="73">
        <f t="shared" si="21"/>
        <v>40</v>
      </c>
      <c r="I136" s="73">
        <f t="shared" si="25"/>
        <v>40</v>
      </c>
      <c r="J136" s="72" t="s">
        <v>79</v>
      </c>
      <c r="K136" s="74"/>
      <c r="M136" s="79" t="s">
        <v>57</v>
      </c>
      <c r="N136" s="80">
        <f>H136*0.1</f>
        <v>4</v>
      </c>
      <c r="O136" s="76">
        <f t="shared" si="26"/>
        <v>4</v>
      </c>
      <c r="P136" s="81" t="s">
        <v>56</v>
      </c>
      <c r="AA136" s="92"/>
    </row>
    <row r="137" spans="1:27" x14ac:dyDescent="0.25">
      <c r="A137" s="95">
        <v>45521</v>
      </c>
      <c r="B137" s="72" t="s">
        <v>475</v>
      </c>
      <c r="C137" s="72" t="s">
        <v>10</v>
      </c>
      <c r="D137" s="72" t="s">
        <v>59</v>
      </c>
      <c r="E137" s="72" t="s">
        <v>56</v>
      </c>
      <c r="F137" s="72">
        <v>1</v>
      </c>
      <c r="G137" s="73">
        <v>17</v>
      </c>
      <c r="H137" s="73">
        <f t="shared" si="21"/>
        <v>17</v>
      </c>
      <c r="I137" s="73">
        <f t="shared" si="25"/>
        <v>17</v>
      </c>
      <c r="J137" s="72" t="s">
        <v>79</v>
      </c>
      <c r="K137" s="74"/>
      <c r="M137" s="79" t="s">
        <v>59</v>
      </c>
      <c r="N137" s="80">
        <f>H137*0.1</f>
        <v>1.7000000000000002</v>
      </c>
      <c r="O137" s="76">
        <f t="shared" si="26"/>
        <v>1.7000000000000002</v>
      </c>
      <c r="P137" s="81" t="s">
        <v>56</v>
      </c>
      <c r="AA137" s="92"/>
    </row>
    <row r="138" spans="1:27" x14ac:dyDescent="0.25">
      <c r="A138" s="95">
        <v>45521</v>
      </c>
      <c r="B138" s="72" t="s">
        <v>475</v>
      </c>
      <c r="C138" s="72" t="s">
        <v>10</v>
      </c>
      <c r="D138" s="72" t="s">
        <v>34</v>
      </c>
      <c r="E138" s="72" t="s">
        <v>56</v>
      </c>
      <c r="F138" s="72">
        <v>1</v>
      </c>
      <c r="G138" s="73">
        <f t="shared" ref="G138:G155" si="27">VLOOKUP(D138,$S$3:$T$64,2,0)</f>
        <v>10</v>
      </c>
      <c r="H138" s="73">
        <f t="shared" si="21"/>
        <v>10</v>
      </c>
      <c r="I138" s="73">
        <f t="shared" si="25"/>
        <v>10</v>
      </c>
      <c r="J138" s="72" t="s">
        <v>79</v>
      </c>
      <c r="K138" s="74"/>
      <c r="M138" s="79" t="s">
        <v>34</v>
      </c>
      <c r="N138" s="80">
        <f t="shared" ref="N138:N169" si="28">VLOOKUP(M138,$S$3:$U$64,3,0)</f>
        <v>1</v>
      </c>
      <c r="O138" s="76">
        <f t="shared" si="26"/>
        <v>1</v>
      </c>
      <c r="P138" s="81" t="s">
        <v>56</v>
      </c>
      <c r="AA138" s="92"/>
    </row>
    <row r="139" spans="1:27" x14ac:dyDescent="0.25">
      <c r="A139" s="95">
        <v>45521</v>
      </c>
      <c r="B139" s="72" t="s">
        <v>483</v>
      </c>
      <c r="C139" s="72" t="s">
        <v>8</v>
      </c>
      <c r="D139" s="72" t="s">
        <v>15</v>
      </c>
      <c r="E139" s="72" t="s">
        <v>56</v>
      </c>
      <c r="F139" s="72">
        <v>1</v>
      </c>
      <c r="G139" s="73">
        <f t="shared" si="27"/>
        <v>70</v>
      </c>
      <c r="H139" s="73">
        <f t="shared" si="21"/>
        <v>70</v>
      </c>
      <c r="I139" s="73">
        <f t="shared" si="25"/>
        <v>70</v>
      </c>
      <c r="J139" s="72" t="s">
        <v>83</v>
      </c>
      <c r="K139" s="74"/>
      <c r="M139" s="79" t="s">
        <v>15</v>
      </c>
      <c r="N139" s="80">
        <f t="shared" si="28"/>
        <v>28</v>
      </c>
      <c r="O139" s="76">
        <f t="shared" si="26"/>
        <v>28</v>
      </c>
      <c r="P139" s="81" t="s">
        <v>56</v>
      </c>
      <c r="AA139" s="92"/>
    </row>
    <row r="140" spans="1:27" x14ac:dyDescent="0.25">
      <c r="A140" s="95">
        <v>45521</v>
      </c>
      <c r="B140" s="72" t="s">
        <v>744</v>
      </c>
      <c r="C140" s="72" t="s">
        <v>8</v>
      </c>
      <c r="D140" s="72" t="s">
        <v>18</v>
      </c>
      <c r="E140" s="72" t="s">
        <v>56</v>
      </c>
      <c r="F140" s="72">
        <v>1</v>
      </c>
      <c r="G140" s="73">
        <f t="shared" si="27"/>
        <v>40</v>
      </c>
      <c r="H140" s="73">
        <f t="shared" si="21"/>
        <v>40</v>
      </c>
      <c r="I140" s="73">
        <f t="shared" si="25"/>
        <v>40</v>
      </c>
      <c r="J140" s="72" t="s">
        <v>83</v>
      </c>
      <c r="K140" s="74"/>
      <c r="M140" s="79" t="s">
        <v>18</v>
      </c>
      <c r="N140" s="80">
        <f t="shared" si="28"/>
        <v>16</v>
      </c>
      <c r="O140" s="76">
        <f t="shared" si="26"/>
        <v>16</v>
      </c>
      <c r="P140" s="81" t="s">
        <v>56</v>
      </c>
      <c r="AA140" s="92"/>
    </row>
    <row r="141" spans="1:27" x14ac:dyDescent="0.25">
      <c r="A141" s="95">
        <v>45521</v>
      </c>
      <c r="B141" s="72" t="s">
        <v>283</v>
      </c>
      <c r="C141" s="72" t="s">
        <v>8</v>
      </c>
      <c r="D141" s="72" t="s">
        <v>43</v>
      </c>
      <c r="E141" s="72" t="s">
        <v>722</v>
      </c>
      <c r="F141" s="72">
        <v>1</v>
      </c>
      <c r="G141" s="73">
        <f t="shared" si="27"/>
        <v>130</v>
      </c>
      <c r="H141" s="73">
        <f t="shared" si="21"/>
        <v>130</v>
      </c>
      <c r="I141" s="73">
        <f t="shared" si="25"/>
        <v>123.51300000000001</v>
      </c>
      <c r="J141" s="72" t="s">
        <v>86</v>
      </c>
      <c r="K141" s="74"/>
      <c r="M141" s="79"/>
      <c r="N141" s="80" t="e">
        <f t="shared" si="28"/>
        <v>#N/A</v>
      </c>
      <c r="O141" s="76"/>
      <c r="P141" s="81"/>
      <c r="AA141" s="92"/>
    </row>
    <row r="142" spans="1:27" x14ac:dyDescent="0.25">
      <c r="A142" s="95">
        <v>45521</v>
      </c>
      <c r="B142" s="72" t="s">
        <v>204</v>
      </c>
      <c r="C142" s="72" t="s">
        <v>8</v>
      </c>
      <c r="D142" s="72" t="s">
        <v>16</v>
      </c>
      <c r="E142" s="72" t="s">
        <v>722</v>
      </c>
      <c r="F142" s="72">
        <v>1</v>
      </c>
      <c r="G142" s="73">
        <f t="shared" si="27"/>
        <v>80</v>
      </c>
      <c r="H142" s="73">
        <f t="shared" si="21"/>
        <v>80</v>
      </c>
      <c r="I142" s="73">
        <f t="shared" si="25"/>
        <v>76.007999999999996</v>
      </c>
      <c r="J142" s="72" t="s">
        <v>86</v>
      </c>
      <c r="K142" s="74"/>
      <c r="M142" s="79"/>
      <c r="N142" s="80" t="e">
        <f t="shared" si="28"/>
        <v>#N/A</v>
      </c>
      <c r="O142" s="76"/>
      <c r="P142" s="81"/>
      <c r="AA142" s="92"/>
    </row>
    <row r="143" spans="1:27" x14ac:dyDescent="0.25">
      <c r="A143" s="95">
        <v>45521</v>
      </c>
      <c r="B143" s="72" t="s">
        <v>247</v>
      </c>
      <c r="C143" s="72" t="s">
        <v>8</v>
      </c>
      <c r="D143" s="72" t="s">
        <v>13</v>
      </c>
      <c r="E143" s="72" t="s">
        <v>722</v>
      </c>
      <c r="F143" s="72">
        <v>1</v>
      </c>
      <c r="G143" s="73">
        <f t="shared" si="27"/>
        <v>30</v>
      </c>
      <c r="H143" s="73">
        <f t="shared" si="21"/>
        <v>30</v>
      </c>
      <c r="I143" s="73">
        <f t="shared" si="25"/>
        <v>30</v>
      </c>
      <c r="J143" s="72" t="s">
        <v>83</v>
      </c>
      <c r="K143" s="74"/>
      <c r="M143" s="79"/>
      <c r="N143" s="80" t="e">
        <f t="shared" si="28"/>
        <v>#N/A</v>
      </c>
      <c r="O143" s="76"/>
      <c r="P143" s="81"/>
      <c r="AA143" s="92"/>
    </row>
    <row r="144" spans="1:27" x14ac:dyDescent="0.25">
      <c r="A144" s="95">
        <v>45521</v>
      </c>
      <c r="B144" s="72" t="s">
        <v>247</v>
      </c>
      <c r="C144" s="72" t="s">
        <v>8</v>
      </c>
      <c r="D144" s="72" t="s">
        <v>21</v>
      </c>
      <c r="E144" s="72" t="s">
        <v>722</v>
      </c>
      <c r="F144" s="72">
        <v>1</v>
      </c>
      <c r="G144" s="73">
        <f t="shared" si="27"/>
        <v>10</v>
      </c>
      <c r="H144" s="73">
        <f t="shared" si="21"/>
        <v>10</v>
      </c>
      <c r="I144" s="73">
        <f t="shared" si="25"/>
        <v>10</v>
      </c>
      <c r="J144" s="72" t="s">
        <v>83</v>
      </c>
      <c r="K144" s="74"/>
      <c r="M144" s="79"/>
      <c r="N144" s="80" t="e">
        <f t="shared" si="28"/>
        <v>#N/A</v>
      </c>
      <c r="O144" s="76"/>
      <c r="P144" s="81"/>
      <c r="AA144" s="92"/>
    </row>
    <row r="145" spans="1:27" x14ac:dyDescent="0.25">
      <c r="A145" s="95">
        <v>45521</v>
      </c>
      <c r="B145" s="72" t="s">
        <v>223</v>
      </c>
      <c r="C145" s="72" t="s">
        <v>8</v>
      </c>
      <c r="D145" s="72" t="s">
        <v>18</v>
      </c>
      <c r="E145" s="72" t="s">
        <v>56</v>
      </c>
      <c r="F145" s="72">
        <v>1</v>
      </c>
      <c r="G145" s="73">
        <f t="shared" si="27"/>
        <v>40</v>
      </c>
      <c r="H145" s="73">
        <f t="shared" si="21"/>
        <v>40</v>
      </c>
      <c r="I145" s="73">
        <f t="shared" si="25"/>
        <v>38.003999999999998</v>
      </c>
      <c r="J145" s="72" t="s">
        <v>86</v>
      </c>
      <c r="K145" s="74"/>
      <c r="M145" s="79" t="s">
        <v>18</v>
      </c>
      <c r="N145" s="80">
        <f t="shared" si="28"/>
        <v>16</v>
      </c>
      <c r="O145" s="76">
        <f>N145*F145</f>
        <v>16</v>
      </c>
      <c r="P145" s="81" t="s">
        <v>56</v>
      </c>
      <c r="AA145" s="92"/>
    </row>
    <row r="146" spans="1:27" x14ac:dyDescent="0.25">
      <c r="A146" s="95">
        <v>45521</v>
      </c>
      <c r="B146" s="72" t="s">
        <v>223</v>
      </c>
      <c r="C146" s="72" t="s">
        <v>8</v>
      </c>
      <c r="D146" s="72" t="s">
        <v>42</v>
      </c>
      <c r="E146" s="72" t="s">
        <v>56</v>
      </c>
      <c r="F146" s="72">
        <v>1</v>
      </c>
      <c r="G146" s="73">
        <f t="shared" si="27"/>
        <v>20</v>
      </c>
      <c r="H146" s="73">
        <f t="shared" si="21"/>
        <v>20</v>
      </c>
      <c r="I146" s="73">
        <f t="shared" si="25"/>
        <v>19.001999999999999</v>
      </c>
      <c r="J146" s="72" t="s">
        <v>86</v>
      </c>
      <c r="K146" s="74"/>
      <c r="M146" s="79" t="s">
        <v>42</v>
      </c>
      <c r="N146" s="80">
        <f t="shared" si="28"/>
        <v>8</v>
      </c>
      <c r="O146" s="76">
        <f>N146*F146</f>
        <v>8</v>
      </c>
      <c r="P146" s="81" t="s">
        <v>56</v>
      </c>
      <c r="AA146" s="92"/>
    </row>
    <row r="147" spans="1:27" x14ac:dyDescent="0.25">
      <c r="A147" s="95">
        <v>45521</v>
      </c>
      <c r="B147" s="72" t="s">
        <v>460</v>
      </c>
      <c r="C147" s="72" t="s">
        <v>8</v>
      </c>
      <c r="D147" s="72" t="s">
        <v>22</v>
      </c>
      <c r="E147" s="72" t="s">
        <v>56</v>
      </c>
      <c r="F147" s="72">
        <v>1</v>
      </c>
      <c r="G147" s="73">
        <f t="shared" si="27"/>
        <v>30</v>
      </c>
      <c r="H147" s="73">
        <f t="shared" si="21"/>
        <v>30</v>
      </c>
      <c r="I147" s="73">
        <f t="shared" si="25"/>
        <v>30</v>
      </c>
      <c r="J147" s="72" t="s">
        <v>83</v>
      </c>
      <c r="K147" s="74"/>
      <c r="M147" s="79" t="s">
        <v>22</v>
      </c>
      <c r="N147" s="80">
        <f t="shared" si="28"/>
        <v>12</v>
      </c>
      <c r="O147" s="76">
        <f>N147*F147</f>
        <v>12</v>
      </c>
      <c r="P147" s="81" t="s">
        <v>56</v>
      </c>
      <c r="Q147" s="106">
        <f>SUM(O91:O147)</f>
        <v>429.7</v>
      </c>
      <c r="AA147" s="92"/>
    </row>
    <row r="148" spans="1:27" x14ac:dyDescent="0.25">
      <c r="A148" s="95">
        <v>45521</v>
      </c>
      <c r="B148" s="72" t="s">
        <v>555</v>
      </c>
      <c r="C148" s="72" t="s">
        <v>8</v>
      </c>
      <c r="D148" s="72" t="s">
        <v>21</v>
      </c>
      <c r="E148" s="72" t="s">
        <v>722</v>
      </c>
      <c r="F148" s="72">
        <v>1</v>
      </c>
      <c r="G148" s="73">
        <f t="shared" si="27"/>
        <v>10</v>
      </c>
      <c r="H148" s="73">
        <f t="shared" si="21"/>
        <v>10</v>
      </c>
      <c r="I148" s="73">
        <f t="shared" si="25"/>
        <v>10</v>
      </c>
      <c r="J148" s="72" t="s">
        <v>83</v>
      </c>
      <c r="K148" s="74"/>
      <c r="M148" s="79"/>
      <c r="N148" s="80" t="e">
        <f t="shared" si="28"/>
        <v>#N/A</v>
      </c>
      <c r="O148" s="76"/>
      <c r="P148" s="81"/>
      <c r="Y148" s="91" t="s">
        <v>309</v>
      </c>
      <c r="Z148" s="92">
        <v>6.8327</v>
      </c>
      <c r="AA148" s="92">
        <f t="shared" ref="AA148:AA189" si="29">Z148*0.1</f>
        <v>0.68327000000000004</v>
      </c>
    </row>
    <row r="149" spans="1:27" x14ac:dyDescent="0.25">
      <c r="A149" s="95">
        <v>45521</v>
      </c>
      <c r="B149" s="72" t="s">
        <v>555</v>
      </c>
      <c r="C149" s="72" t="s">
        <v>8</v>
      </c>
      <c r="D149" s="72" t="s">
        <v>45</v>
      </c>
      <c r="E149" s="72" t="s">
        <v>722</v>
      </c>
      <c r="F149" s="72">
        <v>2</v>
      </c>
      <c r="G149" s="73">
        <f t="shared" si="27"/>
        <v>3.5</v>
      </c>
      <c r="H149" s="73">
        <f t="shared" si="21"/>
        <v>7</v>
      </c>
      <c r="I149" s="73">
        <f t="shared" si="25"/>
        <v>7</v>
      </c>
      <c r="J149" s="72" t="s">
        <v>83</v>
      </c>
      <c r="K149" s="74"/>
      <c r="M149" s="79"/>
      <c r="N149" s="80" t="e">
        <f t="shared" si="28"/>
        <v>#N/A</v>
      </c>
      <c r="O149" s="76"/>
      <c r="P149" s="81"/>
      <c r="Y149" s="91" t="s">
        <v>311</v>
      </c>
      <c r="Z149" s="92">
        <v>6.6506999999999996</v>
      </c>
      <c r="AA149" s="92">
        <f t="shared" si="29"/>
        <v>0.66507000000000005</v>
      </c>
    </row>
    <row r="150" spans="1:27" x14ac:dyDescent="0.25">
      <c r="A150" s="95">
        <v>45524</v>
      </c>
      <c r="B150" s="72" t="s">
        <v>745</v>
      </c>
      <c r="C150" s="72" t="s">
        <v>8</v>
      </c>
      <c r="D150" s="72" t="s">
        <v>15</v>
      </c>
      <c r="E150" s="72" t="s">
        <v>722</v>
      </c>
      <c r="F150" s="72">
        <v>1</v>
      </c>
      <c r="G150" s="73">
        <f t="shared" si="27"/>
        <v>70</v>
      </c>
      <c r="H150" s="73">
        <f t="shared" si="21"/>
        <v>70</v>
      </c>
      <c r="I150" s="73">
        <f t="shared" si="25"/>
        <v>66.507000000000005</v>
      </c>
      <c r="J150" s="72" t="s">
        <v>86</v>
      </c>
      <c r="K150" s="74"/>
      <c r="M150" s="79"/>
      <c r="N150" s="80" t="e">
        <f t="shared" si="28"/>
        <v>#N/A</v>
      </c>
      <c r="O150" s="76"/>
      <c r="P150" s="81"/>
      <c r="Q150" s="106"/>
      <c r="Y150" s="91" t="s">
        <v>313</v>
      </c>
      <c r="Z150" s="92">
        <v>5</v>
      </c>
      <c r="AA150" s="92">
        <f t="shared" si="29"/>
        <v>0.5</v>
      </c>
    </row>
    <row r="151" spans="1:27" x14ac:dyDescent="0.25">
      <c r="A151" s="95">
        <v>45524</v>
      </c>
      <c r="B151" s="72" t="s">
        <v>324</v>
      </c>
      <c r="C151" s="72" t="s">
        <v>10</v>
      </c>
      <c r="D151" s="72" t="s">
        <v>18</v>
      </c>
      <c r="E151" s="72" t="s">
        <v>56</v>
      </c>
      <c r="F151" s="72">
        <v>1</v>
      </c>
      <c r="G151" s="73">
        <f t="shared" si="27"/>
        <v>40</v>
      </c>
      <c r="H151" s="73">
        <f t="shared" si="21"/>
        <v>40</v>
      </c>
      <c r="I151" s="73">
        <f t="shared" si="25"/>
        <v>39.043999999999997</v>
      </c>
      <c r="J151" s="72" t="s">
        <v>78</v>
      </c>
      <c r="K151" s="74"/>
      <c r="M151" s="79" t="s">
        <v>18</v>
      </c>
      <c r="N151" s="80">
        <f t="shared" si="28"/>
        <v>16</v>
      </c>
      <c r="O151" s="76">
        <f>N151*F151</f>
        <v>16</v>
      </c>
      <c r="P151" s="81" t="s">
        <v>56</v>
      </c>
      <c r="Y151" s="91" t="s">
        <v>316</v>
      </c>
      <c r="Z151" s="92">
        <v>5</v>
      </c>
      <c r="AA151" s="92">
        <f t="shared" si="29"/>
        <v>0.5</v>
      </c>
    </row>
    <row r="152" spans="1:27" x14ac:dyDescent="0.25">
      <c r="A152" s="95">
        <v>45524</v>
      </c>
      <c r="B152" s="72" t="s">
        <v>746</v>
      </c>
      <c r="C152" s="72" t="s">
        <v>8</v>
      </c>
      <c r="D152" s="72" t="s">
        <v>18</v>
      </c>
      <c r="E152" s="72" t="s">
        <v>722</v>
      </c>
      <c r="F152" s="72">
        <v>1</v>
      </c>
      <c r="G152" s="73">
        <f t="shared" si="27"/>
        <v>40</v>
      </c>
      <c r="H152" s="73">
        <f t="shared" si="21"/>
        <v>40</v>
      </c>
      <c r="I152" s="73">
        <f t="shared" si="25"/>
        <v>39.043999999999997</v>
      </c>
      <c r="J152" s="72" t="s">
        <v>78</v>
      </c>
      <c r="K152" s="74"/>
      <c r="M152" s="79"/>
      <c r="N152" s="80" t="e">
        <f t="shared" si="28"/>
        <v>#N/A</v>
      </c>
      <c r="O152" s="76"/>
      <c r="P152" s="81"/>
      <c r="Y152" s="91" t="s">
        <v>318</v>
      </c>
      <c r="Z152" s="92">
        <v>4.8804999999999996</v>
      </c>
      <c r="AA152" s="92">
        <f t="shared" si="29"/>
        <v>0.48804999999999998</v>
      </c>
    </row>
    <row r="153" spans="1:27" x14ac:dyDescent="0.25">
      <c r="A153" s="95">
        <v>45524</v>
      </c>
      <c r="B153" s="72" t="s">
        <v>747</v>
      </c>
      <c r="C153" s="72" t="s">
        <v>10</v>
      </c>
      <c r="D153" s="72" t="s">
        <v>18</v>
      </c>
      <c r="E153" s="72" t="s">
        <v>82</v>
      </c>
      <c r="F153" s="72">
        <v>1</v>
      </c>
      <c r="G153" s="73">
        <f t="shared" si="27"/>
        <v>40</v>
      </c>
      <c r="H153" s="73">
        <f t="shared" si="21"/>
        <v>40</v>
      </c>
      <c r="I153" s="73">
        <f t="shared" si="25"/>
        <v>40</v>
      </c>
      <c r="J153" s="72" t="s">
        <v>83</v>
      </c>
      <c r="K153" s="74"/>
      <c r="M153" s="79"/>
      <c r="N153" s="80" t="e">
        <f t="shared" si="28"/>
        <v>#N/A</v>
      </c>
      <c r="O153" s="76"/>
      <c r="P153" s="81"/>
      <c r="Y153" s="91" t="s">
        <v>320</v>
      </c>
      <c r="Z153" s="92">
        <v>4.7504999999999997</v>
      </c>
      <c r="AA153" s="92">
        <f t="shared" si="29"/>
        <v>0.47504999999999997</v>
      </c>
    </row>
    <row r="154" spans="1:27" x14ac:dyDescent="0.25">
      <c r="A154" s="95">
        <v>45524</v>
      </c>
      <c r="B154" s="72" t="s">
        <v>256</v>
      </c>
      <c r="C154" s="72" t="s">
        <v>8</v>
      </c>
      <c r="D154" s="72" t="s">
        <v>64</v>
      </c>
      <c r="E154" s="72" t="s">
        <v>722</v>
      </c>
      <c r="F154" s="72">
        <v>1</v>
      </c>
      <c r="G154" s="73">
        <f t="shared" si="27"/>
        <v>30</v>
      </c>
      <c r="H154" s="73">
        <f t="shared" si="21"/>
        <v>30</v>
      </c>
      <c r="I154" s="73">
        <f t="shared" si="25"/>
        <v>29.283000000000001</v>
      </c>
      <c r="J154" s="72" t="s">
        <v>78</v>
      </c>
      <c r="K154" s="74"/>
      <c r="M154" s="79"/>
      <c r="N154" s="80" t="e">
        <f t="shared" si="28"/>
        <v>#N/A</v>
      </c>
      <c r="O154" s="76"/>
      <c r="P154" s="81"/>
      <c r="Y154" s="91" t="s">
        <v>321</v>
      </c>
      <c r="Z154" s="92">
        <v>10</v>
      </c>
      <c r="AA154" s="92">
        <f t="shared" si="29"/>
        <v>1</v>
      </c>
    </row>
    <row r="155" spans="1:27" x14ac:dyDescent="0.25">
      <c r="A155" s="95">
        <v>45524</v>
      </c>
      <c r="B155" s="72" t="s">
        <v>256</v>
      </c>
      <c r="C155" s="72" t="s">
        <v>8</v>
      </c>
      <c r="D155" s="72" t="s">
        <v>34</v>
      </c>
      <c r="E155" s="72" t="s">
        <v>722</v>
      </c>
      <c r="F155" s="72">
        <v>1</v>
      </c>
      <c r="G155" s="73">
        <f t="shared" si="27"/>
        <v>10</v>
      </c>
      <c r="H155" s="73">
        <f t="shared" si="21"/>
        <v>10</v>
      </c>
      <c r="I155" s="73">
        <f t="shared" si="25"/>
        <v>9.7609999999999992</v>
      </c>
      <c r="J155" s="72" t="s">
        <v>78</v>
      </c>
      <c r="K155" s="74"/>
      <c r="M155" s="79"/>
      <c r="N155" s="80" t="e">
        <f t="shared" si="28"/>
        <v>#N/A</v>
      </c>
      <c r="O155" s="76"/>
      <c r="P155" s="81"/>
      <c r="Y155" s="91" t="s">
        <v>323</v>
      </c>
      <c r="Z155" s="92">
        <v>10</v>
      </c>
      <c r="AA155" s="92">
        <f t="shared" si="29"/>
        <v>1</v>
      </c>
    </row>
    <row r="156" spans="1:27" x14ac:dyDescent="0.25">
      <c r="A156" s="95">
        <v>45524</v>
      </c>
      <c r="B156" s="72" t="s">
        <v>256</v>
      </c>
      <c r="C156" s="72" t="s">
        <v>8</v>
      </c>
      <c r="D156" s="72" t="s">
        <v>26</v>
      </c>
      <c r="E156" s="72" t="s">
        <v>722</v>
      </c>
      <c r="F156" s="72">
        <v>1</v>
      </c>
      <c r="G156" s="73">
        <v>30</v>
      </c>
      <c r="H156" s="73">
        <f t="shared" si="21"/>
        <v>30</v>
      </c>
      <c r="I156" s="73">
        <f t="shared" si="25"/>
        <v>29.283000000000001</v>
      </c>
      <c r="J156" s="72" t="s">
        <v>78</v>
      </c>
      <c r="K156" s="74"/>
      <c r="M156" s="79"/>
      <c r="N156" s="80" t="e">
        <f t="shared" si="28"/>
        <v>#N/A</v>
      </c>
      <c r="O156" s="76"/>
      <c r="P156" s="81"/>
      <c r="Y156" s="91" t="s">
        <v>325</v>
      </c>
      <c r="Z156" s="92">
        <v>9.7609999999999992</v>
      </c>
      <c r="AA156" s="92">
        <f t="shared" si="29"/>
        <v>0.97609999999999997</v>
      </c>
    </row>
    <row r="157" spans="1:27" x14ac:dyDescent="0.25">
      <c r="A157" s="95">
        <v>45524</v>
      </c>
      <c r="B157" s="72" t="s">
        <v>511</v>
      </c>
      <c r="C157" s="72" t="s">
        <v>8</v>
      </c>
      <c r="D157" s="72" t="s">
        <v>18</v>
      </c>
      <c r="E157" s="72" t="s">
        <v>722</v>
      </c>
      <c r="F157" s="72">
        <v>1</v>
      </c>
      <c r="G157" s="73">
        <f t="shared" ref="G157:G176" si="30">VLOOKUP(D157,$S$3:$T$64,2,0)</f>
        <v>40</v>
      </c>
      <c r="H157" s="73">
        <f t="shared" si="21"/>
        <v>40</v>
      </c>
      <c r="I157" s="73">
        <f t="shared" si="25"/>
        <v>38.003999999999998</v>
      </c>
      <c r="J157" s="72" t="s">
        <v>86</v>
      </c>
      <c r="K157" s="74"/>
      <c r="M157" s="79"/>
      <c r="N157" s="80" t="e">
        <f t="shared" si="28"/>
        <v>#N/A</v>
      </c>
      <c r="O157" s="76"/>
      <c r="P157" s="81"/>
      <c r="Y157" s="91" t="s">
        <v>326</v>
      </c>
      <c r="Z157" s="92">
        <v>9.5009999999999994</v>
      </c>
      <c r="AA157" s="92">
        <f t="shared" si="29"/>
        <v>0.95009999999999994</v>
      </c>
    </row>
    <row r="158" spans="1:27" x14ac:dyDescent="0.25">
      <c r="A158" s="95">
        <v>45524</v>
      </c>
      <c r="B158" s="72" t="s">
        <v>708</v>
      </c>
      <c r="C158" s="72" t="s">
        <v>8</v>
      </c>
      <c r="D158" s="72" t="s">
        <v>40</v>
      </c>
      <c r="E158" s="72" t="s">
        <v>722</v>
      </c>
      <c r="F158" s="72">
        <v>1</v>
      </c>
      <c r="G158" s="73">
        <f t="shared" si="30"/>
        <v>45</v>
      </c>
      <c r="H158" s="73">
        <f t="shared" si="21"/>
        <v>45</v>
      </c>
      <c r="I158" s="73">
        <f t="shared" si="25"/>
        <v>45</v>
      </c>
      <c r="J158" s="72" t="s">
        <v>83</v>
      </c>
      <c r="K158" s="74"/>
      <c r="M158" s="79"/>
      <c r="N158" s="80" t="e">
        <f t="shared" si="28"/>
        <v>#N/A</v>
      </c>
      <c r="O158" s="76"/>
      <c r="P158" s="81"/>
      <c r="Q158" s="106"/>
      <c r="Y158" s="91" t="s">
        <v>327</v>
      </c>
      <c r="Z158" s="92">
        <v>5</v>
      </c>
      <c r="AA158" s="92">
        <f t="shared" si="29"/>
        <v>0.5</v>
      </c>
    </row>
    <row r="159" spans="1:27" x14ac:dyDescent="0.25">
      <c r="A159" s="95">
        <v>45524</v>
      </c>
      <c r="B159" s="72" t="s">
        <v>558</v>
      </c>
      <c r="C159" s="72" t="s">
        <v>8</v>
      </c>
      <c r="D159" s="72" t="s">
        <v>18</v>
      </c>
      <c r="E159" s="72" t="s">
        <v>56</v>
      </c>
      <c r="F159" s="72">
        <v>1</v>
      </c>
      <c r="G159" s="73">
        <f t="shared" si="30"/>
        <v>40</v>
      </c>
      <c r="H159" s="73">
        <f t="shared" si="21"/>
        <v>40</v>
      </c>
      <c r="I159" s="73">
        <f t="shared" si="25"/>
        <v>40</v>
      </c>
      <c r="J159" s="72" t="s">
        <v>83</v>
      </c>
      <c r="K159" s="74"/>
      <c r="M159" s="79" t="s">
        <v>18</v>
      </c>
      <c r="N159" s="80">
        <f t="shared" si="28"/>
        <v>16</v>
      </c>
      <c r="O159" s="76">
        <f>N159*F159</f>
        <v>16</v>
      </c>
      <c r="P159" s="81" t="s">
        <v>56</v>
      </c>
      <c r="Y159" s="91" t="s">
        <v>329</v>
      </c>
      <c r="Z159" s="92">
        <v>5</v>
      </c>
      <c r="AA159" s="92">
        <f t="shared" si="29"/>
        <v>0.5</v>
      </c>
    </row>
    <row r="160" spans="1:27" x14ac:dyDescent="0.25">
      <c r="A160" s="95">
        <v>45524</v>
      </c>
      <c r="B160" s="72" t="s">
        <v>748</v>
      </c>
      <c r="C160" s="72" t="s">
        <v>8</v>
      </c>
      <c r="D160" s="72" t="s">
        <v>15</v>
      </c>
      <c r="E160" s="72" t="s">
        <v>56</v>
      </c>
      <c r="F160" s="72">
        <v>1</v>
      </c>
      <c r="G160" s="73">
        <f t="shared" si="30"/>
        <v>70</v>
      </c>
      <c r="H160" s="73">
        <f t="shared" si="21"/>
        <v>70</v>
      </c>
      <c r="I160" s="73">
        <f t="shared" si="25"/>
        <v>66.507000000000005</v>
      </c>
      <c r="J160" s="72" t="s">
        <v>86</v>
      </c>
      <c r="K160" s="74"/>
      <c r="M160" s="79" t="s">
        <v>15</v>
      </c>
      <c r="N160" s="80">
        <f t="shared" si="28"/>
        <v>28</v>
      </c>
      <c r="O160" s="76">
        <f>N160*F160</f>
        <v>28</v>
      </c>
      <c r="P160" s="81" t="s">
        <v>56</v>
      </c>
      <c r="Y160" s="91" t="s">
        <v>330</v>
      </c>
      <c r="Z160" s="92">
        <v>4.8804999999999996</v>
      </c>
      <c r="AA160" s="92">
        <f t="shared" si="29"/>
        <v>0.48804999999999998</v>
      </c>
    </row>
    <row r="161" spans="1:27" x14ac:dyDescent="0.25">
      <c r="A161" s="95">
        <v>45525</v>
      </c>
      <c r="B161" s="72" t="s">
        <v>609</v>
      </c>
      <c r="C161" s="72" t="s">
        <v>8</v>
      </c>
      <c r="D161" s="72" t="s">
        <v>16</v>
      </c>
      <c r="E161" s="72" t="s">
        <v>722</v>
      </c>
      <c r="F161" s="72">
        <v>1</v>
      </c>
      <c r="G161" s="73">
        <f t="shared" si="30"/>
        <v>80</v>
      </c>
      <c r="H161" s="73">
        <f t="shared" si="21"/>
        <v>80</v>
      </c>
      <c r="I161" s="73">
        <f t="shared" si="25"/>
        <v>80</v>
      </c>
      <c r="J161" s="72" t="s">
        <v>83</v>
      </c>
      <c r="K161" s="74"/>
      <c r="M161" s="79"/>
      <c r="N161" s="80" t="e">
        <f t="shared" si="28"/>
        <v>#N/A</v>
      </c>
      <c r="O161" s="76"/>
      <c r="P161" s="81"/>
      <c r="Y161" s="91" t="s">
        <v>331</v>
      </c>
      <c r="Z161" s="92">
        <v>4.7504999999999997</v>
      </c>
      <c r="AA161" s="92">
        <f t="shared" si="29"/>
        <v>0.47504999999999997</v>
      </c>
    </row>
    <row r="162" spans="1:27" x14ac:dyDescent="0.25">
      <c r="A162" s="95">
        <v>45525</v>
      </c>
      <c r="B162" s="72" t="s">
        <v>590</v>
      </c>
      <c r="C162" s="72" t="s">
        <v>8</v>
      </c>
      <c r="D162" s="72" t="s">
        <v>16</v>
      </c>
      <c r="E162" s="72" t="s">
        <v>722</v>
      </c>
      <c r="F162" s="72">
        <v>1</v>
      </c>
      <c r="G162" s="73">
        <f t="shared" si="30"/>
        <v>80</v>
      </c>
      <c r="H162" s="73">
        <f t="shared" ref="H162:H225" si="31">F162*G162</f>
        <v>80</v>
      </c>
      <c r="I162" s="73">
        <f t="shared" si="25"/>
        <v>80</v>
      </c>
      <c r="J162" s="72" t="s">
        <v>83</v>
      </c>
      <c r="K162" s="74"/>
      <c r="M162" s="79"/>
      <c r="N162" s="80" t="e">
        <f t="shared" si="28"/>
        <v>#N/A</v>
      </c>
      <c r="O162" s="76"/>
      <c r="P162" s="81"/>
      <c r="Y162" s="91" t="s">
        <v>334</v>
      </c>
      <c r="Z162" s="92">
        <v>7</v>
      </c>
      <c r="AA162" s="92">
        <f t="shared" si="29"/>
        <v>0.70000000000000007</v>
      </c>
    </row>
    <row r="163" spans="1:27" x14ac:dyDescent="0.25">
      <c r="A163" s="95">
        <v>45525</v>
      </c>
      <c r="B163" s="72" t="s">
        <v>749</v>
      </c>
      <c r="C163" s="72" t="s">
        <v>8</v>
      </c>
      <c r="D163" s="72" t="s">
        <v>40</v>
      </c>
      <c r="E163" s="72" t="s">
        <v>722</v>
      </c>
      <c r="F163" s="72">
        <v>1</v>
      </c>
      <c r="G163" s="73">
        <f t="shared" si="30"/>
        <v>45</v>
      </c>
      <c r="H163" s="73">
        <f t="shared" si="31"/>
        <v>45</v>
      </c>
      <c r="I163" s="73">
        <f t="shared" si="25"/>
        <v>45</v>
      </c>
      <c r="J163" s="72" t="s">
        <v>83</v>
      </c>
      <c r="K163" s="74"/>
      <c r="M163" s="79"/>
      <c r="N163" s="80" t="e">
        <f t="shared" si="28"/>
        <v>#N/A</v>
      </c>
      <c r="O163" s="76"/>
      <c r="P163" s="81"/>
      <c r="Y163" s="91" t="s">
        <v>335</v>
      </c>
      <c r="Z163" s="92">
        <v>7</v>
      </c>
      <c r="AA163" s="92">
        <f t="shared" si="29"/>
        <v>0.70000000000000007</v>
      </c>
    </row>
    <row r="164" spans="1:27" x14ac:dyDescent="0.25">
      <c r="A164" s="95">
        <v>45526</v>
      </c>
      <c r="B164" s="72" t="s">
        <v>537</v>
      </c>
      <c r="C164" s="72" t="s">
        <v>9</v>
      </c>
      <c r="D164" s="72" t="s">
        <v>18</v>
      </c>
      <c r="E164" s="72" t="s">
        <v>56</v>
      </c>
      <c r="F164" s="72">
        <v>1</v>
      </c>
      <c r="G164" s="73">
        <f t="shared" si="30"/>
        <v>40</v>
      </c>
      <c r="H164" s="73">
        <f t="shared" si="31"/>
        <v>40</v>
      </c>
      <c r="I164" s="73">
        <f t="shared" si="25"/>
        <v>39.043999999999997</v>
      </c>
      <c r="J164" s="72" t="s">
        <v>78</v>
      </c>
      <c r="K164" s="74"/>
      <c r="M164" s="79" t="s">
        <v>18</v>
      </c>
      <c r="N164" s="80">
        <f t="shared" si="28"/>
        <v>16</v>
      </c>
      <c r="O164" s="76">
        <f>N164*F164</f>
        <v>16</v>
      </c>
      <c r="P164" s="81" t="s">
        <v>56</v>
      </c>
      <c r="Y164" s="91" t="s">
        <v>337</v>
      </c>
      <c r="Z164" s="92">
        <v>6.8327</v>
      </c>
      <c r="AA164" s="92">
        <f t="shared" si="29"/>
        <v>0.68327000000000004</v>
      </c>
    </row>
    <row r="165" spans="1:27" x14ac:dyDescent="0.25">
      <c r="A165" s="95">
        <v>45526</v>
      </c>
      <c r="B165" s="72" t="s">
        <v>750</v>
      </c>
      <c r="C165" s="72" t="s">
        <v>8</v>
      </c>
      <c r="D165" s="72" t="s">
        <v>18</v>
      </c>
      <c r="E165" s="72" t="s">
        <v>722</v>
      </c>
      <c r="F165" s="72">
        <v>1</v>
      </c>
      <c r="G165" s="73">
        <f t="shared" si="30"/>
        <v>40</v>
      </c>
      <c r="H165" s="73">
        <f t="shared" si="31"/>
        <v>40</v>
      </c>
      <c r="I165" s="73">
        <f t="shared" si="25"/>
        <v>40</v>
      </c>
      <c r="J165" s="72" t="s">
        <v>79</v>
      </c>
      <c r="K165" s="74"/>
      <c r="M165" s="79"/>
      <c r="N165" s="80" t="e">
        <f t="shared" si="28"/>
        <v>#N/A</v>
      </c>
      <c r="O165" s="76"/>
      <c r="P165" s="81"/>
      <c r="Y165" s="91" t="s">
        <v>339</v>
      </c>
      <c r="Z165" s="92">
        <v>6.6506999999999996</v>
      </c>
      <c r="AA165" s="92">
        <f t="shared" si="29"/>
        <v>0.66507000000000005</v>
      </c>
    </row>
    <row r="166" spans="1:27" x14ac:dyDescent="0.25">
      <c r="A166" s="95">
        <v>45526</v>
      </c>
      <c r="B166" s="72" t="s">
        <v>491</v>
      </c>
      <c r="C166" s="72" t="s">
        <v>8</v>
      </c>
      <c r="D166" s="72" t="s">
        <v>15</v>
      </c>
      <c r="E166" s="72" t="s">
        <v>722</v>
      </c>
      <c r="F166" s="72">
        <v>1</v>
      </c>
      <c r="G166" s="73">
        <f t="shared" si="30"/>
        <v>70</v>
      </c>
      <c r="H166" s="73">
        <f t="shared" si="31"/>
        <v>70</v>
      </c>
      <c r="I166" s="73">
        <f t="shared" si="25"/>
        <v>68.326999999999998</v>
      </c>
      <c r="J166" s="72" t="s">
        <v>78</v>
      </c>
      <c r="K166" s="74"/>
      <c r="M166" s="79"/>
      <c r="N166" s="80" t="e">
        <f t="shared" si="28"/>
        <v>#N/A</v>
      </c>
      <c r="O166" s="76"/>
      <c r="P166" s="81"/>
      <c r="Y166" s="91" t="s">
        <v>341</v>
      </c>
      <c r="Z166" s="92">
        <v>3.5</v>
      </c>
      <c r="AA166" s="92">
        <f t="shared" si="29"/>
        <v>0.35000000000000003</v>
      </c>
    </row>
    <row r="167" spans="1:27" x14ac:dyDescent="0.25">
      <c r="A167" s="95">
        <v>45526</v>
      </c>
      <c r="B167" s="72" t="s">
        <v>491</v>
      </c>
      <c r="C167" s="72" t="s">
        <v>8</v>
      </c>
      <c r="D167" s="72" t="s">
        <v>63</v>
      </c>
      <c r="E167" s="72" t="s">
        <v>722</v>
      </c>
      <c r="F167" s="72">
        <v>1</v>
      </c>
      <c r="G167" s="73">
        <f t="shared" si="30"/>
        <v>20</v>
      </c>
      <c r="H167" s="73">
        <f t="shared" si="31"/>
        <v>20</v>
      </c>
      <c r="I167" s="73">
        <f t="shared" si="25"/>
        <v>19.521999999999998</v>
      </c>
      <c r="J167" s="72" t="s">
        <v>78</v>
      </c>
      <c r="K167" s="74"/>
      <c r="M167" s="79"/>
      <c r="N167" s="80" t="e">
        <f t="shared" si="28"/>
        <v>#N/A</v>
      </c>
      <c r="O167" s="76"/>
      <c r="P167" s="81"/>
      <c r="Y167" s="91" t="s">
        <v>343</v>
      </c>
      <c r="Z167" s="92">
        <v>3.5</v>
      </c>
      <c r="AA167" s="92">
        <f t="shared" si="29"/>
        <v>0.35000000000000003</v>
      </c>
    </row>
    <row r="168" spans="1:27" x14ac:dyDescent="0.25">
      <c r="A168" s="95">
        <v>45526</v>
      </c>
      <c r="B168" s="72" t="s">
        <v>576</v>
      </c>
      <c r="C168" s="72" t="s">
        <v>8</v>
      </c>
      <c r="D168" s="72" t="s">
        <v>18</v>
      </c>
      <c r="E168" s="72" t="s">
        <v>722</v>
      </c>
      <c r="F168" s="72">
        <v>1</v>
      </c>
      <c r="G168" s="73">
        <f t="shared" si="30"/>
        <v>40</v>
      </c>
      <c r="H168" s="73">
        <f t="shared" si="31"/>
        <v>40</v>
      </c>
      <c r="I168" s="73">
        <f t="shared" si="25"/>
        <v>40</v>
      </c>
      <c r="J168" s="72" t="s">
        <v>83</v>
      </c>
      <c r="K168" s="74"/>
      <c r="M168" s="79"/>
      <c r="N168" s="80" t="e">
        <f t="shared" si="28"/>
        <v>#N/A</v>
      </c>
      <c r="O168" s="76"/>
      <c r="P168" s="81"/>
      <c r="Y168" s="91" t="s">
        <v>345</v>
      </c>
      <c r="Z168" s="92">
        <v>3.41635</v>
      </c>
      <c r="AA168" s="92">
        <f t="shared" si="29"/>
        <v>0.34163500000000002</v>
      </c>
    </row>
    <row r="169" spans="1:27" x14ac:dyDescent="0.25">
      <c r="A169" s="95">
        <v>45526</v>
      </c>
      <c r="B169" s="72" t="s">
        <v>606</v>
      </c>
      <c r="C169" s="72" t="s">
        <v>8</v>
      </c>
      <c r="D169" s="72" t="s">
        <v>18</v>
      </c>
      <c r="E169" s="72" t="s">
        <v>56</v>
      </c>
      <c r="F169" s="72">
        <v>1</v>
      </c>
      <c r="G169" s="73">
        <f t="shared" si="30"/>
        <v>40</v>
      </c>
      <c r="H169" s="73">
        <f t="shared" si="31"/>
        <v>40</v>
      </c>
      <c r="I169" s="73">
        <f t="shared" si="25"/>
        <v>39.043999999999997</v>
      </c>
      <c r="J169" s="72" t="s">
        <v>78</v>
      </c>
      <c r="K169" s="74"/>
      <c r="M169" s="79" t="s">
        <v>175</v>
      </c>
      <c r="N169" s="80">
        <f t="shared" si="28"/>
        <v>16</v>
      </c>
      <c r="O169" s="76">
        <f>N169*F169</f>
        <v>16</v>
      </c>
      <c r="P169" s="81" t="s">
        <v>56</v>
      </c>
      <c r="Y169" s="91" t="s">
        <v>347</v>
      </c>
      <c r="Z169" s="92">
        <v>3.3253499999999998</v>
      </c>
      <c r="AA169" s="92">
        <f t="shared" si="29"/>
        <v>0.33253500000000003</v>
      </c>
    </row>
    <row r="170" spans="1:27" x14ac:dyDescent="0.25">
      <c r="A170" s="95">
        <v>45526</v>
      </c>
      <c r="B170" s="72" t="s">
        <v>548</v>
      </c>
      <c r="C170" s="72" t="s">
        <v>8</v>
      </c>
      <c r="D170" s="72" t="s">
        <v>22</v>
      </c>
      <c r="E170" s="72" t="s">
        <v>722</v>
      </c>
      <c r="F170" s="72">
        <v>1</v>
      </c>
      <c r="G170" s="73">
        <f t="shared" si="30"/>
        <v>30</v>
      </c>
      <c r="H170" s="73">
        <f t="shared" si="31"/>
        <v>30</v>
      </c>
      <c r="I170" s="73">
        <f t="shared" si="25"/>
        <v>30</v>
      </c>
      <c r="J170" s="72" t="s">
        <v>83</v>
      </c>
      <c r="K170" s="74"/>
      <c r="M170" s="79"/>
      <c r="N170" s="80" t="e">
        <f t="shared" ref="N170:N201" si="32">VLOOKUP(M170,$S$3:$U$64,3,0)</f>
        <v>#N/A</v>
      </c>
      <c r="O170" s="76"/>
      <c r="P170" s="81"/>
      <c r="Y170" s="91" t="s">
        <v>348</v>
      </c>
      <c r="Z170" s="92">
        <v>5</v>
      </c>
      <c r="AA170" s="92">
        <f t="shared" si="29"/>
        <v>0.5</v>
      </c>
    </row>
    <row r="171" spans="1:27" x14ac:dyDescent="0.25">
      <c r="A171" s="95">
        <v>45527</v>
      </c>
      <c r="B171" s="72" t="s">
        <v>605</v>
      </c>
      <c r="C171" s="72" t="s">
        <v>8</v>
      </c>
      <c r="D171" s="72" t="s">
        <v>17</v>
      </c>
      <c r="E171" s="72" t="s">
        <v>56</v>
      </c>
      <c r="F171" s="72">
        <v>1</v>
      </c>
      <c r="G171" s="73">
        <f t="shared" si="30"/>
        <v>50</v>
      </c>
      <c r="H171" s="73">
        <f t="shared" si="31"/>
        <v>50</v>
      </c>
      <c r="I171" s="73">
        <f t="shared" si="25"/>
        <v>50</v>
      </c>
      <c r="J171" s="72" t="s">
        <v>83</v>
      </c>
      <c r="K171" s="74"/>
      <c r="M171" s="79" t="s">
        <v>17</v>
      </c>
      <c r="N171" s="80">
        <f t="shared" si="32"/>
        <v>20</v>
      </c>
      <c r="O171" s="76">
        <f>N171*F171</f>
        <v>20</v>
      </c>
      <c r="P171" s="81" t="s">
        <v>56</v>
      </c>
      <c r="Y171" s="91" t="s">
        <v>349</v>
      </c>
      <c r="Z171" s="92">
        <v>5</v>
      </c>
      <c r="AA171" s="92">
        <f t="shared" si="29"/>
        <v>0.5</v>
      </c>
    </row>
    <row r="172" spans="1:27" x14ac:dyDescent="0.25">
      <c r="A172" s="95">
        <v>45527</v>
      </c>
      <c r="B172" s="72" t="s">
        <v>605</v>
      </c>
      <c r="C172" s="72" t="s">
        <v>8</v>
      </c>
      <c r="D172" s="72" t="s">
        <v>20</v>
      </c>
      <c r="E172" s="72" t="s">
        <v>56</v>
      </c>
      <c r="F172" s="72">
        <v>1</v>
      </c>
      <c r="G172" s="73">
        <f t="shared" si="30"/>
        <v>15</v>
      </c>
      <c r="H172" s="73">
        <f t="shared" si="31"/>
        <v>15</v>
      </c>
      <c r="I172" s="73">
        <f t="shared" si="25"/>
        <v>15</v>
      </c>
      <c r="J172" s="72" t="s">
        <v>83</v>
      </c>
      <c r="K172" s="74"/>
      <c r="M172" s="79" t="s">
        <v>20</v>
      </c>
      <c r="N172" s="80">
        <f t="shared" si="32"/>
        <v>6</v>
      </c>
      <c r="O172" s="76">
        <f>N172*F172</f>
        <v>6</v>
      </c>
      <c r="P172" s="81" t="s">
        <v>56</v>
      </c>
      <c r="Y172" s="91" t="s">
        <v>351</v>
      </c>
      <c r="Z172" s="92">
        <v>4.8804999999999996</v>
      </c>
      <c r="AA172" s="92">
        <f t="shared" si="29"/>
        <v>0.48804999999999998</v>
      </c>
    </row>
    <row r="173" spans="1:27" x14ac:dyDescent="0.25">
      <c r="A173" s="95">
        <v>45527</v>
      </c>
      <c r="B173" s="72" t="s">
        <v>397</v>
      </c>
      <c r="C173" s="72" t="s">
        <v>8</v>
      </c>
      <c r="D173" s="72" t="s">
        <v>18</v>
      </c>
      <c r="E173" s="72" t="s">
        <v>56</v>
      </c>
      <c r="F173" s="72">
        <v>1</v>
      </c>
      <c r="G173" s="73">
        <f t="shared" si="30"/>
        <v>40</v>
      </c>
      <c r="H173" s="73">
        <f t="shared" si="31"/>
        <v>40</v>
      </c>
      <c r="I173" s="73">
        <f t="shared" si="25"/>
        <v>40</v>
      </c>
      <c r="J173" s="72" t="s">
        <v>79</v>
      </c>
      <c r="K173" s="74"/>
      <c r="M173" s="79" t="s">
        <v>18</v>
      </c>
      <c r="N173" s="80">
        <f t="shared" si="32"/>
        <v>16</v>
      </c>
      <c r="O173" s="76">
        <f>N173*F173</f>
        <v>16</v>
      </c>
      <c r="P173" s="81" t="s">
        <v>56</v>
      </c>
      <c r="Y173" s="91" t="s">
        <v>352</v>
      </c>
      <c r="Z173" s="92">
        <v>4.7504999999999997</v>
      </c>
      <c r="AA173" s="92">
        <f t="shared" si="29"/>
        <v>0.47504999999999997</v>
      </c>
    </row>
    <row r="174" spans="1:27" x14ac:dyDescent="0.25">
      <c r="A174" s="95">
        <v>45527</v>
      </c>
      <c r="B174" s="72" t="s">
        <v>504</v>
      </c>
      <c r="C174" s="72" t="s">
        <v>8</v>
      </c>
      <c r="D174" s="72" t="s">
        <v>15</v>
      </c>
      <c r="E174" s="72" t="s">
        <v>722</v>
      </c>
      <c r="F174" s="72">
        <v>1</v>
      </c>
      <c r="G174" s="73">
        <f t="shared" si="30"/>
        <v>70</v>
      </c>
      <c r="H174" s="73">
        <f t="shared" si="31"/>
        <v>70</v>
      </c>
      <c r="I174" s="73">
        <f t="shared" si="25"/>
        <v>70</v>
      </c>
      <c r="J174" s="72" t="s">
        <v>79</v>
      </c>
      <c r="K174" s="74"/>
      <c r="M174" s="79"/>
      <c r="N174" s="80" t="e">
        <f t="shared" si="32"/>
        <v>#N/A</v>
      </c>
      <c r="O174" s="76"/>
      <c r="P174" s="81"/>
      <c r="Y174" s="91" t="s">
        <v>353</v>
      </c>
      <c r="Z174" s="92">
        <v>7</v>
      </c>
      <c r="AA174" s="92">
        <f t="shared" si="29"/>
        <v>0.70000000000000007</v>
      </c>
    </row>
    <row r="175" spans="1:27" x14ac:dyDescent="0.25">
      <c r="A175" s="95">
        <v>45527</v>
      </c>
      <c r="B175" s="72" t="s">
        <v>217</v>
      </c>
      <c r="C175" s="72" t="s">
        <v>8</v>
      </c>
      <c r="D175" s="72" t="s">
        <v>18</v>
      </c>
      <c r="E175" s="72" t="s">
        <v>722</v>
      </c>
      <c r="F175" s="72">
        <v>2</v>
      </c>
      <c r="G175" s="73">
        <f t="shared" si="30"/>
        <v>40</v>
      </c>
      <c r="H175" s="73">
        <f t="shared" si="31"/>
        <v>80</v>
      </c>
      <c r="I175" s="73">
        <f t="shared" si="25"/>
        <v>80</v>
      </c>
      <c r="J175" s="72" t="s">
        <v>83</v>
      </c>
      <c r="K175" s="74"/>
      <c r="M175" s="79"/>
      <c r="N175" s="80" t="e">
        <f t="shared" si="32"/>
        <v>#N/A</v>
      </c>
      <c r="O175" s="76"/>
      <c r="P175" s="81"/>
      <c r="Y175" s="91" t="s">
        <v>355</v>
      </c>
      <c r="Z175" s="92">
        <v>7</v>
      </c>
      <c r="AA175" s="92">
        <f t="shared" si="29"/>
        <v>0.70000000000000007</v>
      </c>
    </row>
    <row r="176" spans="1:27" x14ac:dyDescent="0.25">
      <c r="A176" s="95">
        <v>45527</v>
      </c>
      <c r="B176" s="72" t="s">
        <v>547</v>
      </c>
      <c r="C176" s="72" t="s">
        <v>8</v>
      </c>
      <c r="D176" s="72" t="s">
        <v>18</v>
      </c>
      <c r="E176" s="72" t="s">
        <v>722</v>
      </c>
      <c r="F176" s="72">
        <v>1</v>
      </c>
      <c r="G176" s="73">
        <f t="shared" si="30"/>
        <v>40</v>
      </c>
      <c r="H176" s="73">
        <f t="shared" si="31"/>
        <v>40</v>
      </c>
      <c r="I176" s="73">
        <f t="shared" si="25"/>
        <v>40</v>
      </c>
      <c r="J176" s="72" t="s">
        <v>79</v>
      </c>
      <c r="K176" s="74"/>
      <c r="M176" s="72"/>
      <c r="N176" s="80" t="e">
        <f t="shared" si="32"/>
        <v>#N/A</v>
      </c>
      <c r="O176" s="76"/>
      <c r="P176" s="81"/>
      <c r="Y176" s="91" t="s">
        <v>357</v>
      </c>
      <c r="Z176" s="92">
        <v>6.8327</v>
      </c>
      <c r="AA176" s="92">
        <f t="shared" si="29"/>
        <v>0.68327000000000004</v>
      </c>
    </row>
    <row r="177" spans="1:28" x14ac:dyDescent="0.25">
      <c r="A177" s="95">
        <v>45527</v>
      </c>
      <c r="B177" s="72" t="s">
        <v>264</v>
      </c>
      <c r="C177" s="72" t="s">
        <v>8</v>
      </c>
      <c r="D177" s="72" t="s">
        <v>18</v>
      </c>
      <c r="E177" s="72" t="s">
        <v>722</v>
      </c>
      <c r="F177" s="72">
        <v>1</v>
      </c>
      <c r="G177" s="73">
        <v>35</v>
      </c>
      <c r="H177" s="73">
        <f t="shared" si="31"/>
        <v>35</v>
      </c>
      <c r="I177" s="73">
        <f t="shared" si="25"/>
        <v>33.253500000000003</v>
      </c>
      <c r="J177" s="72" t="s">
        <v>86</v>
      </c>
      <c r="K177" s="74"/>
      <c r="M177" s="72"/>
      <c r="N177" s="80" t="e">
        <f t="shared" si="32"/>
        <v>#N/A</v>
      </c>
      <c r="O177" s="76"/>
      <c r="P177" s="81"/>
      <c r="Y177" s="91" t="s">
        <v>359</v>
      </c>
      <c r="Z177" s="92">
        <v>6.6506999999999996</v>
      </c>
      <c r="AA177" s="92">
        <f t="shared" si="29"/>
        <v>0.66507000000000005</v>
      </c>
    </row>
    <row r="178" spans="1:28" x14ac:dyDescent="0.25">
      <c r="A178" s="95">
        <v>45527</v>
      </c>
      <c r="B178" s="72" t="s">
        <v>390</v>
      </c>
      <c r="C178" s="72" t="s">
        <v>10</v>
      </c>
      <c r="D178" s="72" t="s">
        <v>18</v>
      </c>
      <c r="E178" s="72" t="s">
        <v>56</v>
      </c>
      <c r="F178" s="72">
        <v>1</v>
      </c>
      <c r="G178" s="73">
        <f t="shared" ref="G178:G184" si="33">VLOOKUP(D178,$S$3:$T$64,2,0)</f>
        <v>40</v>
      </c>
      <c r="H178" s="73">
        <f t="shared" si="31"/>
        <v>40</v>
      </c>
      <c r="I178" s="73">
        <f t="shared" si="25"/>
        <v>40</v>
      </c>
      <c r="J178" s="72" t="s">
        <v>83</v>
      </c>
      <c r="K178" s="74"/>
      <c r="M178" s="72" t="s">
        <v>18</v>
      </c>
      <c r="N178" s="80">
        <f t="shared" si="32"/>
        <v>16</v>
      </c>
      <c r="O178" s="76">
        <f>N178*F178</f>
        <v>16</v>
      </c>
      <c r="P178" s="81" t="s">
        <v>56</v>
      </c>
      <c r="Y178" s="91" t="s">
        <v>361</v>
      </c>
      <c r="Z178" s="92">
        <v>7</v>
      </c>
      <c r="AA178" s="92">
        <f t="shared" si="29"/>
        <v>0.70000000000000007</v>
      </c>
    </row>
    <row r="179" spans="1:28" x14ac:dyDescent="0.25">
      <c r="A179" s="95">
        <v>45527</v>
      </c>
      <c r="B179" s="72" t="s">
        <v>236</v>
      </c>
      <c r="C179" s="72" t="s">
        <v>8</v>
      </c>
      <c r="D179" s="72" t="s">
        <v>18</v>
      </c>
      <c r="E179" s="72" t="s">
        <v>56</v>
      </c>
      <c r="F179" s="72">
        <v>1</v>
      </c>
      <c r="G179" s="73">
        <f t="shared" si="33"/>
        <v>40</v>
      </c>
      <c r="H179" s="73">
        <f t="shared" si="31"/>
        <v>40</v>
      </c>
      <c r="I179" s="73">
        <f t="shared" si="25"/>
        <v>40</v>
      </c>
      <c r="J179" s="72" t="s">
        <v>83</v>
      </c>
      <c r="K179" s="74"/>
      <c r="M179" s="79" t="s">
        <v>18</v>
      </c>
      <c r="N179" s="80">
        <f t="shared" si="32"/>
        <v>16</v>
      </c>
      <c r="O179" s="76">
        <f>N179*F179</f>
        <v>16</v>
      </c>
      <c r="P179" s="81" t="s">
        <v>56</v>
      </c>
      <c r="Y179" s="91" t="s">
        <v>363</v>
      </c>
      <c r="Z179" s="92">
        <v>7</v>
      </c>
      <c r="AA179" s="92">
        <f t="shared" si="29"/>
        <v>0.70000000000000007</v>
      </c>
    </row>
    <row r="180" spans="1:28" x14ac:dyDescent="0.25">
      <c r="A180" s="95">
        <v>45527</v>
      </c>
      <c r="B180" s="72" t="s">
        <v>621</v>
      </c>
      <c r="C180" s="72" t="s">
        <v>8</v>
      </c>
      <c r="D180" s="72" t="s">
        <v>15</v>
      </c>
      <c r="E180" s="72" t="s">
        <v>722</v>
      </c>
      <c r="F180" s="72">
        <v>1</v>
      </c>
      <c r="G180" s="73">
        <f t="shared" si="33"/>
        <v>70</v>
      </c>
      <c r="H180" s="73">
        <f t="shared" si="31"/>
        <v>70</v>
      </c>
      <c r="I180" s="73">
        <f t="shared" si="25"/>
        <v>66.507000000000005</v>
      </c>
      <c r="J180" s="72" t="s">
        <v>86</v>
      </c>
      <c r="K180" s="74"/>
      <c r="M180" s="79"/>
      <c r="N180" s="80" t="e">
        <f t="shared" si="32"/>
        <v>#N/A</v>
      </c>
      <c r="O180" s="76"/>
      <c r="P180" s="81"/>
      <c r="Y180" s="91" t="s">
        <v>365</v>
      </c>
      <c r="Z180" s="92">
        <v>6.8327</v>
      </c>
      <c r="AA180" s="92">
        <f t="shared" si="29"/>
        <v>0.68327000000000004</v>
      </c>
    </row>
    <row r="181" spans="1:28" x14ac:dyDescent="0.25">
      <c r="A181" s="95">
        <v>45527</v>
      </c>
      <c r="B181" s="72" t="s">
        <v>220</v>
      </c>
      <c r="C181" s="72" t="s">
        <v>8</v>
      </c>
      <c r="D181" s="72" t="s">
        <v>17</v>
      </c>
      <c r="E181" s="72" t="s">
        <v>722</v>
      </c>
      <c r="F181" s="72">
        <v>1</v>
      </c>
      <c r="G181" s="73">
        <f t="shared" si="33"/>
        <v>50</v>
      </c>
      <c r="H181" s="73">
        <f t="shared" si="31"/>
        <v>50</v>
      </c>
      <c r="I181" s="73">
        <f t="shared" si="25"/>
        <v>50</v>
      </c>
      <c r="J181" s="72" t="s">
        <v>83</v>
      </c>
      <c r="K181" s="74"/>
      <c r="M181" s="79"/>
      <c r="N181" s="80" t="e">
        <f t="shared" si="32"/>
        <v>#N/A</v>
      </c>
      <c r="O181" s="76"/>
      <c r="P181" s="81"/>
      <c r="Y181" s="91" t="s">
        <v>367</v>
      </c>
      <c r="Z181" s="92">
        <v>6.6506999999999996</v>
      </c>
      <c r="AA181" s="92">
        <f t="shared" si="29"/>
        <v>0.66507000000000005</v>
      </c>
    </row>
    <row r="182" spans="1:28" x14ac:dyDescent="0.25">
      <c r="A182" s="95">
        <v>45528</v>
      </c>
      <c r="B182" s="72" t="s">
        <v>751</v>
      </c>
      <c r="C182" s="72" t="s">
        <v>8</v>
      </c>
      <c r="D182" s="72" t="s">
        <v>18</v>
      </c>
      <c r="E182" s="72" t="s">
        <v>56</v>
      </c>
      <c r="F182" s="72">
        <v>1</v>
      </c>
      <c r="G182" s="73">
        <f t="shared" si="33"/>
        <v>40</v>
      </c>
      <c r="H182" s="73">
        <f t="shared" si="31"/>
        <v>40</v>
      </c>
      <c r="I182" s="73">
        <f t="shared" si="25"/>
        <v>40</v>
      </c>
      <c r="J182" s="72" t="s">
        <v>83</v>
      </c>
      <c r="K182" s="74"/>
      <c r="M182" s="79" t="s">
        <v>18</v>
      </c>
      <c r="N182" s="80">
        <f t="shared" si="32"/>
        <v>16</v>
      </c>
      <c r="O182" s="76">
        <f>N182*F182</f>
        <v>16</v>
      </c>
      <c r="P182" s="81" t="s">
        <v>56</v>
      </c>
      <c r="Y182" s="91" t="s">
        <v>368</v>
      </c>
      <c r="Z182" s="92">
        <v>3.5</v>
      </c>
      <c r="AA182" s="92">
        <f t="shared" si="29"/>
        <v>0.35000000000000003</v>
      </c>
      <c r="AB182" s="92"/>
    </row>
    <row r="183" spans="1:28" x14ac:dyDescent="0.25">
      <c r="A183" s="95">
        <v>45528</v>
      </c>
      <c r="B183" s="72" t="s">
        <v>238</v>
      </c>
      <c r="C183" s="72" t="s">
        <v>8</v>
      </c>
      <c r="D183" s="72" t="s">
        <v>17</v>
      </c>
      <c r="E183" s="72" t="s">
        <v>722</v>
      </c>
      <c r="F183" s="72">
        <v>1</v>
      </c>
      <c r="G183" s="73">
        <f t="shared" si="33"/>
        <v>50</v>
      </c>
      <c r="H183" s="73">
        <f t="shared" si="31"/>
        <v>50</v>
      </c>
      <c r="I183" s="73">
        <f t="shared" si="25"/>
        <v>48.805</v>
      </c>
      <c r="J183" s="72" t="s">
        <v>78</v>
      </c>
      <c r="K183" s="74"/>
      <c r="M183" s="79"/>
      <c r="N183" s="80" t="e">
        <f t="shared" si="32"/>
        <v>#N/A</v>
      </c>
      <c r="O183" s="76"/>
      <c r="P183" s="81"/>
      <c r="Y183" s="91" t="s">
        <v>370</v>
      </c>
      <c r="Z183" s="92">
        <v>3.5</v>
      </c>
      <c r="AA183" s="92">
        <f t="shared" si="29"/>
        <v>0.35000000000000003</v>
      </c>
    </row>
    <row r="184" spans="1:28" x14ac:dyDescent="0.25">
      <c r="A184" s="95">
        <v>45528</v>
      </c>
      <c r="B184" s="72" t="s">
        <v>518</v>
      </c>
      <c r="C184" s="72" t="s">
        <v>8</v>
      </c>
      <c r="D184" s="72" t="s">
        <v>17</v>
      </c>
      <c r="E184" s="72" t="s">
        <v>722</v>
      </c>
      <c r="F184" s="72">
        <v>1</v>
      </c>
      <c r="G184" s="73">
        <f t="shared" si="33"/>
        <v>50</v>
      </c>
      <c r="H184" s="73">
        <f t="shared" si="31"/>
        <v>50</v>
      </c>
      <c r="I184" s="73">
        <f t="shared" si="25"/>
        <v>48.805</v>
      </c>
      <c r="J184" s="72" t="s">
        <v>78</v>
      </c>
      <c r="K184" s="74"/>
      <c r="M184" s="79"/>
      <c r="N184" s="80" t="e">
        <f t="shared" si="32"/>
        <v>#N/A</v>
      </c>
      <c r="O184" s="76"/>
      <c r="P184" s="81"/>
      <c r="Y184" s="91" t="s">
        <v>372</v>
      </c>
      <c r="Z184" s="92">
        <v>3.41635</v>
      </c>
      <c r="AA184" s="92">
        <f t="shared" si="29"/>
        <v>0.34163500000000002</v>
      </c>
    </row>
    <row r="185" spans="1:28" x14ac:dyDescent="0.25">
      <c r="A185" s="95">
        <v>45528</v>
      </c>
      <c r="B185" s="72" t="s">
        <v>204</v>
      </c>
      <c r="C185" s="72" t="s">
        <v>8</v>
      </c>
      <c r="D185" s="72" t="s">
        <v>17</v>
      </c>
      <c r="E185" s="72" t="s">
        <v>722</v>
      </c>
      <c r="F185" s="72">
        <v>1</v>
      </c>
      <c r="G185" s="73">
        <v>70</v>
      </c>
      <c r="H185" s="73">
        <f t="shared" si="31"/>
        <v>70</v>
      </c>
      <c r="I185" s="73">
        <f t="shared" si="25"/>
        <v>70</v>
      </c>
      <c r="J185" s="72" t="s">
        <v>83</v>
      </c>
      <c r="K185" s="74"/>
      <c r="M185" s="79"/>
      <c r="N185" s="80" t="e">
        <f t="shared" si="32"/>
        <v>#N/A</v>
      </c>
      <c r="O185" s="76"/>
      <c r="P185" s="81"/>
      <c r="Y185" s="91" t="s">
        <v>374</v>
      </c>
      <c r="Z185" s="92">
        <v>3.3253499999999998</v>
      </c>
      <c r="AA185" s="92">
        <f t="shared" si="29"/>
        <v>0.33253500000000003</v>
      </c>
    </row>
    <row r="186" spans="1:28" x14ac:dyDescent="0.25">
      <c r="A186" s="95">
        <v>45528</v>
      </c>
      <c r="B186" s="72" t="s">
        <v>194</v>
      </c>
      <c r="C186" s="72" t="s">
        <v>8</v>
      </c>
      <c r="D186" s="72" t="s">
        <v>23</v>
      </c>
      <c r="E186" s="72" t="s">
        <v>722</v>
      </c>
      <c r="F186" s="72">
        <v>1</v>
      </c>
      <c r="G186" s="73">
        <f t="shared" ref="G186:G202" si="34">VLOOKUP(D186,$S$3:$T$64,2,0)</f>
        <v>5</v>
      </c>
      <c r="H186" s="73">
        <f t="shared" si="31"/>
        <v>5</v>
      </c>
      <c r="I186" s="73">
        <f t="shared" si="25"/>
        <v>5</v>
      </c>
      <c r="J186" s="72" t="s">
        <v>83</v>
      </c>
      <c r="K186" s="74"/>
      <c r="M186" s="79"/>
      <c r="N186" s="80" t="e">
        <f t="shared" si="32"/>
        <v>#N/A</v>
      </c>
      <c r="O186" s="76"/>
      <c r="P186" s="81"/>
      <c r="Y186" s="91" t="s">
        <v>375</v>
      </c>
      <c r="Z186" s="92">
        <v>3.5</v>
      </c>
      <c r="AA186" s="92">
        <f t="shared" si="29"/>
        <v>0.35000000000000003</v>
      </c>
    </row>
    <row r="187" spans="1:28" x14ac:dyDescent="0.25">
      <c r="A187" s="95">
        <v>45528</v>
      </c>
      <c r="B187" s="72" t="s">
        <v>576</v>
      </c>
      <c r="C187" s="72" t="s">
        <v>8</v>
      </c>
      <c r="D187" s="72" t="s">
        <v>18</v>
      </c>
      <c r="E187" s="72" t="s">
        <v>56</v>
      </c>
      <c r="F187" s="72">
        <v>1</v>
      </c>
      <c r="G187" s="73">
        <f t="shared" si="34"/>
        <v>40</v>
      </c>
      <c r="H187" s="73">
        <f t="shared" si="31"/>
        <v>40</v>
      </c>
      <c r="I187" s="73">
        <f t="shared" si="25"/>
        <v>38.003999999999998</v>
      </c>
      <c r="J187" s="72" t="s">
        <v>86</v>
      </c>
      <c r="K187" s="74"/>
      <c r="M187" s="79" t="s">
        <v>18</v>
      </c>
      <c r="N187" s="80">
        <f t="shared" si="32"/>
        <v>16</v>
      </c>
      <c r="O187" s="76">
        <f>N187*F187</f>
        <v>16</v>
      </c>
      <c r="P187" s="81" t="s">
        <v>56</v>
      </c>
      <c r="Y187" s="91" t="s">
        <v>376</v>
      </c>
      <c r="Z187" s="92">
        <v>3.5</v>
      </c>
      <c r="AA187" s="92">
        <f t="shared" si="29"/>
        <v>0.35000000000000003</v>
      </c>
    </row>
    <row r="188" spans="1:28" x14ac:dyDescent="0.25">
      <c r="A188" s="95">
        <v>45528</v>
      </c>
      <c r="B188" s="72" t="s">
        <v>189</v>
      </c>
      <c r="C188" s="72" t="s">
        <v>10</v>
      </c>
      <c r="D188" s="72" t="s">
        <v>18</v>
      </c>
      <c r="E188" s="72" t="s">
        <v>56</v>
      </c>
      <c r="F188" s="72">
        <v>1</v>
      </c>
      <c r="G188" s="73">
        <f t="shared" si="34"/>
        <v>40</v>
      </c>
      <c r="H188" s="73">
        <f t="shared" si="31"/>
        <v>40</v>
      </c>
      <c r="I188" s="73">
        <f t="shared" si="25"/>
        <v>39.043999999999997</v>
      </c>
      <c r="J188" s="72" t="s">
        <v>78</v>
      </c>
      <c r="K188" s="74"/>
      <c r="M188" s="79" t="s">
        <v>18</v>
      </c>
      <c r="N188" s="80">
        <f t="shared" si="32"/>
        <v>16</v>
      </c>
      <c r="O188" s="76">
        <f>N188*F188</f>
        <v>16</v>
      </c>
      <c r="P188" s="81" t="s">
        <v>56</v>
      </c>
      <c r="Y188" s="91" t="s">
        <v>378</v>
      </c>
      <c r="Z188" s="92">
        <v>3.41635</v>
      </c>
      <c r="AA188" s="92">
        <f t="shared" si="29"/>
        <v>0.34163500000000002</v>
      </c>
    </row>
    <row r="189" spans="1:28" x14ac:dyDescent="0.25">
      <c r="A189" s="95">
        <v>45528</v>
      </c>
      <c r="B189" s="72" t="s">
        <v>189</v>
      </c>
      <c r="C189" s="72" t="s">
        <v>10</v>
      </c>
      <c r="D189" s="72" t="s">
        <v>42</v>
      </c>
      <c r="E189" s="72" t="s">
        <v>56</v>
      </c>
      <c r="F189" s="72">
        <v>1</v>
      </c>
      <c r="G189" s="73">
        <f t="shared" si="34"/>
        <v>20</v>
      </c>
      <c r="H189" s="73">
        <f t="shared" si="31"/>
        <v>20</v>
      </c>
      <c r="I189" s="73">
        <f t="shared" si="25"/>
        <v>19.521999999999998</v>
      </c>
      <c r="J189" s="72" t="s">
        <v>78</v>
      </c>
      <c r="K189" s="74"/>
      <c r="M189" s="79" t="s">
        <v>42</v>
      </c>
      <c r="N189" s="80">
        <f t="shared" si="32"/>
        <v>8</v>
      </c>
      <c r="O189" s="76">
        <f>N189*F189</f>
        <v>8</v>
      </c>
      <c r="P189" s="81" t="s">
        <v>56</v>
      </c>
      <c r="Y189" s="91" t="s">
        <v>380</v>
      </c>
      <c r="Z189" s="92">
        <v>3.3253499999999998</v>
      </c>
      <c r="AA189" s="92">
        <f t="shared" si="29"/>
        <v>0.33253500000000003</v>
      </c>
    </row>
    <row r="190" spans="1:28" x14ac:dyDescent="0.25">
      <c r="A190" s="95">
        <v>45528</v>
      </c>
      <c r="B190" s="72" t="s">
        <v>301</v>
      </c>
      <c r="C190" s="72" t="s">
        <v>8</v>
      </c>
      <c r="D190" s="72" t="s">
        <v>16</v>
      </c>
      <c r="E190" s="72" t="s">
        <v>722</v>
      </c>
      <c r="F190" s="72">
        <v>1</v>
      </c>
      <c r="G190" s="73">
        <f t="shared" si="34"/>
        <v>80</v>
      </c>
      <c r="H190" s="73">
        <f t="shared" si="31"/>
        <v>80</v>
      </c>
      <c r="I190" s="73">
        <f t="shared" si="25"/>
        <v>76.007999999999996</v>
      </c>
      <c r="J190" s="72" t="s">
        <v>86</v>
      </c>
      <c r="K190" s="74"/>
      <c r="M190" s="79"/>
      <c r="N190" s="80" t="e">
        <f t="shared" si="32"/>
        <v>#N/A</v>
      </c>
      <c r="O190" s="76"/>
      <c r="P190" s="81"/>
    </row>
    <row r="191" spans="1:28" x14ac:dyDescent="0.25">
      <c r="A191" s="95">
        <v>45528</v>
      </c>
      <c r="B191" s="72" t="s">
        <v>301</v>
      </c>
      <c r="C191" s="72" t="s">
        <v>8</v>
      </c>
      <c r="D191" s="72" t="s">
        <v>23</v>
      </c>
      <c r="E191" s="72" t="s">
        <v>722</v>
      </c>
      <c r="F191" s="72">
        <v>1</v>
      </c>
      <c r="G191" s="73">
        <f t="shared" si="34"/>
        <v>5</v>
      </c>
      <c r="H191" s="73">
        <f t="shared" si="31"/>
        <v>5</v>
      </c>
      <c r="I191" s="73">
        <f t="shared" si="25"/>
        <v>4.7504999999999997</v>
      </c>
      <c r="J191" s="72" t="s">
        <v>86</v>
      </c>
      <c r="K191" s="74"/>
      <c r="M191" s="79"/>
      <c r="N191" s="80" t="e">
        <f t="shared" si="32"/>
        <v>#N/A</v>
      </c>
      <c r="O191" s="76"/>
      <c r="P191" s="81"/>
    </row>
    <row r="192" spans="1:28" x14ac:dyDescent="0.25">
      <c r="A192" s="95">
        <v>45528</v>
      </c>
      <c r="B192" s="72" t="s">
        <v>182</v>
      </c>
      <c r="C192" s="72" t="s">
        <v>8</v>
      </c>
      <c r="D192" s="72" t="s">
        <v>40</v>
      </c>
      <c r="E192" s="72" t="s">
        <v>722</v>
      </c>
      <c r="F192" s="72">
        <v>1</v>
      </c>
      <c r="G192" s="73">
        <f t="shared" si="34"/>
        <v>45</v>
      </c>
      <c r="H192" s="73">
        <f t="shared" si="31"/>
        <v>45</v>
      </c>
      <c r="I192" s="73">
        <f t="shared" si="25"/>
        <v>45</v>
      </c>
      <c r="J192" s="72" t="s">
        <v>79</v>
      </c>
      <c r="K192" s="74"/>
      <c r="M192" s="79"/>
      <c r="N192" s="80" t="e">
        <f t="shared" si="32"/>
        <v>#N/A</v>
      </c>
      <c r="O192" s="76"/>
      <c r="P192" s="81"/>
    </row>
    <row r="193" spans="1:17" x14ac:dyDescent="0.25">
      <c r="A193" s="95">
        <v>45528</v>
      </c>
      <c r="B193" s="72" t="s">
        <v>516</v>
      </c>
      <c r="C193" s="72" t="s">
        <v>8</v>
      </c>
      <c r="D193" s="72" t="s">
        <v>18</v>
      </c>
      <c r="E193" s="72" t="s">
        <v>722</v>
      </c>
      <c r="F193" s="72">
        <v>1</v>
      </c>
      <c r="G193" s="73">
        <f t="shared" si="34"/>
        <v>40</v>
      </c>
      <c r="H193" s="73">
        <f t="shared" si="31"/>
        <v>40</v>
      </c>
      <c r="I193" s="73">
        <f t="shared" si="25"/>
        <v>40</v>
      </c>
      <c r="J193" s="72" t="s">
        <v>79</v>
      </c>
      <c r="K193" s="74"/>
      <c r="M193" s="79"/>
      <c r="N193" s="80" t="e">
        <f t="shared" si="32"/>
        <v>#N/A</v>
      </c>
      <c r="O193" s="76"/>
      <c r="P193" s="81"/>
    </row>
    <row r="194" spans="1:17" x14ac:dyDescent="0.25">
      <c r="A194" s="95">
        <v>45528</v>
      </c>
      <c r="B194" s="72" t="s">
        <v>558</v>
      </c>
      <c r="C194" s="72" t="s">
        <v>8</v>
      </c>
      <c r="D194" s="72" t="s">
        <v>17</v>
      </c>
      <c r="E194" s="72" t="s">
        <v>722</v>
      </c>
      <c r="F194" s="72">
        <v>1</v>
      </c>
      <c r="G194" s="73">
        <f t="shared" si="34"/>
        <v>50</v>
      </c>
      <c r="H194" s="73">
        <f t="shared" si="31"/>
        <v>50</v>
      </c>
      <c r="I194" s="73">
        <f t="shared" si="25"/>
        <v>48.805</v>
      </c>
      <c r="J194" s="72" t="s">
        <v>78</v>
      </c>
      <c r="K194" s="74"/>
      <c r="M194" s="79"/>
      <c r="N194" s="80" t="e">
        <f t="shared" si="32"/>
        <v>#N/A</v>
      </c>
      <c r="O194" s="76"/>
      <c r="P194" s="81"/>
    </row>
    <row r="195" spans="1:17" x14ac:dyDescent="0.25">
      <c r="A195" s="95">
        <v>45528</v>
      </c>
      <c r="B195" s="72" t="s">
        <v>555</v>
      </c>
      <c r="C195" s="72" t="s">
        <v>8</v>
      </c>
      <c r="D195" s="72" t="s">
        <v>18</v>
      </c>
      <c r="E195" s="72" t="s">
        <v>722</v>
      </c>
      <c r="F195" s="72">
        <v>1</v>
      </c>
      <c r="G195" s="73">
        <f t="shared" si="34"/>
        <v>40</v>
      </c>
      <c r="H195" s="73">
        <f t="shared" si="31"/>
        <v>40</v>
      </c>
      <c r="I195" s="73">
        <f t="shared" ref="I195:I258" si="35">IF(J195="Cartão de Debito",H195-(H195*$AC$5),IF(J195="Cartão de Credito",H195-(H195*$AC$6), IF(J195="Pix",H195-(H195*$AC$7), IF(J195="Dinheiro (R$)", H195-(H195*$AC$8)))))</f>
        <v>40</v>
      </c>
      <c r="J195" s="72" t="s">
        <v>83</v>
      </c>
      <c r="K195" s="74"/>
      <c r="M195" s="79"/>
      <c r="N195" s="80" t="e">
        <f t="shared" si="32"/>
        <v>#N/A</v>
      </c>
      <c r="O195" s="76"/>
      <c r="P195" s="81"/>
    </row>
    <row r="196" spans="1:17" x14ac:dyDescent="0.25">
      <c r="A196" s="95">
        <v>45528</v>
      </c>
      <c r="B196" s="72" t="s">
        <v>555</v>
      </c>
      <c r="C196" s="72" t="s">
        <v>8</v>
      </c>
      <c r="D196" s="72" t="s">
        <v>45</v>
      </c>
      <c r="E196" s="72" t="s">
        <v>722</v>
      </c>
      <c r="F196" s="72">
        <v>1</v>
      </c>
      <c r="G196" s="73">
        <f t="shared" si="34"/>
        <v>3.5</v>
      </c>
      <c r="H196" s="73">
        <f t="shared" si="31"/>
        <v>3.5</v>
      </c>
      <c r="I196" s="73">
        <f t="shared" si="35"/>
        <v>3.5</v>
      </c>
      <c r="J196" s="72" t="s">
        <v>83</v>
      </c>
      <c r="K196" s="74"/>
      <c r="M196" s="79"/>
      <c r="N196" s="80" t="e">
        <f t="shared" si="32"/>
        <v>#N/A</v>
      </c>
      <c r="O196" s="76"/>
      <c r="P196" s="81"/>
    </row>
    <row r="197" spans="1:17" x14ac:dyDescent="0.25">
      <c r="A197" s="95">
        <v>45528</v>
      </c>
      <c r="B197" s="72" t="s">
        <v>233</v>
      </c>
      <c r="C197" s="72" t="s">
        <v>8</v>
      </c>
      <c r="D197" s="72" t="s">
        <v>18</v>
      </c>
      <c r="E197" s="72" t="s">
        <v>56</v>
      </c>
      <c r="F197" s="72">
        <v>1</v>
      </c>
      <c r="G197" s="73">
        <f t="shared" si="34"/>
        <v>40</v>
      </c>
      <c r="H197" s="73">
        <f t="shared" si="31"/>
        <v>40</v>
      </c>
      <c r="I197" s="73">
        <f t="shared" si="35"/>
        <v>39.043999999999997</v>
      </c>
      <c r="J197" s="72" t="s">
        <v>78</v>
      </c>
      <c r="K197" s="74"/>
      <c r="M197" s="79" t="s">
        <v>18</v>
      </c>
      <c r="N197" s="80">
        <f t="shared" si="32"/>
        <v>16</v>
      </c>
      <c r="O197" s="76">
        <f>N197*F197</f>
        <v>16</v>
      </c>
      <c r="P197" s="81" t="s">
        <v>56</v>
      </c>
    </row>
    <row r="198" spans="1:17" x14ac:dyDescent="0.25">
      <c r="A198" s="95">
        <v>45528</v>
      </c>
      <c r="B198" s="72" t="s">
        <v>752</v>
      </c>
      <c r="C198" s="72" t="s">
        <v>9</v>
      </c>
      <c r="D198" s="72" t="s">
        <v>17</v>
      </c>
      <c r="E198" s="72" t="s">
        <v>56</v>
      </c>
      <c r="F198" s="72">
        <v>1</v>
      </c>
      <c r="G198" s="73">
        <f t="shared" si="34"/>
        <v>50</v>
      </c>
      <c r="H198" s="73">
        <f t="shared" si="31"/>
        <v>50</v>
      </c>
      <c r="I198" s="73">
        <f t="shared" si="35"/>
        <v>50</v>
      </c>
      <c r="J198" s="72" t="s">
        <v>83</v>
      </c>
      <c r="K198" s="74"/>
      <c r="M198" s="79" t="s">
        <v>17</v>
      </c>
      <c r="N198" s="80">
        <f t="shared" si="32"/>
        <v>20</v>
      </c>
      <c r="O198" s="76">
        <f>N198*F198</f>
        <v>20</v>
      </c>
      <c r="P198" s="81" t="s">
        <v>56</v>
      </c>
    </row>
    <row r="199" spans="1:17" x14ac:dyDescent="0.25">
      <c r="A199" s="95">
        <v>45528</v>
      </c>
      <c r="B199" s="72" t="s">
        <v>724</v>
      </c>
      <c r="C199" s="72" t="s">
        <v>9</v>
      </c>
      <c r="D199" s="72" t="s">
        <v>17</v>
      </c>
      <c r="E199" s="72" t="s">
        <v>56</v>
      </c>
      <c r="F199" s="72">
        <v>1</v>
      </c>
      <c r="G199" s="73">
        <f t="shared" si="34"/>
        <v>50</v>
      </c>
      <c r="H199" s="73">
        <f t="shared" si="31"/>
        <v>50</v>
      </c>
      <c r="I199" s="73">
        <f t="shared" si="35"/>
        <v>50</v>
      </c>
      <c r="J199" s="72" t="s">
        <v>83</v>
      </c>
      <c r="K199" s="74"/>
      <c r="M199" s="79" t="s">
        <v>17</v>
      </c>
      <c r="N199" s="80">
        <f t="shared" si="32"/>
        <v>20</v>
      </c>
      <c r="O199" s="76">
        <f>N199*F199</f>
        <v>20</v>
      </c>
      <c r="P199" s="81" t="s">
        <v>56</v>
      </c>
    </row>
    <row r="200" spans="1:17" x14ac:dyDescent="0.25">
      <c r="A200" s="95">
        <v>45528</v>
      </c>
      <c r="B200" s="72" t="s">
        <v>236</v>
      </c>
      <c r="C200" s="72" t="s">
        <v>8</v>
      </c>
      <c r="D200" s="72" t="s">
        <v>17</v>
      </c>
      <c r="E200" s="72" t="s">
        <v>56</v>
      </c>
      <c r="F200" s="72">
        <v>1</v>
      </c>
      <c r="G200" s="73">
        <f t="shared" si="34"/>
        <v>50</v>
      </c>
      <c r="H200" s="73">
        <f t="shared" si="31"/>
        <v>50</v>
      </c>
      <c r="I200" s="73">
        <f t="shared" si="35"/>
        <v>48.805</v>
      </c>
      <c r="J200" s="72" t="s">
        <v>78</v>
      </c>
      <c r="K200" s="74"/>
      <c r="M200" s="79" t="s">
        <v>17</v>
      </c>
      <c r="N200" s="80">
        <f t="shared" si="32"/>
        <v>20</v>
      </c>
      <c r="O200" s="76">
        <f>N200*F200</f>
        <v>20</v>
      </c>
      <c r="P200" s="81" t="s">
        <v>56</v>
      </c>
    </row>
    <row r="201" spans="1:17" x14ac:dyDescent="0.25">
      <c r="A201" s="95">
        <v>45528</v>
      </c>
      <c r="B201" s="72" t="s">
        <v>753</v>
      </c>
      <c r="C201" s="72" t="s">
        <v>10</v>
      </c>
      <c r="D201" s="72" t="s">
        <v>15</v>
      </c>
      <c r="E201" s="72" t="s">
        <v>56</v>
      </c>
      <c r="F201" s="72">
        <v>1</v>
      </c>
      <c r="G201" s="73">
        <f t="shared" si="34"/>
        <v>70</v>
      </c>
      <c r="H201" s="73">
        <f t="shared" si="31"/>
        <v>70</v>
      </c>
      <c r="I201" s="73">
        <f t="shared" si="35"/>
        <v>68.326999999999998</v>
      </c>
      <c r="J201" s="72" t="s">
        <v>78</v>
      </c>
      <c r="K201" s="74"/>
      <c r="M201" s="79" t="s">
        <v>15</v>
      </c>
      <c r="N201" s="80">
        <f t="shared" si="32"/>
        <v>28</v>
      </c>
      <c r="O201" s="76">
        <f>N201*F201</f>
        <v>28</v>
      </c>
      <c r="P201" s="81" t="s">
        <v>56</v>
      </c>
      <c r="Q201" s="106">
        <f>SUM(O161:O201)</f>
        <v>266</v>
      </c>
    </row>
    <row r="202" spans="1:17" x14ac:dyDescent="0.25">
      <c r="A202" s="95">
        <v>45528</v>
      </c>
      <c r="B202" s="72" t="s">
        <v>251</v>
      </c>
      <c r="C202" s="72" t="s">
        <v>8</v>
      </c>
      <c r="D202" s="72" t="s">
        <v>24</v>
      </c>
      <c r="E202" s="72" t="s">
        <v>722</v>
      </c>
      <c r="F202" s="72">
        <v>1</v>
      </c>
      <c r="G202" s="73">
        <f t="shared" si="34"/>
        <v>10</v>
      </c>
      <c r="H202" s="73">
        <f t="shared" si="31"/>
        <v>10</v>
      </c>
      <c r="I202" s="73">
        <f t="shared" si="35"/>
        <v>10</v>
      </c>
      <c r="J202" s="72" t="s">
        <v>83</v>
      </c>
      <c r="K202" s="74"/>
      <c r="M202" s="79"/>
      <c r="N202" s="80" t="e">
        <f t="shared" ref="N202" si="36">VLOOKUP(M202,$S$3:$U$64,3,0)</f>
        <v>#N/A</v>
      </c>
      <c r="O202" s="76"/>
      <c r="P202" s="81"/>
    </row>
    <row r="203" spans="1:17" x14ac:dyDescent="0.25">
      <c r="A203" s="95">
        <v>45531</v>
      </c>
      <c r="B203" s="72" t="s">
        <v>724</v>
      </c>
      <c r="C203" s="72" t="s">
        <v>9</v>
      </c>
      <c r="D203" s="72" t="s">
        <v>61</v>
      </c>
      <c r="E203" s="72" t="s">
        <v>56</v>
      </c>
      <c r="F203" s="72">
        <v>4</v>
      </c>
      <c r="G203" s="73">
        <v>20</v>
      </c>
      <c r="H203" s="73">
        <f t="shared" si="31"/>
        <v>80</v>
      </c>
      <c r="I203" s="73">
        <f t="shared" si="35"/>
        <v>80</v>
      </c>
      <c r="J203" s="72" t="s">
        <v>83</v>
      </c>
      <c r="K203" s="74"/>
      <c r="M203" s="79" t="s">
        <v>61</v>
      </c>
      <c r="N203" s="80">
        <f>G203*0.1</f>
        <v>2</v>
      </c>
      <c r="O203" s="76">
        <f>N203*F203</f>
        <v>8</v>
      </c>
      <c r="P203" s="81" t="s">
        <v>56</v>
      </c>
    </row>
    <row r="204" spans="1:17" x14ac:dyDescent="0.25">
      <c r="A204" s="95">
        <v>45531</v>
      </c>
      <c r="B204" s="72" t="s">
        <v>479</v>
      </c>
      <c r="C204" s="72" t="s">
        <v>8</v>
      </c>
      <c r="D204" s="72" t="s">
        <v>18</v>
      </c>
      <c r="E204" s="72" t="s">
        <v>722</v>
      </c>
      <c r="F204" s="72">
        <v>1</v>
      </c>
      <c r="G204" s="73">
        <f>VLOOKUP(D204,$S$3:$T$64,2,0)</f>
        <v>40</v>
      </c>
      <c r="H204" s="73">
        <f t="shared" si="31"/>
        <v>40</v>
      </c>
      <c r="I204" s="73">
        <f t="shared" si="35"/>
        <v>39.043999999999997</v>
      </c>
      <c r="J204" s="72" t="s">
        <v>78</v>
      </c>
      <c r="K204" s="74"/>
      <c r="M204" s="79"/>
      <c r="N204" s="80" t="e">
        <f t="shared" ref="N204:N215" si="37">VLOOKUP(M204,$S$3:$U$64,3,0)</f>
        <v>#N/A</v>
      </c>
      <c r="O204" s="76"/>
      <c r="P204" s="81"/>
    </row>
    <row r="205" spans="1:17" x14ac:dyDescent="0.25">
      <c r="A205" s="95">
        <v>45532</v>
      </c>
      <c r="B205" s="72" t="s">
        <v>516</v>
      </c>
      <c r="C205" s="72" t="s">
        <v>8</v>
      </c>
      <c r="D205" s="72" t="s">
        <v>18</v>
      </c>
      <c r="E205" s="72" t="s">
        <v>722</v>
      </c>
      <c r="F205" s="72">
        <v>1</v>
      </c>
      <c r="G205" s="73">
        <v>0</v>
      </c>
      <c r="H205" s="73">
        <f t="shared" si="31"/>
        <v>0</v>
      </c>
      <c r="I205" s="73">
        <f t="shared" si="35"/>
        <v>0</v>
      </c>
      <c r="J205" s="72" t="s">
        <v>83</v>
      </c>
      <c r="K205" s="74"/>
      <c r="M205" s="79"/>
      <c r="N205" s="80" t="e">
        <f t="shared" si="37"/>
        <v>#N/A</v>
      </c>
      <c r="O205" s="76"/>
      <c r="P205" s="81"/>
    </row>
    <row r="206" spans="1:17" x14ac:dyDescent="0.25">
      <c r="A206" s="95">
        <v>45532</v>
      </c>
      <c r="B206" s="72" t="s">
        <v>511</v>
      </c>
      <c r="C206" s="72" t="s">
        <v>10</v>
      </c>
      <c r="D206" s="72" t="s">
        <v>18</v>
      </c>
      <c r="E206" s="72" t="s">
        <v>56</v>
      </c>
      <c r="F206" s="72">
        <v>1</v>
      </c>
      <c r="G206" s="73">
        <f t="shared" ref="G206:G215" si="38">VLOOKUP(D206,$S$3:$T$64,2,0)</f>
        <v>40</v>
      </c>
      <c r="H206" s="73">
        <f t="shared" si="31"/>
        <v>40</v>
      </c>
      <c r="I206" s="73">
        <f t="shared" si="35"/>
        <v>38.003999999999998</v>
      </c>
      <c r="J206" s="72" t="s">
        <v>86</v>
      </c>
      <c r="K206" s="74"/>
      <c r="M206" s="79" t="s">
        <v>18</v>
      </c>
      <c r="N206" s="80">
        <f t="shared" si="37"/>
        <v>16</v>
      </c>
      <c r="O206" s="76">
        <f>N206*F206</f>
        <v>16</v>
      </c>
      <c r="P206" s="81" t="s">
        <v>56</v>
      </c>
      <c r="Q206" s="106"/>
    </row>
    <row r="207" spans="1:17" x14ac:dyDescent="0.25">
      <c r="A207" s="95">
        <v>45532</v>
      </c>
      <c r="B207" s="72" t="s">
        <v>236</v>
      </c>
      <c r="C207" s="72" t="s">
        <v>9</v>
      </c>
      <c r="D207" s="72" t="s">
        <v>18</v>
      </c>
      <c r="E207" s="72" t="s">
        <v>56</v>
      </c>
      <c r="F207" s="72">
        <v>1</v>
      </c>
      <c r="G207" s="73">
        <f t="shared" si="38"/>
        <v>40</v>
      </c>
      <c r="H207" s="73">
        <f t="shared" si="31"/>
        <v>40</v>
      </c>
      <c r="I207" s="73">
        <f t="shared" si="35"/>
        <v>40</v>
      </c>
      <c r="J207" s="72" t="s">
        <v>79</v>
      </c>
      <c r="K207" s="74"/>
      <c r="M207" s="79" t="s">
        <v>18</v>
      </c>
      <c r="N207" s="80">
        <f t="shared" si="37"/>
        <v>16</v>
      </c>
      <c r="O207" s="76">
        <f>N207*F207</f>
        <v>16</v>
      </c>
      <c r="P207" s="81" t="s">
        <v>56</v>
      </c>
    </row>
    <row r="208" spans="1:17" x14ac:dyDescent="0.25">
      <c r="A208" s="95">
        <v>45532</v>
      </c>
      <c r="B208" s="72" t="s">
        <v>308</v>
      </c>
      <c r="C208" s="72" t="s">
        <v>8</v>
      </c>
      <c r="D208" s="72" t="s">
        <v>18</v>
      </c>
      <c r="E208" s="72" t="s">
        <v>56</v>
      </c>
      <c r="F208" s="72">
        <v>3</v>
      </c>
      <c r="G208" s="73">
        <f t="shared" si="38"/>
        <v>40</v>
      </c>
      <c r="H208" s="73">
        <f t="shared" si="31"/>
        <v>120</v>
      </c>
      <c r="I208" s="73">
        <f t="shared" si="35"/>
        <v>114.012</v>
      </c>
      <c r="J208" s="72" t="s">
        <v>86</v>
      </c>
      <c r="K208" s="74"/>
      <c r="M208" s="79" t="s">
        <v>18</v>
      </c>
      <c r="N208" s="80">
        <f t="shared" si="37"/>
        <v>16</v>
      </c>
      <c r="O208" s="76">
        <f>N208*F208</f>
        <v>48</v>
      </c>
      <c r="P208" s="81" t="s">
        <v>56</v>
      </c>
    </row>
    <row r="209" spans="1:17" x14ac:dyDescent="0.25">
      <c r="A209" s="95">
        <v>45532</v>
      </c>
      <c r="B209" s="72" t="s">
        <v>308</v>
      </c>
      <c r="C209" s="72" t="s">
        <v>8</v>
      </c>
      <c r="D209" s="72" t="s">
        <v>24</v>
      </c>
      <c r="E209" s="72" t="s">
        <v>56</v>
      </c>
      <c r="F209" s="72">
        <v>1</v>
      </c>
      <c r="G209" s="73">
        <f t="shared" si="38"/>
        <v>10</v>
      </c>
      <c r="H209" s="73">
        <f t="shared" si="31"/>
        <v>10</v>
      </c>
      <c r="I209" s="73">
        <f t="shared" si="35"/>
        <v>9.5009999999999994</v>
      </c>
      <c r="J209" s="72" t="s">
        <v>86</v>
      </c>
      <c r="K209" s="74"/>
      <c r="M209" s="79" t="s">
        <v>24</v>
      </c>
      <c r="N209" s="80">
        <f t="shared" si="37"/>
        <v>4</v>
      </c>
      <c r="O209" s="76">
        <f>N209*F209</f>
        <v>4</v>
      </c>
      <c r="P209" s="81" t="s">
        <v>56</v>
      </c>
    </row>
    <row r="210" spans="1:17" x14ac:dyDescent="0.25">
      <c r="A210" s="95">
        <v>45532</v>
      </c>
      <c r="B210" s="72" t="s">
        <v>692</v>
      </c>
      <c r="C210" s="72" t="s">
        <v>8</v>
      </c>
      <c r="D210" s="72" t="s">
        <v>21</v>
      </c>
      <c r="E210" s="72" t="s">
        <v>56</v>
      </c>
      <c r="F210" s="72">
        <v>1</v>
      </c>
      <c r="G210" s="73">
        <f t="shared" si="38"/>
        <v>10</v>
      </c>
      <c r="H210" s="73">
        <f t="shared" si="31"/>
        <v>10</v>
      </c>
      <c r="I210" s="73">
        <f t="shared" si="35"/>
        <v>9.5009999999999994</v>
      </c>
      <c r="J210" s="72" t="s">
        <v>86</v>
      </c>
      <c r="K210" s="74"/>
      <c r="M210" s="79" t="s">
        <v>21</v>
      </c>
      <c r="N210" s="80">
        <f t="shared" si="37"/>
        <v>4</v>
      </c>
      <c r="O210" s="76">
        <f>N210*F210</f>
        <v>4</v>
      </c>
      <c r="P210" s="81" t="s">
        <v>56</v>
      </c>
    </row>
    <row r="211" spans="1:17" x14ac:dyDescent="0.25">
      <c r="A211" s="95">
        <v>45532</v>
      </c>
      <c r="B211" s="72" t="s">
        <v>754</v>
      </c>
      <c r="C211" s="72" t="s">
        <v>8</v>
      </c>
      <c r="D211" s="72" t="s">
        <v>18</v>
      </c>
      <c r="E211" s="72" t="s">
        <v>722</v>
      </c>
      <c r="F211" s="72">
        <v>1</v>
      </c>
      <c r="G211" s="73">
        <f t="shared" si="38"/>
        <v>40</v>
      </c>
      <c r="H211" s="73">
        <f t="shared" si="31"/>
        <v>40</v>
      </c>
      <c r="I211" s="73">
        <f t="shared" si="35"/>
        <v>40</v>
      </c>
      <c r="J211" s="72" t="s">
        <v>83</v>
      </c>
      <c r="K211" s="74"/>
      <c r="M211" s="79"/>
      <c r="N211" s="80" t="e">
        <f t="shared" si="37"/>
        <v>#N/A</v>
      </c>
      <c r="O211" s="76"/>
      <c r="P211" s="81"/>
    </row>
    <row r="212" spans="1:17" x14ac:dyDescent="0.25">
      <c r="A212" s="95">
        <v>45532</v>
      </c>
      <c r="B212" s="72" t="s">
        <v>236</v>
      </c>
      <c r="C212" s="72" t="s">
        <v>8</v>
      </c>
      <c r="D212" s="72" t="s">
        <v>16</v>
      </c>
      <c r="E212" s="72" t="s">
        <v>722</v>
      </c>
      <c r="F212" s="72">
        <v>2</v>
      </c>
      <c r="G212" s="73">
        <f t="shared" si="38"/>
        <v>80</v>
      </c>
      <c r="H212" s="73">
        <f t="shared" si="31"/>
        <v>160</v>
      </c>
      <c r="I212" s="73">
        <f t="shared" si="35"/>
        <v>160</v>
      </c>
      <c r="J212" s="72" t="s">
        <v>83</v>
      </c>
      <c r="K212" s="74"/>
      <c r="M212" s="79"/>
      <c r="N212" s="80" t="e">
        <f t="shared" si="37"/>
        <v>#N/A</v>
      </c>
      <c r="O212" s="76"/>
      <c r="P212" s="81"/>
    </row>
    <row r="213" spans="1:17" x14ac:dyDescent="0.25">
      <c r="A213" s="95">
        <v>45532</v>
      </c>
      <c r="B213" s="72" t="s">
        <v>755</v>
      </c>
      <c r="C213" s="72" t="s">
        <v>8</v>
      </c>
      <c r="D213" s="72" t="s">
        <v>16</v>
      </c>
      <c r="E213" s="72" t="s">
        <v>722</v>
      </c>
      <c r="F213" s="72">
        <v>1</v>
      </c>
      <c r="G213" s="73">
        <f t="shared" si="38"/>
        <v>80</v>
      </c>
      <c r="H213" s="73">
        <f t="shared" si="31"/>
        <v>80</v>
      </c>
      <c r="I213" s="73">
        <f t="shared" si="35"/>
        <v>76.007999999999996</v>
      </c>
      <c r="J213" s="72" t="s">
        <v>86</v>
      </c>
      <c r="K213" s="74"/>
      <c r="M213" s="79"/>
      <c r="N213" s="80" t="e">
        <f t="shared" si="37"/>
        <v>#N/A</v>
      </c>
      <c r="O213" s="76"/>
      <c r="P213" s="81"/>
    </row>
    <row r="214" spans="1:17" x14ac:dyDescent="0.25">
      <c r="A214" s="95">
        <v>45533</v>
      </c>
      <c r="B214" s="72" t="s">
        <v>713</v>
      </c>
      <c r="C214" s="72" t="s">
        <v>8</v>
      </c>
      <c r="D214" s="72" t="s">
        <v>18</v>
      </c>
      <c r="E214" s="72" t="s">
        <v>56</v>
      </c>
      <c r="F214" s="72">
        <v>1</v>
      </c>
      <c r="G214" s="73">
        <f t="shared" si="38"/>
        <v>40</v>
      </c>
      <c r="H214" s="73">
        <f t="shared" si="31"/>
        <v>40</v>
      </c>
      <c r="I214" s="73">
        <f t="shared" si="35"/>
        <v>40</v>
      </c>
      <c r="J214" s="72" t="s">
        <v>83</v>
      </c>
      <c r="K214" s="74"/>
      <c r="M214" s="79" t="s">
        <v>18</v>
      </c>
      <c r="N214" s="80">
        <f t="shared" si="37"/>
        <v>16</v>
      </c>
      <c r="O214" s="76">
        <f>N214*F214</f>
        <v>16</v>
      </c>
      <c r="P214" s="81" t="s">
        <v>56</v>
      </c>
    </row>
    <row r="215" spans="1:17" x14ac:dyDescent="0.25">
      <c r="A215" s="95">
        <v>45533</v>
      </c>
      <c r="B215" s="72" t="s">
        <v>189</v>
      </c>
      <c r="C215" s="72" t="s">
        <v>10</v>
      </c>
      <c r="D215" s="72" t="s">
        <v>17</v>
      </c>
      <c r="E215" s="72" t="s">
        <v>56</v>
      </c>
      <c r="F215" s="72">
        <v>1</v>
      </c>
      <c r="G215" s="73">
        <f t="shared" si="38"/>
        <v>50</v>
      </c>
      <c r="H215" s="73">
        <f t="shared" si="31"/>
        <v>50</v>
      </c>
      <c r="I215" s="73">
        <f t="shared" si="35"/>
        <v>50</v>
      </c>
      <c r="J215" s="72" t="s">
        <v>83</v>
      </c>
      <c r="K215" s="74"/>
      <c r="M215" s="79" t="s">
        <v>17</v>
      </c>
      <c r="N215" s="80">
        <f t="shared" si="37"/>
        <v>20</v>
      </c>
      <c r="O215" s="76">
        <f>N215*F215</f>
        <v>20</v>
      </c>
      <c r="P215" s="81" t="s">
        <v>56</v>
      </c>
    </row>
    <row r="216" spans="1:17" x14ac:dyDescent="0.25">
      <c r="A216" s="95">
        <v>45533</v>
      </c>
      <c r="B216" s="72" t="s">
        <v>189</v>
      </c>
      <c r="C216" s="72" t="s">
        <v>10</v>
      </c>
      <c r="D216" s="72" t="s">
        <v>13</v>
      </c>
      <c r="E216" s="72" t="s">
        <v>56</v>
      </c>
      <c r="F216" s="72">
        <v>1</v>
      </c>
      <c r="G216" s="73">
        <v>10</v>
      </c>
      <c r="H216" s="73">
        <f t="shared" si="31"/>
        <v>10</v>
      </c>
      <c r="I216" s="73">
        <f t="shared" si="35"/>
        <v>10</v>
      </c>
      <c r="J216" s="72" t="s">
        <v>83</v>
      </c>
      <c r="K216" s="74" t="s">
        <v>756</v>
      </c>
      <c r="M216" s="79" t="s">
        <v>13</v>
      </c>
      <c r="N216" s="80">
        <f>G216*0.4</f>
        <v>4</v>
      </c>
      <c r="O216" s="76">
        <f>N216*F216</f>
        <v>4</v>
      </c>
      <c r="P216" s="81" t="s">
        <v>56</v>
      </c>
    </row>
    <row r="217" spans="1:17" x14ac:dyDescent="0.25">
      <c r="A217" s="95">
        <v>45533</v>
      </c>
      <c r="B217" s="72" t="s">
        <v>189</v>
      </c>
      <c r="C217" s="72" t="s">
        <v>10</v>
      </c>
      <c r="D217" s="72" t="s">
        <v>38</v>
      </c>
      <c r="E217" s="72" t="s">
        <v>56</v>
      </c>
      <c r="F217" s="72">
        <v>1</v>
      </c>
      <c r="G217" s="73">
        <f t="shared" ref="G217:G224" si="39">VLOOKUP(D217,$S$3:$T$64,2,0)</f>
        <v>6</v>
      </c>
      <c r="H217" s="73">
        <f t="shared" si="31"/>
        <v>6</v>
      </c>
      <c r="I217" s="73">
        <f t="shared" si="35"/>
        <v>6</v>
      </c>
      <c r="J217" s="72" t="s">
        <v>83</v>
      </c>
      <c r="K217" s="74"/>
      <c r="M217" s="79" t="s">
        <v>38</v>
      </c>
      <c r="N217" s="80">
        <f t="shared" ref="N217:N248" si="40">VLOOKUP(M217,$S$3:$U$64,3,0)</f>
        <v>0.60000000000000009</v>
      </c>
      <c r="O217" s="76">
        <f>N217*F217</f>
        <v>0.60000000000000009</v>
      </c>
      <c r="P217" s="81" t="s">
        <v>56</v>
      </c>
    </row>
    <row r="218" spans="1:17" x14ac:dyDescent="0.25">
      <c r="A218" s="95">
        <v>45533</v>
      </c>
      <c r="B218" s="72" t="s">
        <v>757</v>
      </c>
      <c r="C218" s="72" t="s">
        <v>10</v>
      </c>
      <c r="D218" s="72" t="s">
        <v>18</v>
      </c>
      <c r="E218" s="72" t="s">
        <v>56</v>
      </c>
      <c r="F218" s="72">
        <v>1</v>
      </c>
      <c r="G218" s="73">
        <f t="shared" si="39"/>
        <v>40</v>
      </c>
      <c r="H218" s="73">
        <f t="shared" si="31"/>
        <v>40</v>
      </c>
      <c r="I218" s="73">
        <f t="shared" si="35"/>
        <v>40</v>
      </c>
      <c r="J218" s="72" t="s">
        <v>79</v>
      </c>
      <c r="K218" s="74"/>
      <c r="M218" s="79" t="s">
        <v>18</v>
      </c>
      <c r="N218" s="80">
        <f t="shared" si="40"/>
        <v>16</v>
      </c>
      <c r="O218" s="76">
        <f>N218*F218</f>
        <v>16</v>
      </c>
      <c r="P218" s="81" t="s">
        <v>56</v>
      </c>
    </row>
    <row r="219" spans="1:17" x14ac:dyDescent="0.25">
      <c r="A219" s="95">
        <v>45533</v>
      </c>
      <c r="B219" s="72" t="s">
        <v>610</v>
      </c>
      <c r="C219" s="72" t="s">
        <v>8</v>
      </c>
      <c r="D219" s="72" t="s">
        <v>18</v>
      </c>
      <c r="E219" s="72" t="s">
        <v>722</v>
      </c>
      <c r="F219" s="72">
        <v>1</v>
      </c>
      <c r="G219" s="73">
        <f t="shared" si="39"/>
        <v>40</v>
      </c>
      <c r="H219" s="73">
        <f t="shared" si="31"/>
        <v>40</v>
      </c>
      <c r="I219" s="73">
        <f t="shared" si="35"/>
        <v>38.003999999999998</v>
      </c>
      <c r="J219" s="72" t="s">
        <v>86</v>
      </c>
      <c r="K219" s="74"/>
      <c r="M219" s="79"/>
      <c r="N219" s="80" t="e">
        <f t="shared" si="40"/>
        <v>#N/A</v>
      </c>
      <c r="O219" s="76"/>
      <c r="P219" s="81"/>
    </row>
    <row r="220" spans="1:17" x14ac:dyDescent="0.25">
      <c r="A220" s="95">
        <v>45533</v>
      </c>
      <c r="B220" s="72" t="s">
        <v>578</v>
      </c>
      <c r="C220" s="72" t="s">
        <v>8</v>
      </c>
      <c r="D220" s="72" t="s">
        <v>15</v>
      </c>
      <c r="E220" s="72" t="s">
        <v>56</v>
      </c>
      <c r="F220" s="72">
        <v>1</v>
      </c>
      <c r="G220" s="73">
        <f t="shared" si="39"/>
        <v>70</v>
      </c>
      <c r="H220" s="73">
        <f t="shared" si="31"/>
        <v>70</v>
      </c>
      <c r="I220" s="73">
        <f t="shared" si="35"/>
        <v>70</v>
      </c>
      <c r="J220" s="72" t="s">
        <v>83</v>
      </c>
      <c r="K220" s="74"/>
      <c r="M220" s="72" t="s">
        <v>15</v>
      </c>
      <c r="N220" s="80">
        <f t="shared" si="40"/>
        <v>28</v>
      </c>
      <c r="O220" s="76">
        <f>N220*F220</f>
        <v>28</v>
      </c>
      <c r="P220" s="81" t="s">
        <v>56</v>
      </c>
    </row>
    <row r="221" spans="1:17" x14ac:dyDescent="0.25">
      <c r="A221" s="95">
        <v>45533</v>
      </c>
      <c r="B221" s="72" t="s">
        <v>574</v>
      </c>
      <c r="C221" s="72" t="s">
        <v>8</v>
      </c>
      <c r="D221" s="72" t="s">
        <v>17</v>
      </c>
      <c r="E221" s="72" t="s">
        <v>722</v>
      </c>
      <c r="F221" s="72">
        <v>1</v>
      </c>
      <c r="G221" s="73">
        <f t="shared" si="39"/>
        <v>50</v>
      </c>
      <c r="H221" s="73">
        <f t="shared" si="31"/>
        <v>50</v>
      </c>
      <c r="I221" s="73">
        <f t="shared" si="35"/>
        <v>50</v>
      </c>
      <c r="J221" s="72" t="s">
        <v>83</v>
      </c>
      <c r="K221" s="74"/>
      <c r="M221" s="79"/>
      <c r="N221" s="80" t="e">
        <f t="shared" si="40"/>
        <v>#N/A</v>
      </c>
      <c r="O221" s="76"/>
      <c r="P221" s="81"/>
      <c r="Q221" s="106"/>
    </row>
    <row r="222" spans="1:17" x14ac:dyDescent="0.25">
      <c r="A222" s="95">
        <v>45533</v>
      </c>
      <c r="B222" s="72" t="s">
        <v>566</v>
      </c>
      <c r="C222" s="72" t="s">
        <v>8</v>
      </c>
      <c r="D222" s="72" t="s">
        <v>18</v>
      </c>
      <c r="E222" s="72" t="s">
        <v>722</v>
      </c>
      <c r="F222" s="72">
        <v>1</v>
      </c>
      <c r="G222" s="73">
        <f t="shared" si="39"/>
        <v>40</v>
      </c>
      <c r="H222" s="73">
        <f t="shared" si="31"/>
        <v>40</v>
      </c>
      <c r="I222" s="73">
        <f t="shared" si="35"/>
        <v>40</v>
      </c>
      <c r="J222" s="72" t="s">
        <v>83</v>
      </c>
      <c r="K222" s="74"/>
      <c r="M222" s="79"/>
      <c r="N222" s="80" t="e">
        <f t="shared" si="40"/>
        <v>#N/A</v>
      </c>
      <c r="O222" s="76"/>
      <c r="P222" s="81"/>
    </row>
    <row r="223" spans="1:17" x14ac:dyDescent="0.25">
      <c r="A223" s="95">
        <v>45533</v>
      </c>
      <c r="B223" s="72" t="s">
        <v>566</v>
      </c>
      <c r="C223" s="72" t="s">
        <v>8</v>
      </c>
      <c r="D223" s="72" t="s">
        <v>44</v>
      </c>
      <c r="E223" s="72" t="s">
        <v>722</v>
      </c>
      <c r="F223" s="72">
        <v>1</v>
      </c>
      <c r="G223" s="73">
        <f t="shared" si="39"/>
        <v>5</v>
      </c>
      <c r="H223" s="73">
        <f t="shared" si="31"/>
        <v>5</v>
      </c>
      <c r="I223" s="73">
        <f t="shared" si="35"/>
        <v>5</v>
      </c>
      <c r="J223" s="72" t="s">
        <v>83</v>
      </c>
      <c r="K223" s="74"/>
      <c r="M223" s="79"/>
      <c r="N223" s="80" t="e">
        <f t="shared" si="40"/>
        <v>#N/A</v>
      </c>
      <c r="O223" s="76"/>
      <c r="P223" s="81"/>
    </row>
    <row r="224" spans="1:17" x14ac:dyDescent="0.25">
      <c r="A224" s="95">
        <v>45533</v>
      </c>
      <c r="B224" s="72" t="s">
        <v>555</v>
      </c>
      <c r="C224" s="72" t="s">
        <v>8</v>
      </c>
      <c r="D224" s="72" t="s">
        <v>21</v>
      </c>
      <c r="E224" s="72" t="s">
        <v>722</v>
      </c>
      <c r="F224" s="72">
        <v>1</v>
      </c>
      <c r="G224" s="73">
        <f t="shared" si="39"/>
        <v>10</v>
      </c>
      <c r="H224" s="73">
        <f t="shared" si="31"/>
        <v>10</v>
      </c>
      <c r="I224" s="73">
        <f t="shared" si="35"/>
        <v>9.5009999999999994</v>
      </c>
      <c r="J224" s="72" t="s">
        <v>86</v>
      </c>
      <c r="K224" s="74"/>
      <c r="M224" s="79"/>
      <c r="N224" s="80" t="e">
        <f t="shared" si="40"/>
        <v>#N/A</v>
      </c>
      <c r="O224" s="76"/>
      <c r="P224" s="81"/>
    </row>
    <row r="225" spans="1:17" x14ac:dyDescent="0.25">
      <c r="A225" s="95">
        <v>45533</v>
      </c>
      <c r="B225" s="72" t="s">
        <v>555</v>
      </c>
      <c r="C225" s="72" t="s">
        <v>8</v>
      </c>
      <c r="D225" s="72" t="s">
        <v>48</v>
      </c>
      <c r="E225" s="72" t="s">
        <v>722</v>
      </c>
      <c r="F225" s="72">
        <v>1</v>
      </c>
      <c r="G225" s="73">
        <v>11</v>
      </c>
      <c r="H225" s="73">
        <f t="shared" si="31"/>
        <v>11</v>
      </c>
      <c r="I225" s="73">
        <f t="shared" si="35"/>
        <v>10.4511</v>
      </c>
      <c r="J225" s="72" t="s">
        <v>86</v>
      </c>
      <c r="K225" s="74"/>
      <c r="M225" s="79"/>
      <c r="N225" s="80" t="e">
        <f t="shared" si="40"/>
        <v>#N/A</v>
      </c>
      <c r="O225" s="76"/>
      <c r="P225" s="81"/>
    </row>
    <row r="226" spans="1:17" x14ac:dyDescent="0.25">
      <c r="A226" s="95">
        <v>45533</v>
      </c>
      <c r="B226" s="72" t="s">
        <v>555</v>
      </c>
      <c r="C226" s="72" t="s">
        <v>8</v>
      </c>
      <c r="D226" s="72" t="s">
        <v>35</v>
      </c>
      <c r="E226" s="72" t="s">
        <v>722</v>
      </c>
      <c r="F226" s="72">
        <v>1</v>
      </c>
      <c r="G226" s="73">
        <f t="shared" ref="G226:G246" si="41">VLOOKUP(D226,$S$3:$T$64,2,0)</f>
        <v>7</v>
      </c>
      <c r="H226" s="73">
        <f t="shared" ref="H226:H289" si="42">F226*G226</f>
        <v>7</v>
      </c>
      <c r="I226" s="73">
        <f t="shared" si="35"/>
        <v>6.6506999999999996</v>
      </c>
      <c r="J226" s="72" t="s">
        <v>86</v>
      </c>
      <c r="K226" s="74"/>
      <c r="M226" s="79"/>
      <c r="N226" s="80" t="e">
        <f t="shared" si="40"/>
        <v>#N/A</v>
      </c>
      <c r="O226" s="76"/>
      <c r="P226" s="81"/>
      <c r="Q226" s="106"/>
    </row>
    <row r="227" spans="1:17" x14ac:dyDescent="0.25">
      <c r="A227" s="95">
        <v>45533</v>
      </c>
      <c r="B227" s="72" t="s">
        <v>579</v>
      </c>
      <c r="C227" s="72" t="s">
        <v>8</v>
      </c>
      <c r="D227" s="72" t="s">
        <v>18</v>
      </c>
      <c r="E227" s="72" t="s">
        <v>56</v>
      </c>
      <c r="F227" s="72">
        <v>1</v>
      </c>
      <c r="G227" s="73">
        <f t="shared" si="41"/>
        <v>40</v>
      </c>
      <c r="H227" s="73">
        <f t="shared" si="42"/>
        <v>40</v>
      </c>
      <c r="I227" s="73">
        <f t="shared" si="35"/>
        <v>39.043999999999997</v>
      </c>
      <c r="J227" s="72" t="s">
        <v>78</v>
      </c>
      <c r="K227" s="74"/>
      <c r="M227" s="79" t="s">
        <v>18</v>
      </c>
      <c r="N227" s="80">
        <f t="shared" si="40"/>
        <v>16</v>
      </c>
      <c r="O227" s="76">
        <f>N227*F227</f>
        <v>16</v>
      </c>
      <c r="P227" s="81" t="s">
        <v>56</v>
      </c>
    </row>
    <row r="228" spans="1:17" x14ac:dyDescent="0.25">
      <c r="A228" s="95">
        <v>45534</v>
      </c>
      <c r="B228" s="72" t="s">
        <v>516</v>
      </c>
      <c r="C228" s="72" t="s">
        <v>8</v>
      </c>
      <c r="D228" s="72" t="s">
        <v>16</v>
      </c>
      <c r="E228" s="72" t="s">
        <v>56</v>
      </c>
      <c r="F228" s="72">
        <v>1</v>
      </c>
      <c r="G228" s="73">
        <f t="shared" si="41"/>
        <v>80</v>
      </c>
      <c r="H228" s="73">
        <f t="shared" si="42"/>
        <v>80</v>
      </c>
      <c r="I228" s="73">
        <f t="shared" si="35"/>
        <v>80</v>
      </c>
      <c r="J228" s="72" t="s">
        <v>83</v>
      </c>
      <c r="K228" s="74"/>
      <c r="M228" s="79" t="s">
        <v>16</v>
      </c>
      <c r="N228" s="80">
        <f t="shared" si="40"/>
        <v>32</v>
      </c>
      <c r="O228" s="76">
        <f>N228*F228</f>
        <v>32</v>
      </c>
      <c r="P228" s="81" t="s">
        <v>56</v>
      </c>
    </row>
    <row r="229" spans="1:17" x14ac:dyDescent="0.25">
      <c r="A229" s="95">
        <v>45534</v>
      </c>
      <c r="B229" s="72" t="s">
        <v>210</v>
      </c>
      <c r="C229" s="72" t="s">
        <v>8</v>
      </c>
      <c r="D229" s="72" t="s">
        <v>18</v>
      </c>
      <c r="E229" s="72" t="s">
        <v>56</v>
      </c>
      <c r="F229" s="72">
        <v>1</v>
      </c>
      <c r="G229" s="73">
        <f t="shared" si="41"/>
        <v>40</v>
      </c>
      <c r="H229" s="73">
        <f t="shared" si="42"/>
        <v>40</v>
      </c>
      <c r="I229" s="73">
        <f t="shared" si="35"/>
        <v>39.043999999999997</v>
      </c>
      <c r="J229" s="72" t="s">
        <v>78</v>
      </c>
      <c r="K229" s="74"/>
      <c r="M229" s="79" t="s">
        <v>18</v>
      </c>
      <c r="N229" s="80">
        <f t="shared" si="40"/>
        <v>16</v>
      </c>
      <c r="O229" s="76">
        <f>N229*F229</f>
        <v>16</v>
      </c>
      <c r="P229" s="81" t="s">
        <v>56</v>
      </c>
    </row>
    <row r="230" spans="1:17" x14ac:dyDescent="0.25">
      <c r="A230" s="95">
        <v>45534</v>
      </c>
      <c r="B230" s="72" t="s">
        <v>758</v>
      </c>
      <c r="C230" s="72" t="s">
        <v>8</v>
      </c>
      <c r="D230" s="72" t="s">
        <v>18</v>
      </c>
      <c r="E230" s="72" t="s">
        <v>56</v>
      </c>
      <c r="F230" s="72">
        <v>1</v>
      </c>
      <c r="G230" s="73">
        <f t="shared" si="41"/>
        <v>40</v>
      </c>
      <c r="H230" s="73">
        <f t="shared" si="42"/>
        <v>40</v>
      </c>
      <c r="I230" s="73">
        <f t="shared" si="35"/>
        <v>40</v>
      </c>
      <c r="J230" s="72" t="s">
        <v>83</v>
      </c>
      <c r="K230" s="74"/>
      <c r="M230" s="79" t="s">
        <v>18</v>
      </c>
      <c r="N230" s="80">
        <f t="shared" si="40"/>
        <v>16</v>
      </c>
      <c r="O230" s="76">
        <f>N230*F230</f>
        <v>16</v>
      </c>
      <c r="P230" s="81" t="s">
        <v>56</v>
      </c>
    </row>
    <row r="231" spans="1:17" x14ac:dyDescent="0.25">
      <c r="A231" s="95">
        <v>45534</v>
      </c>
      <c r="B231" s="72" t="s">
        <v>545</v>
      </c>
      <c r="C231" s="72" t="s">
        <v>8</v>
      </c>
      <c r="D231" s="72" t="s">
        <v>18</v>
      </c>
      <c r="E231" s="72" t="s">
        <v>56</v>
      </c>
      <c r="F231" s="72">
        <v>1</v>
      </c>
      <c r="G231" s="73">
        <f t="shared" si="41"/>
        <v>40</v>
      </c>
      <c r="H231" s="73">
        <f t="shared" si="42"/>
        <v>40</v>
      </c>
      <c r="I231" s="73">
        <f t="shared" si="35"/>
        <v>38.003999999999998</v>
      </c>
      <c r="J231" s="72" t="s">
        <v>86</v>
      </c>
      <c r="K231" s="74"/>
      <c r="M231" s="79" t="s">
        <v>18</v>
      </c>
      <c r="N231" s="80">
        <f t="shared" si="40"/>
        <v>16</v>
      </c>
      <c r="O231" s="76">
        <f>N231*F231</f>
        <v>16</v>
      </c>
      <c r="P231" s="81" t="s">
        <v>56</v>
      </c>
    </row>
    <row r="232" spans="1:17" x14ac:dyDescent="0.25">
      <c r="A232" s="95">
        <v>45534</v>
      </c>
      <c r="B232" s="72" t="s">
        <v>516</v>
      </c>
      <c r="C232" s="72" t="s">
        <v>8</v>
      </c>
      <c r="D232" s="72" t="s">
        <v>16</v>
      </c>
      <c r="E232" s="72" t="s">
        <v>722</v>
      </c>
      <c r="F232" s="72">
        <v>1</v>
      </c>
      <c r="G232" s="73">
        <f t="shared" si="41"/>
        <v>80</v>
      </c>
      <c r="H232" s="73">
        <f t="shared" si="42"/>
        <v>80</v>
      </c>
      <c r="I232" s="73">
        <f t="shared" si="35"/>
        <v>80</v>
      </c>
      <c r="J232" s="72" t="s">
        <v>83</v>
      </c>
      <c r="K232" s="74"/>
      <c r="M232" s="79"/>
      <c r="N232" s="80" t="e">
        <f t="shared" si="40"/>
        <v>#N/A</v>
      </c>
      <c r="O232" s="76"/>
      <c r="P232" s="81"/>
    </row>
    <row r="233" spans="1:17" x14ac:dyDescent="0.25">
      <c r="A233" s="95">
        <v>45534</v>
      </c>
      <c r="B233" s="72" t="s">
        <v>516</v>
      </c>
      <c r="C233" s="72" t="s">
        <v>8</v>
      </c>
      <c r="D233" s="72" t="s">
        <v>62</v>
      </c>
      <c r="E233" s="72" t="s">
        <v>722</v>
      </c>
      <c r="F233" s="72">
        <v>1</v>
      </c>
      <c r="G233" s="73">
        <f t="shared" si="41"/>
        <v>20</v>
      </c>
      <c r="H233" s="73">
        <f t="shared" si="42"/>
        <v>20</v>
      </c>
      <c r="I233" s="73">
        <f t="shared" si="35"/>
        <v>20</v>
      </c>
      <c r="J233" s="72" t="s">
        <v>83</v>
      </c>
      <c r="K233" s="74"/>
      <c r="M233" s="79"/>
      <c r="N233" s="80" t="e">
        <f t="shared" si="40"/>
        <v>#N/A</v>
      </c>
      <c r="O233" s="76"/>
      <c r="P233" s="81"/>
    </row>
    <row r="234" spans="1:17" x14ac:dyDescent="0.25">
      <c r="A234" s="95">
        <v>45534</v>
      </c>
      <c r="B234" s="72" t="s">
        <v>194</v>
      </c>
      <c r="C234" s="72" t="s">
        <v>8</v>
      </c>
      <c r="D234" s="72" t="s">
        <v>17</v>
      </c>
      <c r="E234" s="72" t="s">
        <v>722</v>
      </c>
      <c r="F234" s="72">
        <v>1</v>
      </c>
      <c r="G234" s="73">
        <f t="shared" si="41"/>
        <v>50</v>
      </c>
      <c r="H234" s="73">
        <f t="shared" si="42"/>
        <v>50</v>
      </c>
      <c r="I234" s="73">
        <f t="shared" si="35"/>
        <v>50</v>
      </c>
      <c r="J234" s="72" t="s">
        <v>83</v>
      </c>
      <c r="K234" s="74"/>
      <c r="M234" s="79"/>
      <c r="N234" s="80" t="e">
        <f t="shared" si="40"/>
        <v>#N/A</v>
      </c>
      <c r="O234" s="76"/>
      <c r="P234" s="81"/>
    </row>
    <row r="235" spans="1:17" x14ac:dyDescent="0.25">
      <c r="A235" s="95">
        <v>45534</v>
      </c>
      <c r="B235" s="72" t="s">
        <v>194</v>
      </c>
      <c r="C235" s="72" t="s">
        <v>8</v>
      </c>
      <c r="D235" s="72" t="s">
        <v>18</v>
      </c>
      <c r="E235" s="72" t="s">
        <v>722</v>
      </c>
      <c r="F235" s="72">
        <v>1</v>
      </c>
      <c r="G235" s="73">
        <f t="shared" si="41"/>
        <v>40</v>
      </c>
      <c r="H235" s="73">
        <f t="shared" si="42"/>
        <v>40</v>
      </c>
      <c r="I235" s="73">
        <f t="shared" si="35"/>
        <v>40</v>
      </c>
      <c r="J235" s="72" t="s">
        <v>83</v>
      </c>
      <c r="K235" s="74"/>
      <c r="M235" s="79"/>
      <c r="N235" s="80" t="e">
        <f t="shared" si="40"/>
        <v>#N/A</v>
      </c>
      <c r="O235" s="76"/>
      <c r="P235" s="81"/>
    </row>
    <row r="236" spans="1:17" x14ac:dyDescent="0.25">
      <c r="A236" s="95">
        <v>45534</v>
      </c>
      <c r="B236" s="72" t="s">
        <v>759</v>
      </c>
      <c r="C236" s="72" t="s">
        <v>8</v>
      </c>
      <c r="D236" s="72" t="s">
        <v>18</v>
      </c>
      <c r="E236" s="72" t="s">
        <v>722</v>
      </c>
      <c r="F236" s="72">
        <v>1</v>
      </c>
      <c r="G236" s="73">
        <f t="shared" si="41"/>
        <v>40</v>
      </c>
      <c r="H236" s="73">
        <f t="shared" si="42"/>
        <v>40</v>
      </c>
      <c r="I236" s="73">
        <f t="shared" si="35"/>
        <v>40</v>
      </c>
      <c r="J236" s="72" t="s">
        <v>79</v>
      </c>
      <c r="K236" s="74"/>
      <c r="M236" s="79"/>
      <c r="N236" s="80" t="e">
        <f t="shared" si="40"/>
        <v>#N/A</v>
      </c>
      <c r="O236" s="76"/>
      <c r="P236" s="81"/>
    </row>
    <row r="237" spans="1:17" x14ac:dyDescent="0.25">
      <c r="A237" s="95">
        <v>45534</v>
      </c>
      <c r="B237" s="72" t="s">
        <v>324</v>
      </c>
      <c r="C237" s="72" t="s">
        <v>8</v>
      </c>
      <c r="D237" s="72" t="s">
        <v>18</v>
      </c>
      <c r="E237" s="72" t="s">
        <v>722</v>
      </c>
      <c r="F237" s="72">
        <v>1</v>
      </c>
      <c r="G237" s="73">
        <f t="shared" si="41"/>
        <v>40</v>
      </c>
      <c r="H237" s="73">
        <f t="shared" si="42"/>
        <v>40</v>
      </c>
      <c r="I237" s="73">
        <f t="shared" si="35"/>
        <v>40</v>
      </c>
      <c r="J237" s="72" t="s">
        <v>83</v>
      </c>
      <c r="K237" s="74"/>
      <c r="M237" s="79"/>
      <c r="N237" s="80" t="e">
        <f t="shared" si="40"/>
        <v>#N/A</v>
      </c>
      <c r="O237" s="76"/>
      <c r="P237" s="81"/>
    </row>
    <row r="238" spans="1:17" x14ac:dyDescent="0.25">
      <c r="A238" s="95">
        <v>45534</v>
      </c>
      <c r="B238" s="72" t="s">
        <v>720</v>
      </c>
      <c r="C238" s="72" t="s">
        <v>8</v>
      </c>
      <c r="D238" s="72" t="s">
        <v>18</v>
      </c>
      <c r="E238" s="72" t="s">
        <v>722</v>
      </c>
      <c r="F238" s="72">
        <v>1</v>
      </c>
      <c r="G238" s="73">
        <f t="shared" si="41"/>
        <v>40</v>
      </c>
      <c r="H238" s="73">
        <f t="shared" si="42"/>
        <v>40</v>
      </c>
      <c r="I238" s="73">
        <f t="shared" si="35"/>
        <v>38.003999999999998</v>
      </c>
      <c r="J238" s="72" t="s">
        <v>86</v>
      </c>
      <c r="K238" s="74"/>
      <c r="M238" s="79"/>
      <c r="N238" s="80" t="e">
        <f t="shared" si="40"/>
        <v>#N/A</v>
      </c>
      <c r="O238" s="76"/>
      <c r="P238" s="81"/>
    </row>
    <row r="239" spans="1:17" x14ac:dyDescent="0.25">
      <c r="A239" s="95">
        <v>45534</v>
      </c>
      <c r="B239" s="72" t="s">
        <v>303</v>
      </c>
      <c r="C239" s="72" t="s">
        <v>8</v>
      </c>
      <c r="D239" s="72" t="s">
        <v>40</v>
      </c>
      <c r="E239" s="72" t="s">
        <v>722</v>
      </c>
      <c r="F239" s="72">
        <v>1</v>
      </c>
      <c r="G239" s="73">
        <f t="shared" si="41"/>
        <v>45</v>
      </c>
      <c r="H239" s="73">
        <f t="shared" si="42"/>
        <v>45</v>
      </c>
      <c r="I239" s="73">
        <f t="shared" si="35"/>
        <v>45</v>
      </c>
      <c r="J239" s="72" t="s">
        <v>83</v>
      </c>
      <c r="K239" s="74"/>
      <c r="M239" s="79"/>
      <c r="N239" s="80" t="e">
        <f t="shared" si="40"/>
        <v>#N/A</v>
      </c>
      <c r="O239" s="76"/>
      <c r="P239" s="81"/>
    </row>
    <row r="240" spans="1:17" x14ac:dyDescent="0.25">
      <c r="A240" s="95">
        <v>45534</v>
      </c>
      <c r="B240" s="72" t="s">
        <v>586</v>
      </c>
      <c r="C240" s="72" t="s">
        <v>8</v>
      </c>
      <c r="D240" s="72" t="s">
        <v>17</v>
      </c>
      <c r="E240" s="72" t="s">
        <v>722</v>
      </c>
      <c r="F240" s="72">
        <v>1</v>
      </c>
      <c r="G240" s="73">
        <f t="shared" si="41"/>
        <v>50</v>
      </c>
      <c r="H240" s="73">
        <f t="shared" si="42"/>
        <v>50</v>
      </c>
      <c r="I240" s="73">
        <f t="shared" si="35"/>
        <v>47.505000000000003</v>
      </c>
      <c r="J240" s="72" t="s">
        <v>86</v>
      </c>
      <c r="K240" s="74"/>
      <c r="M240" s="79"/>
      <c r="N240" s="80" t="e">
        <f t="shared" si="40"/>
        <v>#N/A</v>
      </c>
      <c r="O240" s="76"/>
      <c r="P240" s="81"/>
    </row>
    <row r="241" spans="1:17" x14ac:dyDescent="0.25">
      <c r="A241" s="95">
        <v>45534</v>
      </c>
      <c r="B241" s="72" t="s">
        <v>586</v>
      </c>
      <c r="C241" s="72" t="s">
        <v>8</v>
      </c>
      <c r="D241" s="72" t="s">
        <v>23</v>
      </c>
      <c r="E241" s="72" t="s">
        <v>722</v>
      </c>
      <c r="F241" s="72">
        <v>1</v>
      </c>
      <c r="G241" s="73">
        <f t="shared" si="41"/>
        <v>5</v>
      </c>
      <c r="H241" s="73">
        <f t="shared" si="42"/>
        <v>5</v>
      </c>
      <c r="I241" s="73">
        <f t="shared" si="35"/>
        <v>4.7504999999999997</v>
      </c>
      <c r="J241" s="72" t="s">
        <v>86</v>
      </c>
      <c r="K241" s="74"/>
      <c r="M241" s="79"/>
      <c r="N241" s="80" t="e">
        <f t="shared" si="40"/>
        <v>#N/A</v>
      </c>
      <c r="O241" s="76"/>
      <c r="P241" s="81"/>
    </row>
    <row r="242" spans="1:17" x14ac:dyDescent="0.25">
      <c r="A242" s="95">
        <v>45534</v>
      </c>
      <c r="B242" s="72" t="s">
        <v>579</v>
      </c>
      <c r="C242" s="72" t="s">
        <v>8</v>
      </c>
      <c r="D242" s="72" t="s">
        <v>16</v>
      </c>
      <c r="E242" s="72" t="s">
        <v>56</v>
      </c>
      <c r="F242" s="72">
        <v>1</v>
      </c>
      <c r="G242" s="73">
        <f t="shared" si="41"/>
        <v>80</v>
      </c>
      <c r="H242" s="73">
        <f t="shared" si="42"/>
        <v>80</v>
      </c>
      <c r="I242" s="73">
        <f t="shared" si="35"/>
        <v>78.087999999999994</v>
      </c>
      <c r="J242" s="72" t="s">
        <v>78</v>
      </c>
      <c r="K242" s="74"/>
      <c r="M242" s="79" t="s">
        <v>16</v>
      </c>
      <c r="N242" s="80">
        <f t="shared" si="40"/>
        <v>32</v>
      </c>
      <c r="O242" s="76">
        <f t="shared" ref="O242:O253" si="43">N242*F242</f>
        <v>32</v>
      </c>
      <c r="P242" s="81" t="s">
        <v>56</v>
      </c>
    </row>
    <row r="243" spans="1:17" x14ac:dyDescent="0.25">
      <c r="A243" s="95">
        <v>45534</v>
      </c>
      <c r="B243" s="72" t="s">
        <v>760</v>
      </c>
      <c r="C243" s="72" t="s">
        <v>8</v>
      </c>
      <c r="D243" s="72" t="s">
        <v>42</v>
      </c>
      <c r="E243" s="72" t="s">
        <v>56</v>
      </c>
      <c r="F243" s="72">
        <v>1</v>
      </c>
      <c r="G243" s="73">
        <f t="shared" si="41"/>
        <v>20</v>
      </c>
      <c r="H243" s="73">
        <f t="shared" si="42"/>
        <v>20</v>
      </c>
      <c r="I243" s="73">
        <f t="shared" si="35"/>
        <v>19.521999999999998</v>
      </c>
      <c r="J243" s="72" t="s">
        <v>78</v>
      </c>
      <c r="K243" s="74"/>
      <c r="M243" s="79" t="s">
        <v>42</v>
      </c>
      <c r="N243" s="80">
        <f t="shared" si="40"/>
        <v>8</v>
      </c>
      <c r="O243" s="76">
        <f t="shared" si="43"/>
        <v>8</v>
      </c>
      <c r="P243" s="81" t="s">
        <v>56</v>
      </c>
    </row>
    <row r="244" spans="1:17" x14ac:dyDescent="0.25">
      <c r="A244" s="95">
        <v>45534</v>
      </c>
      <c r="B244" s="72" t="s">
        <v>760</v>
      </c>
      <c r="C244" s="72" t="s">
        <v>8</v>
      </c>
      <c r="D244" s="72" t="s">
        <v>18</v>
      </c>
      <c r="E244" s="72" t="s">
        <v>56</v>
      </c>
      <c r="F244" s="72">
        <v>1</v>
      </c>
      <c r="G244" s="73">
        <f t="shared" si="41"/>
        <v>40</v>
      </c>
      <c r="H244" s="73">
        <f t="shared" si="42"/>
        <v>40</v>
      </c>
      <c r="I244" s="73">
        <f t="shared" si="35"/>
        <v>39.043999999999997</v>
      </c>
      <c r="J244" s="72" t="s">
        <v>78</v>
      </c>
      <c r="K244" s="74"/>
      <c r="M244" s="79" t="s">
        <v>18</v>
      </c>
      <c r="N244" s="80">
        <f t="shared" si="40"/>
        <v>16</v>
      </c>
      <c r="O244" s="76">
        <f t="shared" si="43"/>
        <v>16</v>
      </c>
      <c r="P244" s="81" t="s">
        <v>56</v>
      </c>
    </row>
    <row r="245" spans="1:17" x14ac:dyDescent="0.25">
      <c r="A245" s="95">
        <v>45534</v>
      </c>
      <c r="B245" s="72" t="s">
        <v>760</v>
      </c>
      <c r="C245" s="72" t="s">
        <v>8</v>
      </c>
      <c r="D245" s="72" t="s">
        <v>24</v>
      </c>
      <c r="E245" s="72" t="s">
        <v>56</v>
      </c>
      <c r="F245" s="72">
        <v>1</v>
      </c>
      <c r="G245" s="73">
        <f t="shared" si="41"/>
        <v>10</v>
      </c>
      <c r="H245" s="73">
        <f t="shared" si="42"/>
        <v>10</v>
      </c>
      <c r="I245" s="73">
        <f t="shared" si="35"/>
        <v>9.7609999999999992</v>
      </c>
      <c r="J245" s="72" t="s">
        <v>78</v>
      </c>
      <c r="K245" s="74"/>
      <c r="M245" s="79" t="s">
        <v>24</v>
      </c>
      <c r="N245" s="80">
        <f t="shared" si="40"/>
        <v>4</v>
      </c>
      <c r="O245" s="76">
        <f t="shared" si="43"/>
        <v>4</v>
      </c>
      <c r="P245" s="81" t="s">
        <v>56</v>
      </c>
    </row>
    <row r="246" spans="1:17" x14ac:dyDescent="0.25">
      <c r="A246" s="95">
        <v>45534</v>
      </c>
      <c r="B246" s="72" t="s">
        <v>760</v>
      </c>
      <c r="C246" s="72" t="s">
        <v>8</v>
      </c>
      <c r="D246" s="72" t="s">
        <v>63</v>
      </c>
      <c r="E246" s="72" t="s">
        <v>56</v>
      </c>
      <c r="F246" s="72">
        <v>1</v>
      </c>
      <c r="G246" s="73">
        <f t="shared" si="41"/>
        <v>20</v>
      </c>
      <c r="H246" s="73">
        <f t="shared" si="42"/>
        <v>20</v>
      </c>
      <c r="I246" s="73">
        <f t="shared" si="35"/>
        <v>19.001999999999999</v>
      </c>
      <c r="J246" s="72" t="s">
        <v>86</v>
      </c>
      <c r="K246" s="74"/>
      <c r="M246" s="79" t="s">
        <v>63</v>
      </c>
      <c r="N246" s="80">
        <f t="shared" si="40"/>
        <v>2</v>
      </c>
      <c r="O246" s="76">
        <f t="shared" si="43"/>
        <v>2</v>
      </c>
      <c r="P246" s="81" t="s">
        <v>56</v>
      </c>
    </row>
    <row r="247" spans="1:17" x14ac:dyDescent="0.25">
      <c r="A247" s="95">
        <v>45534</v>
      </c>
      <c r="B247" s="72" t="s">
        <v>760</v>
      </c>
      <c r="C247" s="72" t="s">
        <v>8</v>
      </c>
      <c r="D247" s="72" t="s">
        <v>61</v>
      </c>
      <c r="E247" s="72" t="s">
        <v>56</v>
      </c>
      <c r="F247" s="72">
        <v>1</v>
      </c>
      <c r="G247" s="73">
        <v>25</v>
      </c>
      <c r="H247" s="73">
        <f t="shared" si="42"/>
        <v>25</v>
      </c>
      <c r="I247" s="73">
        <f t="shared" si="35"/>
        <v>24.4025</v>
      </c>
      <c r="J247" s="72" t="s">
        <v>78</v>
      </c>
      <c r="K247" s="74"/>
      <c r="M247" s="79" t="s">
        <v>61</v>
      </c>
      <c r="N247" s="80">
        <f t="shared" si="40"/>
        <v>3.5</v>
      </c>
      <c r="O247" s="76">
        <f t="shared" si="43"/>
        <v>3.5</v>
      </c>
      <c r="P247" s="81" t="s">
        <v>56</v>
      </c>
      <c r="Q247" s="106"/>
    </row>
    <row r="248" spans="1:17" x14ac:dyDescent="0.25">
      <c r="A248" s="95">
        <v>45535</v>
      </c>
      <c r="B248" s="72" t="s">
        <v>174</v>
      </c>
      <c r="C248" s="72" t="s">
        <v>8</v>
      </c>
      <c r="D248" s="72" t="s">
        <v>18</v>
      </c>
      <c r="E248" s="72" t="s">
        <v>56</v>
      </c>
      <c r="F248" s="72">
        <v>1</v>
      </c>
      <c r="G248" s="73">
        <f t="shared" ref="G248:G254" si="44">VLOOKUP(D248,$S$3:$T$64,2,0)</f>
        <v>40</v>
      </c>
      <c r="H248" s="73">
        <f t="shared" si="42"/>
        <v>40</v>
      </c>
      <c r="I248" s="73">
        <f t="shared" si="35"/>
        <v>40</v>
      </c>
      <c r="J248" s="72" t="s">
        <v>83</v>
      </c>
      <c r="K248" s="74"/>
      <c r="M248" s="79" t="s">
        <v>18</v>
      </c>
      <c r="N248" s="80">
        <f t="shared" si="40"/>
        <v>16</v>
      </c>
      <c r="O248" s="76">
        <f t="shared" si="43"/>
        <v>16</v>
      </c>
      <c r="P248" s="81" t="s">
        <v>56</v>
      </c>
    </row>
    <row r="249" spans="1:17" x14ac:dyDescent="0.25">
      <c r="A249" s="95">
        <v>45535</v>
      </c>
      <c r="B249" s="72" t="s">
        <v>427</v>
      </c>
      <c r="C249" s="72" t="s">
        <v>8</v>
      </c>
      <c r="D249" s="72" t="s">
        <v>18</v>
      </c>
      <c r="E249" s="72" t="s">
        <v>56</v>
      </c>
      <c r="F249" s="72">
        <v>1</v>
      </c>
      <c r="G249" s="73">
        <f t="shared" si="44"/>
        <v>40</v>
      </c>
      <c r="H249" s="73">
        <f t="shared" si="42"/>
        <v>40</v>
      </c>
      <c r="I249" s="73">
        <f t="shared" si="35"/>
        <v>40</v>
      </c>
      <c r="J249" s="72" t="s">
        <v>83</v>
      </c>
      <c r="K249" s="74"/>
      <c r="M249" s="79" t="s">
        <v>18</v>
      </c>
      <c r="N249" s="80">
        <f t="shared" ref="N249:N280" si="45">VLOOKUP(M249,$S$3:$U$64,3,0)</f>
        <v>16</v>
      </c>
      <c r="O249" s="76">
        <f t="shared" si="43"/>
        <v>16</v>
      </c>
      <c r="P249" s="81" t="s">
        <v>56</v>
      </c>
    </row>
    <row r="250" spans="1:17" x14ac:dyDescent="0.25">
      <c r="A250" s="95">
        <v>45535</v>
      </c>
      <c r="B250" s="72" t="s">
        <v>364</v>
      </c>
      <c r="C250" s="72" t="s">
        <v>8</v>
      </c>
      <c r="D250" s="72" t="s">
        <v>19</v>
      </c>
      <c r="E250" s="72" t="s">
        <v>56</v>
      </c>
      <c r="F250" s="72">
        <v>1</v>
      </c>
      <c r="G250" s="73">
        <f t="shared" si="44"/>
        <v>40</v>
      </c>
      <c r="H250" s="73">
        <f t="shared" si="42"/>
        <v>40</v>
      </c>
      <c r="I250" s="73">
        <f t="shared" si="35"/>
        <v>39.043999999999997</v>
      </c>
      <c r="J250" s="72" t="s">
        <v>78</v>
      </c>
      <c r="K250" s="74"/>
      <c r="M250" s="79" t="s">
        <v>19</v>
      </c>
      <c r="N250" s="80">
        <f t="shared" si="45"/>
        <v>16</v>
      </c>
      <c r="O250" s="76">
        <f t="shared" si="43"/>
        <v>16</v>
      </c>
      <c r="P250" s="81" t="s">
        <v>56</v>
      </c>
    </row>
    <row r="251" spans="1:17" x14ac:dyDescent="0.25">
      <c r="A251" s="95">
        <v>45535</v>
      </c>
      <c r="B251" s="72" t="s">
        <v>236</v>
      </c>
      <c r="C251" s="72" t="s">
        <v>8</v>
      </c>
      <c r="D251" s="72" t="s">
        <v>18</v>
      </c>
      <c r="E251" s="72" t="s">
        <v>56</v>
      </c>
      <c r="F251" s="72">
        <v>1</v>
      </c>
      <c r="G251" s="73">
        <f t="shared" si="44"/>
        <v>40</v>
      </c>
      <c r="H251" s="73">
        <f t="shared" si="42"/>
        <v>40</v>
      </c>
      <c r="I251" s="73">
        <f t="shared" si="35"/>
        <v>40</v>
      </c>
      <c r="J251" s="72" t="s">
        <v>79</v>
      </c>
      <c r="K251" s="74"/>
      <c r="M251" s="79" t="s">
        <v>18</v>
      </c>
      <c r="N251" s="80">
        <f t="shared" si="45"/>
        <v>16</v>
      </c>
      <c r="O251" s="76">
        <f t="shared" si="43"/>
        <v>16</v>
      </c>
      <c r="P251" s="81" t="s">
        <v>56</v>
      </c>
    </row>
    <row r="252" spans="1:17" x14ac:dyDescent="0.25">
      <c r="A252" s="95">
        <v>45535</v>
      </c>
      <c r="B252" s="72" t="s">
        <v>736</v>
      </c>
      <c r="C252" s="72" t="s">
        <v>8</v>
      </c>
      <c r="D252" s="72" t="s">
        <v>15</v>
      </c>
      <c r="E252" s="72" t="s">
        <v>56</v>
      </c>
      <c r="F252" s="72">
        <v>1</v>
      </c>
      <c r="G252" s="73">
        <f t="shared" si="44"/>
        <v>70</v>
      </c>
      <c r="H252" s="73">
        <f t="shared" si="42"/>
        <v>70</v>
      </c>
      <c r="I252" s="73">
        <f t="shared" si="35"/>
        <v>70</v>
      </c>
      <c r="J252" s="72" t="s">
        <v>83</v>
      </c>
      <c r="K252" s="74"/>
      <c r="M252" s="79" t="s">
        <v>15</v>
      </c>
      <c r="N252" s="80">
        <f t="shared" si="45"/>
        <v>28</v>
      </c>
      <c r="O252" s="76">
        <f t="shared" si="43"/>
        <v>28</v>
      </c>
      <c r="P252" s="81" t="s">
        <v>56</v>
      </c>
    </row>
    <row r="253" spans="1:17" x14ac:dyDescent="0.25">
      <c r="A253" s="95">
        <v>45535</v>
      </c>
      <c r="B253" s="72" t="s">
        <v>210</v>
      </c>
      <c r="C253" s="72" t="s">
        <v>8</v>
      </c>
      <c r="D253" s="72" t="s">
        <v>19</v>
      </c>
      <c r="E253" s="72" t="s">
        <v>56</v>
      </c>
      <c r="F253" s="72">
        <v>1</v>
      </c>
      <c r="G253" s="73">
        <f t="shared" si="44"/>
        <v>40</v>
      </c>
      <c r="H253" s="73">
        <f t="shared" si="42"/>
        <v>40</v>
      </c>
      <c r="I253" s="73">
        <f t="shared" si="35"/>
        <v>40</v>
      </c>
      <c r="J253" s="72" t="s">
        <v>79</v>
      </c>
      <c r="K253" s="74"/>
      <c r="M253" s="79" t="s">
        <v>19</v>
      </c>
      <c r="N253" s="80">
        <f t="shared" si="45"/>
        <v>16</v>
      </c>
      <c r="O253" s="76">
        <f t="shared" si="43"/>
        <v>16</v>
      </c>
      <c r="P253" s="81" t="s">
        <v>56</v>
      </c>
    </row>
    <row r="254" spans="1:17" x14ac:dyDescent="0.25">
      <c r="A254" s="95">
        <v>45535</v>
      </c>
      <c r="B254" s="72" t="s">
        <v>217</v>
      </c>
      <c r="C254" s="72" t="s">
        <v>8</v>
      </c>
      <c r="D254" s="72" t="s">
        <v>18</v>
      </c>
      <c r="E254" s="72" t="s">
        <v>722</v>
      </c>
      <c r="F254" s="72">
        <v>2</v>
      </c>
      <c r="G254" s="73">
        <f t="shared" si="44"/>
        <v>40</v>
      </c>
      <c r="H254" s="73">
        <f t="shared" si="42"/>
        <v>80</v>
      </c>
      <c r="I254" s="73">
        <f t="shared" si="35"/>
        <v>80</v>
      </c>
      <c r="J254" s="72" t="s">
        <v>79</v>
      </c>
      <c r="K254" s="74"/>
      <c r="M254" s="79"/>
      <c r="N254" s="80" t="e">
        <f t="shared" si="45"/>
        <v>#N/A</v>
      </c>
      <c r="O254" s="76"/>
      <c r="P254" s="81"/>
    </row>
    <row r="255" spans="1:17" x14ac:dyDescent="0.25">
      <c r="A255" s="95">
        <v>45535</v>
      </c>
      <c r="B255" s="72" t="s">
        <v>217</v>
      </c>
      <c r="C255" s="72" t="s">
        <v>8</v>
      </c>
      <c r="D255" s="72" t="s">
        <v>22</v>
      </c>
      <c r="E255" s="72" t="s">
        <v>722</v>
      </c>
      <c r="F255" s="72">
        <v>1</v>
      </c>
      <c r="G255" s="73">
        <v>20</v>
      </c>
      <c r="H255" s="73">
        <f t="shared" si="42"/>
        <v>20</v>
      </c>
      <c r="I255" s="73">
        <f t="shared" si="35"/>
        <v>20</v>
      </c>
      <c r="J255" s="72" t="s">
        <v>79</v>
      </c>
      <c r="K255" s="74"/>
      <c r="M255" s="79"/>
      <c r="N255" s="80" t="e">
        <f t="shared" si="45"/>
        <v>#N/A</v>
      </c>
      <c r="O255" s="76"/>
      <c r="P255" s="81"/>
    </row>
    <row r="256" spans="1:17" x14ac:dyDescent="0.25">
      <c r="A256" s="95">
        <v>45535</v>
      </c>
      <c r="B256" s="72" t="s">
        <v>308</v>
      </c>
      <c r="C256" s="72" t="s">
        <v>8</v>
      </c>
      <c r="D256" s="72" t="s">
        <v>18</v>
      </c>
      <c r="E256" s="72" t="s">
        <v>722</v>
      </c>
      <c r="F256" s="72">
        <v>1</v>
      </c>
      <c r="G256" s="73">
        <v>45</v>
      </c>
      <c r="H256" s="73">
        <f t="shared" si="42"/>
        <v>45</v>
      </c>
      <c r="I256" s="73">
        <f t="shared" si="35"/>
        <v>45</v>
      </c>
      <c r="J256" s="72" t="s">
        <v>83</v>
      </c>
      <c r="K256" s="74"/>
      <c r="M256" s="79"/>
      <c r="N256" s="80" t="e">
        <f t="shared" si="45"/>
        <v>#N/A</v>
      </c>
      <c r="O256" s="76"/>
      <c r="P256" s="81"/>
    </row>
    <row r="257" spans="1:18" x14ac:dyDescent="0.25">
      <c r="A257" s="95">
        <v>45535</v>
      </c>
      <c r="B257" s="72" t="s">
        <v>498</v>
      </c>
      <c r="C257" s="72" t="s">
        <v>8</v>
      </c>
      <c r="D257" s="72" t="s">
        <v>16</v>
      </c>
      <c r="E257" s="72" t="s">
        <v>722</v>
      </c>
      <c r="F257" s="72">
        <v>1</v>
      </c>
      <c r="G257" s="73">
        <f>VLOOKUP(D257,$S$3:$T$64,2,0)</f>
        <v>80</v>
      </c>
      <c r="H257" s="73">
        <f t="shared" si="42"/>
        <v>80</v>
      </c>
      <c r="I257" s="73">
        <f t="shared" si="35"/>
        <v>76.007999999999996</v>
      </c>
      <c r="J257" s="72" t="s">
        <v>86</v>
      </c>
      <c r="K257" s="74"/>
      <c r="M257" s="79"/>
      <c r="N257" s="80" t="e">
        <f t="shared" si="45"/>
        <v>#N/A</v>
      </c>
      <c r="O257" s="76"/>
      <c r="P257" s="81"/>
    </row>
    <row r="258" spans="1:18" x14ac:dyDescent="0.25">
      <c r="A258" s="95">
        <v>45535</v>
      </c>
      <c r="B258" s="72" t="s">
        <v>761</v>
      </c>
      <c r="C258" s="72" t="s">
        <v>8</v>
      </c>
      <c r="D258" s="72" t="s">
        <v>22</v>
      </c>
      <c r="E258" s="72" t="s">
        <v>722</v>
      </c>
      <c r="F258" s="72">
        <v>1</v>
      </c>
      <c r="G258" s="73">
        <f>VLOOKUP(D258,$S$3:$T$64,2,0)</f>
        <v>30</v>
      </c>
      <c r="H258" s="73">
        <f t="shared" si="42"/>
        <v>30</v>
      </c>
      <c r="I258" s="73">
        <f t="shared" si="35"/>
        <v>28.503</v>
      </c>
      <c r="J258" s="72" t="s">
        <v>86</v>
      </c>
      <c r="K258" s="74"/>
      <c r="M258" s="79"/>
      <c r="N258" s="80" t="e">
        <f t="shared" si="45"/>
        <v>#N/A</v>
      </c>
      <c r="O258" s="76"/>
      <c r="P258" s="81"/>
    </row>
    <row r="259" spans="1:18" x14ac:dyDescent="0.25">
      <c r="A259" s="95">
        <v>45535</v>
      </c>
      <c r="B259" s="72" t="s">
        <v>761</v>
      </c>
      <c r="C259" s="72" t="s">
        <v>8</v>
      </c>
      <c r="D259" s="72" t="s">
        <v>13</v>
      </c>
      <c r="E259" s="72" t="s">
        <v>722</v>
      </c>
      <c r="F259" s="72">
        <v>1</v>
      </c>
      <c r="G259" s="73">
        <f>VLOOKUP(D259,$S$3:$T$64,2,0)</f>
        <v>30</v>
      </c>
      <c r="H259" s="73">
        <f t="shared" si="42"/>
        <v>30</v>
      </c>
      <c r="I259" s="73">
        <f t="shared" ref="I259:I322" si="46">IF(J259="Cartão de Debito",H259-(H259*$AC$5),IF(J259="Cartão de Credito",H259-(H259*$AC$6), IF(J259="Pix",H259-(H259*$AC$7), IF(J259="Dinheiro (R$)", H259-(H259*$AC$8)))))</f>
        <v>28.503</v>
      </c>
      <c r="J259" s="72" t="s">
        <v>86</v>
      </c>
      <c r="K259" s="74"/>
      <c r="M259" s="79"/>
      <c r="N259" s="80" t="e">
        <f t="shared" si="45"/>
        <v>#N/A</v>
      </c>
      <c r="O259" s="76"/>
      <c r="P259" s="81"/>
    </row>
    <row r="260" spans="1:18" x14ac:dyDescent="0.25">
      <c r="A260" s="95">
        <v>45535</v>
      </c>
      <c r="B260" s="72" t="s">
        <v>552</v>
      </c>
      <c r="C260" s="72" t="s">
        <v>8</v>
      </c>
      <c r="D260" s="72" t="s">
        <v>22</v>
      </c>
      <c r="E260" s="72" t="s">
        <v>722</v>
      </c>
      <c r="F260" s="72">
        <v>1</v>
      </c>
      <c r="G260" s="73">
        <f>VLOOKUP(D260,$S$3:$T$64,2,0)</f>
        <v>30</v>
      </c>
      <c r="H260" s="73">
        <f t="shared" si="42"/>
        <v>30</v>
      </c>
      <c r="I260" s="73">
        <f t="shared" si="46"/>
        <v>30</v>
      </c>
      <c r="J260" s="72" t="s">
        <v>83</v>
      </c>
      <c r="K260" s="74"/>
      <c r="M260" s="79"/>
      <c r="N260" s="80" t="e">
        <f t="shared" si="45"/>
        <v>#N/A</v>
      </c>
      <c r="O260" s="76"/>
      <c r="P260" s="81"/>
    </row>
    <row r="261" spans="1:18" x14ac:dyDescent="0.25">
      <c r="A261" s="95">
        <v>45535</v>
      </c>
      <c r="B261" s="72" t="s">
        <v>322</v>
      </c>
      <c r="C261" s="72" t="s">
        <v>8</v>
      </c>
      <c r="D261" s="72" t="s">
        <v>18</v>
      </c>
      <c r="E261" s="72" t="s">
        <v>722</v>
      </c>
      <c r="F261" s="72">
        <v>1</v>
      </c>
      <c r="G261" s="73">
        <f>VLOOKUP(D261,$S$3:$T$64,2,0)</f>
        <v>40</v>
      </c>
      <c r="H261" s="73">
        <f t="shared" si="42"/>
        <v>40</v>
      </c>
      <c r="I261" s="73">
        <f t="shared" si="46"/>
        <v>39.043999999999997</v>
      </c>
      <c r="J261" s="72" t="s">
        <v>78</v>
      </c>
      <c r="K261" s="74"/>
      <c r="M261" s="79"/>
      <c r="N261" s="80" t="e">
        <f t="shared" si="45"/>
        <v>#N/A</v>
      </c>
      <c r="O261" s="76"/>
      <c r="P261" s="81"/>
    </row>
    <row r="262" spans="1:18" x14ac:dyDescent="0.25">
      <c r="A262" s="95">
        <v>45535</v>
      </c>
      <c r="B262" s="72" t="s">
        <v>762</v>
      </c>
      <c r="C262" s="72" t="s">
        <v>8</v>
      </c>
      <c r="D262" s="72" t="s">
        <v>24</v>
      </c>
      <c r="E262" s="72" t="s">
        <v>722</v>
      </c>
      <c r="F262" s="72">
        <v>1</v>
      </c>
      <c r="G262" s="73">
        <v>5</v>
      </c>
      <c r="H262" s="73">
        <f t="shared" si="42"/>
        <v>5</v>
      </c>
      <c r="I262" s="73">
        <f t="shared" si="46"/>
        <v>4.8804999999999996</v>
      </c>
      <c r="J262" s="72" t="s">
        <v>78</v>
      </c>
      <c r="K262" s="74"/>
      <c r="M262" s="79"/>
      <c r="N262" s="80" t="e">
        <f t="shared" si="45"/>
        <v>#N/A</v>
      </c>
      <c r="O262" s="76"/>
      <c r="P262" s="81"/>
    </row>
    <row r="263" spans="1:18" x14ac:dyDescent="0.25">
      <c r="A263" s="95">
        <v>45535</v>
      </c>
      <c r="B263" s="72" t="s">
        <v>661</v>
      </c>
      <c r="C263" s="72" t="s">
        <v>8</v>
      </c>
      <c r="D263" s="72" t="s">
        <v>18</v>
      </c>
      <c r="E263" s="72" t="s">
        <v>56</v>
      </c>
      <c r="F263" s="72">
        <v>1</v>
      </c>
      <c r="G263" s="73">
        <f t="shared" ref="G263:G294" si="47">VLOOKUP(D263,$S$3:$T$64,2,0)</f>
        <v>40</v>
      </c>
      <c r="H263" s="73">
        <f t="shared" si="42"/>
        <v>40</v>
      </c>
      <c r="I263" s="73">
        <f t="shared" si="46"/>
        <v>38.003999999999998</v>
      </c>
      <c r="J263" s="72" t="s">
        <v>86</v>
      </c>
      <c r="K263" s="74"/>
      <c r="M263" s="79" t="s">
        <v>18</v>
      </c>
      <c r="N263" s="80">
        <f t="shared" si="45"/>
        <v>16</v>
      </c>
      <c r="O263" s="76">
        <f t="shared" ref="O263:O294" si="48">N263*F263</f>
        <v>16</v>
      </c>
      <c r="P263" s="81" t="s">
        <v>56</v>
      </c>
      <c r="Q263" s="106">
        <f>SUM(O203:O263)</f>
        <v>466.1</v>
      </c>
      <c r="R263" s="106">
        <f>Q263+Q201</f>
        <v>732.1</v>
      </c>
    </row>
    <row r="264" spans="1:18" x14ac:dyDescent="0.25">
      <c r="A264" s="95">
        <v>45535</v>
      </c>
      <c r="B264" s="72"/>
      <c r="C264" s="72"/>
      <c r="D264" s="72"/>
      <c r="E264" s="72"/>
      <c r="F264" s="72"/>
      <c r="G264" s="73" t="e">
        <f t="shared" si="47"/>
        <v>#N/A</v>
      </c>
      <c r="H264" s="73" t="e">
        <f t="shared" si="42"/>
        <v>#N/A</v>
      </c>
      <c r="I264" s="73" t="b">
        <f t="shared" si="46"/>
        <v>0</v>
      </c>
      <c r="J264" s="72"/>
      <c r="K264" s="74"/>
      <c r="M264" s="79"/>
      <c r="N264" s="80" t="e">
        <f t="shared" si="45"/>
        <v>#N/A</v>
      </c>
      <c r="O264" s="76" t="e">
        <f t="shared" si="48"/>
        <v>#N/A</v>
      </c>
      <c r="P264" s="103"/>
    </row>
    <row r="265" spans="1:18" x14ac:dyDescent="0.25">
      <c r="A265" s="95">
        <v>45535</v>
      </c>
      <c r="B265" s="72"/>
      <c r="C265" s="72"/>
      <c r="D265" s="72"/>
      <c r="E265" s="72"/>
      <c r="F265" s="72"/>
      <c r="G265" s="73" t="e">
        <f t="shared" si="47"/>
        <v>#N/A</v>
      </c>
      <c r="H265" s="73" t="e">
        <f t="shared" si="42"/>
        <v>#N/A</v>
      </c>
      <c r="I265" s="73" t="b">
        <f t="shared" si="46"/>
        <v>0</v>
      </c>
      <c r="J265" s="72"/>
      <c r="K265" s="74"/>
      <c r="M265" s="79"/>
      <c r="N265" s="80" t="e">
        <f t="shared" si="45"/>
        <v>#N/A</v>
      </c>
      <c r="O265" s="76" t="e">
        <f t="shared" si="48"/>
        <v>#N/A</v>
      </c>
      <c r="P265" s="103"/>
    </row>
    <row r="266" spans="1:18" x14ac:dyDescent="0.25">
      <c r="A266" s="95">
        <v>45535</v>
      </c>
      <c r="B266" s="72"/>
      <c r="C266" s="72"/>
      <c r="D266" s="72"/>
      <c r="E266" s="72"/>
      <c r="F266" s="72"/>
      <c r="G266" s="73" t="e">
        <f t="shared" si="47"/>
        <v>#N/A</v>
      </c>
      <c r="H266" s="73" t="e">
        <f t="shared" si="42"/>
        <v>#N/A</v>
      </c>
      <c r="I266" s="73" t="b">
        <f t="shared" si="46"/>
        <v>0</v>
      </c>
      <c r="J266" s="72"/>
      <c r="K266" s="74"/>
      <c r="M266" s="79"/>
      <c r="N266" s="80" t="e">
        <f t="shared" si="45"/>
        <v>#N/A</v>
      </c>
      <c r="O266" s="76" t="e">
        <f t="shared" si="48"/>
        <v>#N/A</v>
      </c>
      <c r="P266" s="103"/>
    </row>
    <row r="267" spans="1:18" x14ac:dyDescent="0.25">
      <c r="A267" s="95"/>
      <c r="B267" s="72"/>
      <c r="C267" s="72"/>
      <c r="D267" s="72"/>
      <c r="E267" s="72"/>
      <c r="F267" s="72"/>
      <c r="G267" s="73" t="e">
        <f t="shared" si="47"/>
        <v>#N/A</v>
      </c>
      <c r="H267" s="73" t="e">
        <f t="shared" si="42"/>
        <v>#N/A</v>
      </c>
      <c r="I267" s="73" t="b">
        <f t="shared" si="46"/>
        <v>0</v>
      </c>
      <c r="J267" s="72"/>
      <c r="K267" s="74"/>
      <c r="M267" s="79"/>
      <c r="N267" s="80" t="e">
        <f t="shared" si="45"/>
        <v>#N/A</v>
      </c>
      <c r="O267" s="76" t="e">
        <f t="shared" si="48"/>
        <v>#N/A</v>
      </c>
      <c r="P267" s="103"/>
    </row>
    <row r="268" spans="1:18" x14ac:dyDescent="0.25">
      <c r="A268" s="95"/>
      <c r="B268" s="72"/>
      <c r="C268" s="72"/>
      <c r="D268" s="72"/>
      <c r="E268" s="72"/>
      <c r="F268" s="72"/>
      <c r="G268" s="73" t="e">
        <f t="shared" si="47"/>
        <v>#N/A</v>
      </c>
      <c r="H268" s="73" t="e">
        <f t="shared" si="42"/>
        <v>#N/A</v>
      </c>
      <c r="I268" s="73" t="b">
        <f t="shared" si="46"/>
        <v>0</v>
      </c>
      <c r="J268" s="72"/>
      <c r="K268" s="74"/>
      <c r="M268" s="79"/>
      <c r="N268" s="80" t="e">
        <f t="shared" si="45"/>
        <v>#N/A</v>
      </c>
      <c r="O268" s="76" t="e">
        <f t="shared" si="48"/>
        <v>#N/A</v>
      </c>
      <c r="P268" s="103"/>
    </row>
    <row r="269" spans="1:18" x14ac:dyDescent="0.25">
      <c r="A269" s="95"/>
      <c r="B269" s="72"/>
      <c r="C269" s="72"/>
      <c r="D269" s="72"/>
      <c r="E269" s="72"/>
      <c r="F269" s="72"/>
      <c r="G269" s="73" t="e">
        <f t="shared" si="47"/>
        <v>#N/A</v>
      </c>
      <c r="H269" s="73" t="e">
        <f t="shared" si="42"/>
        <v>#N/A</v>
      </c>
      <c r="I269" s="73" t="b">
        <f t="shared" si="46"/>
        <v>0</v>
      </c>
      <c r="J269" s="72"/>
      <c r="K269" s="74"/>
      <c r="M269" s="79"/>
      <c r="N269" s="80" t="e">
        <f t="shared" si="45"/>
        <v>#N/A</v>
      </c>
      <c r="O269" s="76" t="e">
        <f t="shared" si="48"/>
        <v>#N/A</v>
      </c>
      <c r="P269" s="103"/>
    </row>
    <row r="270" spans="1:18" x14ac:dyDescent="0.25">
      <c r="A270" s="95"/>
      <c r="B270" s="72"/>
      <c r="C270" s="72"/>
      <c r="D270" s="72"/>
      <c r="E270" s="72"/>
      <c r="F270" s="72"/>
      <c r="G270" s="73" t="e">
        <f t="shared" si="47"/>
        <v>#N/A</v>
      </c>
      <c r="H270" s="73" t="e">
        <f t="shared" si="42"/>
        <v>#N/A</v>
      </c>
      <c r="I270" s="73" t="b">
        <f t="shared" si="46"/>
        <v>0</v>
      </c>
      <c r="J270" s="72"/>
      <c r="K270" s="74"/>
      <c r="M270" s="79"/>
      <c r="N270" s="80" t="e">
        <f t="shared" si="45"/>
        <v>#N/A</v>
      </c>
      <c r="O270" s="76" t="e">
        <f t="shared" si="48"/>
        <v>#N/A</v>
      </c>
      <c r="P270" s="103"/>
    </row>
    <row r="271" spans="1:18" x14ac:dyDescent="0.25">
      <c r="A271" s="95"/>
      <c r="B271" s="72"/>
      <c r="C271" s="72"/>
      <c r="D271" s="72"/>
      <c r="E271" s="72"/>
      <c r="F271" s="72"/>
      <c r="G271" s="73" t="e">
        <f t="shared" si="47"/>
        <v>#N/A</v>
      </c>
      <c r="H271" s="73" t="e">
        <f t="shared" si="42"/>
        <v>#N/A</v>
      </c>
      <c r="I271" s="73" t="b">
        <f t="shared" si="46"/>
        <v>0</v>
      </c>
      <c r="J271" s="72"/>
      <c r="K271" s="74"/>
      <c r="M271" s="79"/>
      <c r="N271" s="80" t="e">
        <f t="shared" si="45"/>
        <v>#N/A</v>
      </c>
      <c r="O271" s="76" t="e">
        <f t="shared" si="48"/>
        <v>#N/A</v>
      </c>
      <c r="P271" s="103"/>
    </row>
    <row r="272" spans="1:18" x14ac:dyDescent="0.25">
      <c r="A272" s="95"/>
      <c r="B272" s="72"/>
      <c r="C272" s="72"/>
      <c r="D272" s="72"/>
      <c r="E272" s="72"/>
      <c r="F272" s="72"/>
      <c r="G272" s="73" t="e">
        <f t="shared" si="47"/>
        <v>#N/A</v>
      </c>
      <c r="H272" s="73" t="e">
        <f t="shared" si="42"/>
        <v>#N/A</v>
      </c>
      <c r="I272" s="73" t="b">
        <f t="shared" si="46"/>
        <v>0</v>
      </c>
      <c r="J272" s="72"/>
      <c r="K272" s="74"/>
      <c r="M272" s="79"/>
      <c r="N272" s="80" t="e">
        <f t="shared" si="45"/>
        <v>#N/A</v>
      </c>
      <c r="O272" s="76" t="e">
        <f t="shared" si="48"/>
        <v>#N/A</v>
      </c>
      <c r="P272" s="103"/>
    </row>
    <row r="273" spans="1:16" x14ac:dyDescent="0.25">
      <c r="A273" s="95"/>
      <c r="B273" s="72"/>
      <c r="C273" s="72"/>
      <c r="D273" s="72"/>
      <c r="E273" s="72"/>
      <c r="F273" s="72"/>
      <c r="G273" s="73" t="e">
        <f t="shared" si="47"/>
        <v>#N/A</v>
      </c>
      <c r="H273" s="73" t="e">
        <f t="shared" si="42"/>
        <v>#N/A</v>
      </c>
      <c r="I273" s="73" t="b">
        <f t="shared" si="46"/>
        <v>0</v>
      </c>
      <c r="J273" s="72"/>
      <c r="K273" s="74"/>
      <c r="M273" s="79"/>
      <c r="N273" s="80" t="e">
        <f t="shared" si="45"/>
        <v>#N/A</v>
      </c>
      <c r="O273" s="76" t="e">
        <f t="shared" si="48"/>
        <v>#N/A</v>
      </c>
      <c r="P273" s="103"/>
    </row>
    <row r="274" spans="1:16" x14ac:dyDescent="0.25">
      <c r="A274" s="95"/>
      <c r="B274" s="72"/>
      <c r="C274" s="72"/>
      <c r="D274" s="72"/>
      <c r="E274" s="72"/>
      <c r="F274" s="72"/>
      <c r="G274" s="73" t="e">
        <f t="shared" si="47"/>
        <v>#N/A</v>
      </c>
      <c r="H274" s="73" t="e">
        <f t="shared" si="42"/>
        <v>#N/A</v>
      </c>
      <c r="I274" s="73" t="b">
        <f t="shared" si="46"/>
        <v>0</v>
      </c>
      <c r="J274" s="72"/>
      <c r="K274" s="74"/>
      <c r="M274" s="79"/>
      <c r="N274" s="80" t="e">
        <f t="shared" si="45"/>
        <v>#N/A</v>
      </c>
      <c r="O274" s="76" t="e">
        <f t="shared" si="48"/>
        <v>#N/A</v>
      </c>
      <c r="P274" s="103"/>
    </row>
    <row r="275" spans="1:16" x14ac:dyDescent="0.25">
      <c r="A275" s="95"/>
      <c r="B275" s="72"/>
      <c r="C275" s="72"/>
      <c r="D275" s="72"/>
      <c r="E275" s="72"/>
      <c r="F275" s="72"/>
      <c r="G275" s="73" t="e">
        <f t="shared" si="47"/>
        <v>#N/A</v>
      </c>
      <c r="H275" s="73" t="e">
        <f t="shared" si="42"/>
        <v>#N/A</v>
      </c>
      <c r="I275" s="73" t="b">
        <f t="shared" si="46"/>
        <v>0</v>
      </c>
      <c r="J275" s="72"/>
      <c r="K275" s="74"/>
      <c r="M275" s="79"/>
      <c r="N275" s="80" t="e">
        <f t="shared" si="45"/>
        <v>#N/A</v>
      </c>
      <c r="O275" s="76" t="e">
        <f t="shared" si="48"/>
        <v>#N/A</v>
      </c>
      <c r="P275" s="103"/>
    </row>
    <row r="276" spans="1:16" x14ac:dyDescent="0.25">
      <c r="A276" s="95"/>
      <c r="B276" s="72"/>
      <c r="C276" s="72"/>
      <c r="D276" s="72"/>
      <c r="E276" s="72"/>
      <c r="F276" s="72"/>
      <c r="G276" s="73" t="e">
        <f t="shared" si="47"/>
        <v>#N/A</v>
      </c>
      <c r="H276" s="73" t="e">
        <f t="shared" si="42"/>
        <v>#N/A</v>
      </c>
      <c r="I276" s="73" t="b">
        <f t="shared" si="46"/>
        <v>0</v>
      </c>
      <c r="J276" s="72"/>
      <c r="K276" s="74"/>
      <c r="M276" s="79"/>
      <c r="N276" s="80" t="e">
        <f t="shared" si="45"/>
        <v>#N/A</v>
      </c>
      <c r="O276" s="76" t="e">
        <f t="shared" si="48"/>
        <v>#N/A</v>
      </c>
      <c r="P276" s="103"/>
    </row>
    <row r="277" spans="1:16" x14ac:dyDescent="0.25">
      <c r="A277" s="95"/>
      <c r="B277" s="72"/>
      <c r="C277" s="72"/>
      <c r="D277" s="72"/>
      <c r="E277" s="72"/>
      <c r="F277" s="72"/>
      <c r="G277" s="73" t="e">
        <f t="shared" si="47"/>
        <v>#N/A</v>
      </c>
      <c r="H277" s="73" t="e">
        <f t="shared" si="42"/>
        <v>#N/A</v>
      </c>
      <c r="I277" s="73" t="b">
        <f t="shared" si="46"/>
        <v>0</v>
      </c>
      <c r="J277" s="72"/>
      <c r="K277" s="74"/>
      <c r="M277" s="79"/>
      <c r="N277" s="80" t="e">
        <f t="shared" si="45"/>
        <v>#N/A</v>
      </c>
      <c r="O277" s="76" t="e">
        <f t="shared" si="48"/>
        <v>#N/A</v>
      </c>
      <c r="P277" s="103"/>
    </row>
    <row r="278" spans="1:16" x14ac:dyDescent="0.25">
      <c r="A278" s="95"/>
      <c r="B278" s="72"/>
      <c r="C278" s="72"/>
      <c r="D278" s="72"/>
      <c r="E278" s="72"/>
      <c r="F278" s="72"/>
      <c r="G278" s="73" t="e">
        <f t="shared" si="47"/>
        <v>#N/A</v>
      </c>
      <c r="H278" s="73" t="e">
        <f t="shared" si="42"/>
        <v>#N/A</v>
      </c>
      <c r="I278" s="73" t="b">
        <f t="shared" si="46"/>
        <v>0</v>
      </c>
      <c r="J278" s="72"/>
      <c r="K278" s="74"/>
      <c r="M278" s="79"/>
      <c r="N278" s="80" t="e">
        <f t="shared" si="45"/>
        <v>#N/A</v>
      </c>
      <c r="O278" s="76" t="e">
        <f t="shared" si="48"/>
        <v>#N/A</v>
      </c>
      <c r="P278" s="103"/>
    </row>
    <row r="279" spans="1:16" x14ac:dyDescent="0.25">
      <c r="A279" s="95"/>
      <c r="B279" s="72"/>
      <c r="C279" s="72"/>
      <c r="D279" s="72"/>
      <c r="E279" s="72"/>
      <c r="F279" s="72"/>
      <c r="G279" s="73" t="e">
        <f t="shared" si="47"/>
        <v>#N/A</v>
      </c>
      <c r="H279" s="73" t="e">
        <f t="shared" si="42"/>
        <v>#N/A</v>
      </c>
      <c r="I279" s="73" t="b">
        <f t="shared" si="46"/>
        <v>0</v>
      </c>
      <c r="J279" s="72"/>
      <c r="K279" s="74"/>
      <c r="M279" s="79"/>
      <c r="N279" s="80" t="e">
        <f t="shared" si="45"/>
        <v>#N/A</v>
      </c>
      <c r="O279" s="76" t="e">
        <f t="shared" si="48"/>
        <v>#N/A</v>
      </c>
      <c r="P279" s="103"/>
    </row>
    <row r="280" spans="1:16" x14ac:dyDescent="0.25">
      <c r="A280" s="95"/>
      <c r="B280" s="72"/>
      <c r="C280" s="72"/>
      <c r="D280" s="72"/>
      <c r="E280" s="72"/>
      <c r="F280" s="72"/>
      <c r="G280" s="73" t="e">
        <f t="shared" si="47"/>
        <v>#N/A</v>
      </c>
      <c r="H280" s="73" t="e">
        <f t="shared" si="42"/>
        <v>#N/A</v>
      </c>
      <c r="I280" s="73" t="b">
        <f t="shared" si="46"/>
        <v>0</v>
      </c>
      <c r="J280" s="72"/>
      <c r="K280" s="74"/>
      <c r="M280" s="79"/>
      <c r="N280" s="80" t="e">
        <f t="shared" si="45"/>
        <v>#N/A</v>
      </c>
      <c r="O280" s="76" t="e">
        <f t="shared" si="48"/>
        <v>#N/A</v>
      </c>
      <c r="P280" s="103"/>
    </row>
    <row r="281" spans="1:16" x14ac:dyDescent="0.25">
      <c r="A281" s="95"/>
      <c r="B281" s="72"/>
      <c r="C281" s="72"/>
      <c r="D281" s="72"/>
      <c r="E281" s="72"/>
      <c r="F281" s="72"/>
      <c r="G281" s="73" t="e">
        <f t="shared" si="47"/>
        <v>#N/A</v>
      </c>
      <c r="H281" s="73" t="e">
        <f t="shared" si="42"/>
        <v>#N/A</v>
      </c>
      <c r="I281" s="73" t="b">
        <f t="shared" si="46"/>
        <v>0</v>
      </c>
      <c r="J281" s="72"/>
      <c r="K281" s="74"/>
      <c r="M281" s="79"/>
      <c r="N281" s="80" t="e">
        <f t="shared" ref="N281:N312" si="49">VLOOKUP(M281,$S$3:$U$64,3,0)</f>
        <v>#N/A</v>
      </c>
      <c r="O281" s="76" t="e">
        <f t="shared" si="48"/>
        <v>#N/A</v>
      </c>
      <c r="P281" s="103"/>
    </row>
    <row r="282" spans="1:16" x14ac:dyDescent="0.25">
      <c r="A282" s="95"/>
      <c r="B282" s="72"/>
      <c r="C282" s="72"/>
      <c r="D282" s="72"/>
      <c r="E282" s="72"/>
      <c r="F282" s="72"/>
      <c r="G282" s="73" t="e">
        <f t="shared" si="47"/>
        <v>#N/A</v>
      </c>
      <c r="H282" s="73" t="e">
        <f t="shared" si="42"/>
        <v>#N/A</v>
      </c>
      <c r="I282" s="73" t="b">
        <f t="shared" si="46"/>
        <v>0</v>
      </c>
      <c r="J282" s="72"/>
      <c r="K282" s="74"/>
      <c r="M282" s="79"/>
      <c r="N282" s="80" t="e">
        <f t="shared" si="49"/>
        <v>#N/A</v>
      </c>
      <c r="O282" s="76" t="e">
        <f t="shared" si="48"/>
        <v>#N/A</v>
      </c>
      <c r="P282" s="103"/>
    </row>
    <row r="283" spans="1:16" x14ac:dyDescent="0.25">
      <c r="A283" s="95"/>
      <c r="B283" s="72"/>
      <c r="C283" s="72"/>
      <c r="D283" s="72"/>
      <c r="E283" s="72"/>
      <c r="F283" s="72"/>
      <c r="G283" s="73" t="e">
        <f t="shared" si="47"/>
        <v>#N/A</v>
      </c>
      <c r="H283" s="73" t="e">
        <f t="shared" si="42"/>
        <v>#N/A</v>
      </c>
      <c r="I283" s="73" t="b">
        <f t="shared" si="46"/>
        <v>0</v>
      </c>
      <c r="J283" s="72"/>
      <c r="K283" s="74"/>
      <c r="M283" s="79"/>
      <c r="N283" s="80" t="e">
        <f t="shared" si="49"/>
        <v>#N/A</v>
      </c>
      <c r="O283" s="76" t="e">
        <f t="shared" si="48"/>
        <v>#N/A</v>
      </c>
      <c r="P283" s="103"/>
    </row>
    <row r="284" spans="1:16" x14ac:dyDescent="0.25">
      <c r="A284" s="95"/>
      <c r="B284" s="72"/>
      <c r="C284" s="72"/>
      <c r="D284" s="72"/>
      <c r="E284" s="72"/>
      <c r="F284" s="72"/>
      <c r="G284" s="73" t="e">
        <f t="shared" si="47"/>
        <v>#N/A</v>
      </c>
      <c r="H284" s="73" t="e">
        <f t="shared" si="42"/>
        <v>#N/A</v>
      </c>
      <c r="I284" s="73" t="b">
        <f t="shared" si="46"/>
        <v>0</v>
      </c>
      <c r="J284" s="72"/>
      <c r="K284" s="74"/>
      <c r="M284" s="79"/>
      <c r="N284" s="80" t="e">
        <f t="shared" si="49"/>
        <v>#N/A</v>
      </c>
      <c r="O284" s="76" t="e">
        <f t="shared" si="48"/>
        <v>#N/A</v>
      </c>
      <c r="P284" s="103"/>
    </row>
    <row r="285" spans="1:16" x14ac:dyDescent="0.25">
      <c r="A285" s="95"/>
      <c r="B285" s="72"/>
      <c r="C285" s="72"/>
      <c r="D285" s="72"/>
      <c r="E285" s="72"/>
      <c r="F285" s="72"/>
      <c r="G285" s="73" t="e">
        <f t="shared" si="47"/>
        <v>#N/A</v>
      </c>
      <c r="H285" s="73" t="e">
        <f t="shared" si="42"/>
        <v>#N/A</v>
      </c>
      <c r="I285" s="73" t="b">
        <f t="shared" si="46"/>
        <v>0</v>
      </c>
      <c r="J285" s="72"/>
      <c r="K285" s="74"/>
      <c r="M285" s="79"/>
      <c r="N285" s="80" t="e">
        <f t="shared" si="49"/>
        <v>#N/A</v>
      </c>
      <c r="O285" s="76" t="e">
        <f t="shared" si="48"/>
        <v>#N/A</v>
      </c>
      <c r="P285" s="103"/>
    </row>
    <row r="286" spans="1:16" x14ac:dyDescent="0.25">
      <c r="A286" s="95"/>
      <c r="B286" s="72"/>
      <c r="C286" s="72"/>
      <c r="D286" s="72"/>
      <c r="E286" s="72"/>
      <c r="F286" s="72"/>
      <c r="G286" s="73" t="e">
        <f t="shared" si="47"/>
        <v>#N/A</v>
      </c>
      <c r="H286" s="73" t="e">
        <f t="shared" si="42"/>
        <v>#N/A</v>
      </c>
      <c r="I286" s="73" t="b">
        <f t="shared" si="46"/>
        <v>0</v>
      </c>
      <c r="J286" s="72"/>
      <c r="K286" s="74"/>
      <c r="M286" s="79"/>
      <c r="N286" s="80" t="e">
        <f t="shared" si="49"/>
        <v>#N/A</v>
      </c>
      <c r="O286" s="76" t="e">
        <f t="shared" si="48"/>
        <v>#N/A</v>
      </c>
      <c r="P286" s="103"/>
    </row>
    <row r="287" spans="1:16" x14ac:dyDescent="0.25">
      <c r="A287" s="95"/>
      <c r="B287" s="72"/>
      <c r="C287" s="72"/>
      <c r="D287" s="72"/>
      <c r="E287" s="72"/>
      <c r="F287" s="72"/>
      <c r="G287" s="73" t="e">
        <f t="shared" si="47"/>
        <v>#N/A</v>
      </c>
      <c r="H287" s="73" t="e">
        <f t="shared" si="42"/>
        <v>#N/A</v>
      </c>
      <c r="I287" s="73" t="b">
        <f t="shared" si="46"/>
        <v>0</v>
      </c>
      <c r="J287" s="72"/>
      <c r="K287" s="74"/>
      <c r="M287" s="79"/>
      <c r="N287" s="80" t="e">
        <f t="shared" si="49"/>
        <v>#N/A</v>
      </c>
      <c r="O287" s="76" t="e">
        <f t="shared" si="48"/>
        <v>#N/A</v>
      </c>
      <c r="P287" s="103"/>
    </row>
    <row r="288" spans="1:16" x14ac:dyDescent="0.25">
      <c r="A288" s="95"/>
      <c r="B288" s="72"/>
      <c r="C288" s="72"/>
      <c r="D288" s="72"/>
      <c r="E288" s="72"/>
      <c r="F288" s="72"/>
      <c r="G288" s="73" t="e">
        <f t="shared" si="47"/>
        <v>#N/A</v>
      </c>
      <c r="H288" s="73" t="e">
        <f t="shared" si="42"/>
        <v>#N/A</v>
      </c>
      <c r="I288" s="73" t="b">
        <f t="shared" si="46"/>
        <v>0</v>
      </c>
      <c r="J288" s="72"/>
      <c r="K288" s="74"/>
      <c r="M288" s="79"/>
      <c r="N288" s="80" t="e">
        <f t="shared" si="49"/>
        <v>#N/A</v>
      </c>
      <c r="O288" s="76" t="e">
        <f t="shared" si="48"/>
        <v>#N/A</v>
      </c>
      <c r="P288" s="103"/>
    </row>
    <row r="289" spans="1:16" x14ac:dyDescent="0.25">
      <c r="A289" s="95"/>
      <c r="B289" s="72"/>
      <c r="C289" s="72"/>
      <c r="D289" s="72"/>
      <c r="E289" s="72"/>
      <c r="F289" s="72"/>
      <c r="G289" s="73" t="e">
        <f t="shared" si="47"/>
        <v>#N/A</v>
      </c>
      <c r="H289" s="73" t="e">
        <f t="shared" si="42"/>
        <v>#N/A</v>
      </c>
      <c r="I289" s="73" t="b">
        <f t="shared" si="46"/>
        <v>0</v>
      </c>
      <c r="J289" s="72"/>
      <c r="K289" s="74"/>
      <c r="M289" s="79"/>
      <c r="N289" s="80" t="e">
        <f t="shared" si="49"/>
        <v>#N/A</v>
      </c>
      <c r="O289" s="76" t="e">
        <f t="shared" si="48"/>
        <v>#N/A</v>
      </c>
      <c r="P289" s="103"/>
    </row>
    <row r="290" spans="1:16" x14ac:dyDescent="0.25">
      <c r="A290" s="95"/>
      <c r="B290" s="72"/>
      <c r="C290" s="72"/>
      <c r="D290" s="72"/>
      <c r="E290" s="72"/>
      <c r="F290" s="72"/>
      <c r="G290" s="73" t="e">
        <f t="shared" si="47"/>
        <v>#N/A</v>
      </c>
      <c r="H290" s="73" t="e">
        <f t="shared" ref="H290:H353" si="50">F290*G290</f>
        <v>#N/A</v>
      </c>
      <c r="I290" s="73" t="b">
        <f t="shared" si="46"/>
        <v>0</v>
      </c>
      <c r="J290" s="72"/>
      <c r="K290" s="74"/>
      <c r="M290" s="79"/>
      <c r="N290" s="80" t="e">
        <f t="shared" si="49"/>
        <v>#N/A</v>
      </c>
      <c r="O290" s="76" t="e">
        <f t="shared" si="48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47"/>
        <v>#N/A</v>
      </c>
      <c r="H291" s="73" t="e">
        <f t="shared" si="50"/>
        <v>#N/A</v>
      </c>
      <c r="I291" s="73" t="b">
        <f t="shared" si="46"/>
        <v>0</v>
      </c>
      <c r="J291" s="72"/>
      <c r="K291" s="74"/>
      <c r="M291" s="79"/>
      <c r="N291" s="80" t="e">
        <f t="shared" si="49"/>
        <v>#N/A</v>
      </c>
      <c r="O291" s="76" t="e">
        <f t="shared" si="48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si="47"/>
        <v>#N/A</v>
      </c>
      <c r="H292" s="73" t="e">
        <f t="shared" si="50"/>
        <v>#N/A</v>
      </c>
      <c r="I292" s="73" t="b">
        <f t="shared" si="46"/>
        <v>0</v>
      </c>
      <c r="J292" s="72"/>
      <c r="K292" s="74"/>
      <c r="M292" s="79"/>
      <c r="N292" s="80" t="e">
        <f t="shared" si="49"/>
        <v>#N/A</v>
      </c>
      <c r="O292" s="76" t="e">
        <f t="shared" si="48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si="47"/>
        <v>#N/A</v>
      </c>
      <c r="H293" s="73" t="e">
        <f t="shared" si="50"/>
        <v>#N/A</v>
      </c>
      <c r="I293" s="73" t="b">
        <f t="shared" si="46"/>
        <v>0</v>
      </c>
      <c r="J293" s="72"/>
      <c r="K293" s="74"/>
      <c r="M293" s="79"/>
      <c r="N293" s="80" t="e">
        <f t="shared" si="49"/>
        <v>#N/A</v>
      </c>
      <c r="O293" s="76" t="e">
        <f t="shared" si="48"/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47"/>
        <v>#N/A</v>
      </c>
      <c r="H294" s="73" t="e">
        <f t="shared" si="50"/>
        <v>#N/A</v>
      </c>
      <c r="I294" s="73" t="b">
        <f t="shared" si="46"/>
        <v>0</v>
      </c>
      <c r="J294" s="72"/>
      <c r="K294" s="74"/>
      <c r="M294" s="79"/>
      <c r="N294" s="80" t="e">
        <f t="shared" si="49"/>
        <v>#N/A</v>
      </c>
      <c r="O294" s="76" t="e">
        <f t="shared" si="48"/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ref="G295:G326" si="51">VLOOKUP(D295,$S$3:$T$64,2,0)</f>
        <v>#N/A</v>
      </c>
      <c r="H295" s="73" t="e">
        <f t="shared" si="50"/>
        <v>#N/A</v>
      </c>
      <c r="I295" s="73" t="b">
        <f t="shared" si="46"/>
        <v>0</v>
      </c>
      <c r="J295" s="72"/>
      <c r="K295" s="74"/>
      <c r="M295" s="79"/>
      <c r="N295" s="80" t="e">
        <f t="shared" si="49"/>
        <v>#N/A</v>
      </c>
      <c r="O295" s="76" t="e">
        <f t="shared" ref="O295:O326" si="52">N295*F295</f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51"/>
        <v>#N/A</v>
      </c>
      <c r="H296" s="73" t="e">
        <f t="shared" si="50"/>
        <v>#N/A</v>
      </c>
      <c r="I296" s="73" t="b">
        <f t="shared" si="46"/>
        <v>0</v>
      </c>
      <c r="J296" s="72"/>
      <c r="K296" s="74"/>
      <c r="M296" s="79"/>
      <c r="N296" s="80" t="e">
        <f t="shared" si="49"/>
        <v>#N/A</v>
      </c>
      <c r="O296" s="76" t="e">
        <f t="shared" si="52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51"/>
        <v>#N/A</v>
      </c>
      <c r="H297" s="73" t="e">
        <f t="shared" si="50"/>
        <v>#N/A</v>
      </c>
      <c r="I297" s="73" t="b">
        <f t="shared" si="46"/>
        <v>0</v>
      </c>
      <c r="J297" s="72"/>
      <c r="K297" s="74"/>
      <c r="M297" s="79"/>
      <c r="N297" s="80" t="e">
        <f t="shared" si="49"/>
        <v>#N/A</v>
      </c>
      <c r="O297" s="76" t="e">
        <f t="shared" si="52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51"/>
        <v>#N/A</v>
      </c>
      <c r="H298" s="73" t="e">
        <f t="shared" si="50"/>
        <v>#N/A</v>
      </c>
      <c r="I298" s="73" t="b">
        <f t="shared" si="46"/>
        <v>0</v>
      </c>
      <c r="J298" s="72"/>
      <c r="K298" s="74"/>
      <c r="M298" s="79"/>
      <c r="N298" s="80" t="e">
        <f t="shared" si="49"/>
        <v>#N/A</v>
      </c>
      <c r="O298" s="76" t="e">
        <f t="shared" si="52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si="51"/>
        <v>#N/A</v>
      </c>
      <c r="H299" s="73" t="e">
        <f t="shared" si="50"/>
        <v>#N/A</v>
      </c>
      <c r="I299" s="73" t="b">
        <f t="shared" si="46"/>
        <v>0</v>
      </c>
      <c r="J299" s="72"/>
      <c r="K299" s="74"/>
      <c r="M299" s="79"/>
      <c r="N299" s="80" t="e">
        <f t="shared" si="49"/>
        <v>#N/A</v>
      </c>
      <c r="O299" s="76" t="e">
        <f t="shared" si="52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51"/>
        <v>#N/A</v>
      </c>
      <c r="H300" s="73" t="e">
        <f t="shared" si="50"/>
        <v>#N/A</v>
      </c>
      <c r="I300" s="73" t="b">
        <f t="shared" si="46"/>
        <v>0</v>
      </c>
      <c r="J300" s="72"/>
      <c r="K300" s="74"/>
      <c r="M300" s="79"/>
      <c r="N300" s="80" t="e">
        <f t="shared" si="49"/>
        <v>#N/A</v>
      </c>
      <c r="O300" s="76" t="e">
        <f t="shared" si="52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51"/>
        <v>#N/A</v>
      </c>
      <c r="H301" s="73" t="e">
        <f t="shared" si="50"/>
        <v>#N/A</v>
      </c>
      <c r="I301" s="73" t="b">
        <f t="shared" si="46"/>
        <v>0</v>
      </c>
      <c r="J301" s="72"/>
      <c r="K301" s="74"/>
      <c r="M301" s="79"/>
      <c r="N301" s="80" t="e">
        <f t="shared" si="49"/>
        <v>#N/A</v>
      </c>
      <c r="O301" s="76" t="e">
        <f t="shared" si="52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si="51"/>
        <v>#N/A</v>
      </c>
      <c r="H302" s="73" t="e">
        <f t="shared" si="50"/>
        <v>#N/A</v>
      </c>
      <c r="I302" s="73" t="b">
        <f t="shared" si="46"/>
        <v>0</v>
      </c>
      <c r="J302" s="72"/>
      <c r="K302" s="74"/>
      <c r="M302" s="79"/>
      <c r="N302" s="80" t="e">
        <f t="shared" si="49"/>
        <v>#N/A</v>
      </c>
      <c r="O302" s="76" t="e">
        <f t="shared" si="52"/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51"/>
        <v>#N/A</v>
      </c>
      <c r="H303" s="73" t="e">
        <f t="shared" si="50"/>
        <v>#N/A</v>
      </c>
      <c r="I303" s="73" t="b">
        <f t="shared" si="46"/>
        <v>0</v>
      </c>
      <c r="J303" s="72"/>
      <c r="K303" s="74"/>
      <c r="M303" s="79"/>
      <c r="N303" s="80" t="e">
        <f t="shared" si="49"/>
        <v>#N/A</v>
      </c>
      <c r="O303" s="76" t="e">
        <f t="shared" si="52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51"/>
        <v>#N/A</v>
      </c>
      <c r="H304" s="73" t="e">
        <f t="shared" si="50"/>
        <v>#N/A</v>
      </c>
      <c r="I304" s="73" t="b">
        <f t="shared" si="46"/>
        <v>0</v>
      </c>
      <c r="J304" s="72"/>
      <c r="K304" s="74"/>
      <c r="M304" s="79"/>
      <c r="N304" s="80" t="e">
        <f t="shared" si="49"/>
        <v>#N/A</v>
      </c>
      <c r="O304" s="76" t="e">
        <f t="shared" si="52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51"/>
        <v>#N/A</v>
      </c>
      <c r="H305" s="73" t="e">
        <f t="shared" si="50"/>
        <v>#N/A</v>
      </c>
      <c r="I305" s="73" t="b">
        <f t="shared" si="46"/>
        <v>0</v>
      </c>
      <c r="J305" s="72"/>
      <c r="K305" s="74"/>
      <c r="M305" s="79"/>
      <c r="N305" s="80" t="e">
        <f t="shared" si="49"/>
        <v>#N/A</v>
      </c>
      <c r="O305" s="80" t="e">
        <f t="shared" si="52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51"/>
        <v>#N/A</v>
      </c>
      <c r="H306" s="73" t="e">
        <f t="shared" si="50"/>
        <v>#N/A</v>
      </c>
      <c r="I306" s="73" t="b">
        <f t="shared" si="46"/>
        <v>0</v>
      </c>
      <c r="J306" s="72"/>
      <c r="K306" s="74"/>
      <c r="M306" s="79"/>
      <c r="N306" s="80" t="e">
        <f t="shared" si="49"/>
        <v>#N/A</v>
      </c>
      <c r="O306" s="80" t="e">
        <f t="shared" si="52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51"/>
        <v>#N/A</v>
      </c>
      <c r="H307" s="73" t="e">
        <f t="shared" si="50"/>
        <v>#N/A</v>
      </c>
      <c r="I307" s="73" t="b">
        <f t="shared" si="46"/>
        <v>0</v>
      </c>
      <c r="J307" s="72"/>
      <c r="K307" s="74"/>
      <c r="M307" s="79"/>
      <c r="N307" s="80" t="e">
        <f t="shared" si="49"/>
        <v>#N/A</v>
      </c>
      <c r="O307" s="80" t="e">
        <f t="shared" si="52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51"/>
        <v>#N/A</v>
      </c>
      <c r="H308" s="73" t="e">
        <f t="shared" si="50"/>
        <v>#N/A</v>
      </c>
      <c r="I308" s="73" t="b">
        <f t="shared" si="46"/>
        <v>0</v>
      </c>
      <c r="J308" s="72"/>
      <c r="K308" s="74"/>
      <c r="M308" s="79"/>
      <c r="N308" s="80" t="e">
        <f t="shared" si="49"/>
        <v>#N/A</v>
      </c>
      <c r="O308" s="80" t="e">
        <f t="shared" si="52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51"/>
        <v>#N/A</v>
      </c>
      <c r="H309" s="73" t="e">
        <f t="shared" si="50"/>
        <v>#N/A</v>
      </c>
      <c r="I309" s="73" t="b">
        <f t="shared" si="46"/>
        <v>0</v>
      </c>
      <c r="J309" s="72"/>
      <c r="K309" s="74"/>
      <c r="M309" s="79"/>
      <c r="N309" s="80" t="e">
        <f t="shared" si="49"/>
        <v>#N/A</v>
      </c>
      <c r="O309" s="80" t="e">
        <f t="shared" si="52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51"/>
        <v>#N/A</v>
      </c>
      <c r="H310" s="73" t="e">
        <f t="shared" si="50"/>
        <v>#N/A</v>
      </c>
      <c r="I310" s="73" t="b">
        <f t="shared" si="46"/>
        <v>0</v>
      </c>
      <c r="J310" s="72"/>
      <c r="K310" s="74"/>
      <c r="M310" s="79"/>
      <c r="N310" s="80" t="e">
        <f t="shared" si="49"/>
        <v>#N/A</v>
      </c>
      <c r="O310" s="80" t="e">
        <f t="shared" si="52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51"/>
        <v>#N/A</v>
      </c>
      <c r="H311" s="73" t="e">
        <f t="shared" si="50"/>
        <v>#N/A</v>
      </c>
      <c r="I311" s="73" t="b">
        <f t="shared" si="46"/>
        <v>0</v>
      </c>
      <c r="J311" s="72"/>
      <c r="K311" s="74"/>
      <c r="M311" s="79"/>
      <c r="N311" s="80" t="e">
        <f t="shared" si="49"/>
        <v>#N/A</v>
      </c>
      <c r="O311" s="80" t="e">
        <f t="shared" si="52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51"/>
        <v>#N/A</v>
      </c>
      <c r="H312" s="73" t="e">
        <f t="shared" si="50"/>
        <v>#N/A</v>
      </c>
      <c r="I312" s="73" t="b">
        <f t="shared" si="46"/>
        <v>0</v>
      </c>
      <c r="J312" s="72"/>
      <c r="K312" s="74"/>
      <c r="M312" s="79"/>
      <c r="N312" s="80" t="e">
        <f t="shared" si="49"/>
        <v>#N/A</v>
      </c>
      <c r="O312" s="80" t="e">
        <f t="shared" si="52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51"/>
        <v>#N/A</v>
      </c>
      <c r="H313" s="73" t="e">
        <f t="shared" si="50"/>
        <v>#N/A</v>
      </c>
      <c r="I313" s="73" t="b">
        <f t="shared" si="46"/>
        <v>0</v>
      </c>
      <c r="J313" s="72"/>
      <c r="K313" s="74"/>
      <c r="M313" s="79"/>
      <c r="N313" s="80" t="e">
        <f t="shared" ref="N313:N344" si="53">VLOOKUP(M313,$S$3:$U$64,3,0)</f>
        <v>#N/A</v>
      </c>
      <c r="O313" s="80" t="e">
        <f t="shared" si="52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51"/>
        <v>#N/A</v>
      </c>
      <c r="H314" s="73" t="e">
        <f t="shared" si="50"/>
        <v>#N/A</v>
      </c>
      <c r="I314" s="73" t="b">
        <f t="shared" si="46"/>
        <v>0</v>
      </c>
      <c r="J314" s="72"/>
      <c r="K314" s="74"/>
      <c r="M314" s="79"/>
      <c r="N314" s="80" t="e">
        <f t="shared" si="53"/>
        <v>#N/A</v>
      </c>
      <c r="O314" s="80" t="e">
        <f t="shared" si="52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51"/>
        <v>#N/A</v>
      </c>
      <c r="H315" s="73" t="e">
        <f t="shared" si="50"/>
        <v>#N/A</v>
      </c>
      <c r="I315" s="73" t="b">
        <f t="shared" si="46"/>
        <v>0</v>
      </c>
      <c r="J315" s="72"/>
      <c r="K315" s="74"/>
      <c r="M315" s="79"/>
      <c r="N315" s="80" t="e">
        <f t="shared" si="53"/>
        <v>#N/A</v>
      </c>
      <c r="O315" s="80" t="e">
        <f t="shared" si="52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51"/>
        <v>#N/A</v>
      </c>
      <c r="H316" s="73" t="e">
        <f t="shared" si="50"/>
        <v>#N/A</v>
      </c>
      <c r="I316" s="73" t="b">
        <f t="shared" si="46"/>
        <v>0</v>
      </c>
      <c r="J316" s="72"/>
      <c r="K316" s="74"/>
      <c r="M316" s="79"/>
      <c r="N316" s="80" t="e">
        <f t="shared" si="53"/>
        <v>#N/A</v>
      </c>
      <c r="O316" s="80" t="e">
        <f t="shared" si="52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51"/>
        <v>#N/A</v>
      </c>
      <c r="H317" s="73" t="e">
        <f t="shared" si="50"/>
        <v>#N/A</v>
      </c>
      <c r="I317" s="73" t="b">
        <f t="shared" si="46"/>
        <v>0</v>
      </c>
      <c r="J317" s="72"/>
      <c r="K317" s="74"/>
      <c r="M317" s="79"/>
      <c r="N317" s="80" t="e">
        <f t="shared" si="53"/>
        <v>#N/A</v>
      </c>
      <c r="O317" s="80" t="e">
        <f t="shared" si="52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51"/>
        <v>#N/A</v>
      </c>
      <c r="H318" s="73" t="e">
        <f t="shared" si="50"/>
        <v>#N/A</v>
      </c>
      <c r="I318" s="73" t="b">
        <f t="shared" si="46"/>
        <v>0</v>
      </c>
      <c r="J318" s="72"/>
      <c r="K318" s="74"/>
      <c r="M318" s="79"/>
      <c r="N318" s="80" t="e">
        <f t="shared" si="53"/>
        <v>#N/A</v>
      </c>
      <c r="O318" s="80" t="e">
        <f t="shared" si="52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51"/>
        <v>#N/A</v>
      </c>
      <c r="H319" s="73" t="e">
        <f t="shared" si="50"/>
        <v>#N/A</v>
      </c>
      <c r="I319" s="73" t="b">
        <f t="shared" si="46"/>
        <v>0</v>
      </c>
      <c r="J319" s="72"/>
      <c r="K319" s="74"/>
      <c r="M319" s="79"/>
      <c r="N319" s="80" t="e">
        <f t="shared" si="53"/>
        <v>#N/A</v>
      </c>
      <c r="O319" s="80" t="e">
        <f t="shared" si="52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51"/>
        <v>#N/A</v>
      </c>
      <c r="H320" s="73" t="e">
        <f t="shared" si="50"/>
        <v>#N/A</v>
      </c>
      <c r="I320" s="73" t="b">
        <f t="shared" si="46"/>
        <v>0</v>
      </c>
      <c r="J320" s="72"/>
      <c r="K320" s="74"/>
      <c r="M320" s="79"/>
      <c r="N320" s="80" t="e">
        <f t="shared" si="53"/>
        <v>#N/A</v>
      </c>
      <c r="O320" s="80" t="e">
        <f t="shared" si="52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51"/>
        <v>#N/A</v>
      </c>
      <c r="H321" s="73" t="e">
        <f t="shared" si="50"/>
        <v>#N/A</v>
      </c>
      <c r="I321" s="73" t="b">
        <f t="shared" si="46"/>
        <v>0</v>
      </c>
      <c r="J321" s="72"/>
      <c r="K321" s="74"/>
      <c r="M321" s="79"/>
      <c r="N321" s="80" t="e">
        <f t="shared" si="53"/>
        <v>#N/A</v>
      </c>
      <c r="O321" s="80" t="e">
        <f t="shared" si="52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51"/>
        <v>#N/A</v>
      </c>
      <c r="H322" s="73" t="e">
        <f t="shared" si="50"/>
        <v>#N/A</v>
      </c>
      <c r="I322" s="73" t="b">
        <f t="shared" si="46"/>
        <v>0</v>
      </c>
      <c r="J322" s="72"/>
      <c r="K322" s="74"/>
      <c r="M322" s="79"/>
      <c r="N322" s="80" t="e">
        <f t="shared" si="53"/>
        <v>#N/A</v>
      </c>
      <c r="O322" s="80" t="e">
        <f t="shared" si="52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51"/>
        <v>#N/A</v>
      </c>
      <c r="H323" s="73" t="e">
        <f t="shared" si="50"/>
        <v>#N/A</v>
      </c>
      <c r="I323" s="73" t="b">
        <f t="shared" ref="I323:I373" si="54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79"/>
      <c r="N323" s="80" t="e">
        <f t="shared" si="53"/>
        <v>#N/A</v>
      </c>
      <c r="O323" s="80" t="e">
        <f t="shared" si="52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51"/>
        <v>#N/A</v>
      </c>
      <c r="H324" s="73" t="e">
        <f t="shared" si="50"/>
        <v>#N/A</v>
      </c>
      <c r="I324" s="73" t="b">
        <f t="shared" si="54"/>
        <v>0</v>
      </c>
      <c r="J324" s="72"/>
      <c r="K324" s="74"/>
      <c r="M324" s="79"/>
      <c r="N324" s="80" t="e">
        <f t="shared" si="53"/>
        <v>#N/A</v>
      </c>
      <c r="O324" s="80" t="e">
        <f t="shared" si="52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51"/>
        <v>#N/A</v>
      </c>
      <c r="H325" s="73" t="e">
        <f t="shared" si="50"/>
        <v>#N/A</v>
      </c>
      <c r="I325" s="73" t="b">
        <f t="shared" si="54"/>
        <v>0</v>
      </c>
      <c r="J325" s="72"/>
      <c r="K325" s="74"/>
      <c r="M325" s="79"/>
      <c r="N325" s="80" t="e">
        <f t="shared" si="53"/>
        <v>#N/A</v>
      </c>
      <c r="O325" s="80" t="e">
        <f t="shared" si="52"/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51"/>
        <v>#N/A</v>
      </c>
      <c r="H326" s="73" t="e">
        <f t="shared" si="50"/>
        <v>#N/A</v>
      </c>
      <c r="I326" s="73" t="b">
        <f t="shared" si="54"/>
        <v>0</v>
      </c>
      <c r="J326" s="72"/>
      <c r="K326" s="74"/>
      <c r="M326" s="79"/>
      <c r="N326" s="80" t="e">
        <f t="shared" si="53"/>
        <v>#N/A</v>
      </c>
      <c r="O326" s="80" t="e">
        <f t="shared" si="52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ref="G327:G358" si="55">VLOOKUP(D327,$S$3:$T$64,2,0)</f>
        <v>#N/A</v>
      </c>
      <c r="H327" s="73" t="e">
        <f t="shared" si="50"/>
        <v>#N/A</v>
      </c>
      <c r="I327" s="73" t="b">
        <f t="shared" si="54"/>
        <v>0</v>
      </c>
      <c r="J327" s="72"/>
      <c r="K327" s="74"/>
      <c r="M327" s="79"/>
      <c r="N327" s="80" t="e">
        <f t="shared" si="53"/>
        <v>#N/A</v>
      </c>
      <c r="O327" s="80" t="e">
        <f t="shared" ref="O327:O358" si="56">N327*F327</f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55"/>
        <v>#N/A</v>
      </c>
      <c r="H328" s="73" t="e">
        <f t="shared" si="50"/>
        <v>#N/A</v>
      </c>
      <c r="I328" s="73" t="b">
        <f t="shared" si="54"/>
        <v>0</v>
      </c>
      <c r="J328" s="72"/>
      <c r="K328" s="74"/>
      <c r="M328" s="79"/>
      <c r="N328" s="80" t="e">
        <f t="shared" si="53"/>
        <v>#N/A</v>
      </c>
      <c r="O328" s="80" t="e">
        <f t="shared" si="56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55"/>
        <v>#N/A</v>
      </c>
      <c r="H329" s="73" t="e">
        <f t="shared" si="50"/>
        <v>#N/A</v>
      </c>
      <c r="I329" s="73" t="b">
        <f t="shared" si="54"/>
        <v>0</v>
      </c>
      <c r="J329" s="72"/>
      <c r="K329" s="74"/>
      <c r="M329" s="79"/>
      <c r="N329" s="80" t="e">
        <f t="shared" si="53"/>
        <v>#N/A</v>
      </c>
      <c r="O329" s="80" t="e">
        <f t="shared" si="56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55"/>
        <v>#N/A</v>
      </c>
      <c r="H330" s="73" t="e">
        <f t="shared" si="50"/>
        <v>#N/A</v>
      </c>
      <c r="I330" s="73" t="b">
        <f t="shared" si="54"/>
        <v>0</v>
      </c>
      <c r="J330" s="72"/>
      <c r="K330" s="74"/>
      <c r="M330" s="79"/>
      <c r="N330" s="80" t="e">
        <f t="shared" si="53"/>
        <v>#N/A</v>
      </c>
      <c r="O330" s="80" t="e">
        <f t="shared" si="56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55"/>
        <v>#N/A</v>
      </c>
      <c r="H331" s="73" t="e">
        <f t="shared" si="50"/>
        <v>#N/A</v>
      </c>
      <c r="I331" s="73" t="b">
        <f t="shared" si="54"/>
        <v>0</v>
      </c>
      <c r="J331" s="72"/>
      <c r="K331" s="74"/>
      <c r="M331" s="79"/>
      <c r="N331" s="80" t="e">
        <f t="shared" si="53"/>
        <v>#N/A</v>
      </c>
      <c r="O331" s="80" t="e">
        <f t="shared" si="56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55"/>
        <v>#N/A</v>
      </c>
      <c r="H332" s="73" t="e">
        <f t="shared" si="50"/>
        <v>#N/A</v>
      </c>
      <c r="I332" s="73" t="b">
        <f t="shared" si="54"/>
        <v>0</v>
      </c>
      <c r="J332" s="72"/>
      <c r="K332" s="74"/>
      <c r="M332" s="79"/>
      <c r="N332" s="80" t="e">
        <f t="shared" si="53"/>
        <v>#N/A</v>
      </c>
      <c r="O332" s="80" t="e">
        <f t="shared" si="56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55"/>
        <v>#N/A</v>
      </c>
      <c r="H333" s="73" t="e">
        <f t="shared" si="50"/>
        <v>#N/A</v>
      </c>
      <c r="I333" s="73" t="b">
        <f t="shared" si="54"/>
        <v>0</v>
      </c>
      <c r="J333" s="72"/>
      <c r="K333" s="74"/>
      <c r="M333" s="79"/>
      <c r="N333" s="80" t="e">
        <f t="shared" si="53"/>
        <v>#N/A</v>
      </c>
      <c r="O333" s="80" t="e">
        <f t="shared" si="56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55"/>
        <v>#N/A</v>
      </c>
      <c r="H334" s="73" t="e">
        <f t="shared" si="50"/>
        <v>#N/A</v>
      </c>
      <c r="I334" s="73" t="b">
        <f t="shared" si="54"/>
        <v>0</v>
      </c>
      <c r="J334" s="72"/>
      <c r="K334" s="74"/>
      <c r="M334" s="79"/>
      <c r="N334" s="80" t="e">
        <f t="shared" si="53"/>
        <v>#N/A</v>
      </c>
      <c r="O334" s="80" t="e">
        <f t="shared" si="56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55"/>
        <v>#N/A</v>
      </c>
      <c r="H335" s="73" t="e">
        <f t="shared" si="50"/>
        <v>#N/A</v>
      </c>
      <c r="I335" s="73" t="b">
        <f t="shared" si="54"/>
        <v>0</v>
      </c>
      <c r="J335" s="72"/>
      <c r="K335" s="74"/>
      <c r="M335" s="79"/>
      <c r="N335" s="80" t="e">
        <f t="shared" si="53"/>
        <v>#N/A</v>
      </c>
      <c r="O335" s="80" t="e">
        <f t="shared" si="56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55"/>
        <v>#N/A</v>
      </c>
      <c r="H336" s="73" t="e">
        <f t="shared" si="50"/>
        <v>#N/A</v>
      </c>
      <c r="I336" s="73" t="b">
        <f t="shared" si="54"/>
        <v>0</v>
      </c>
      <c r="J336" s="72"/>
      <c r="K336" s="74"/>
      <c r="M336" s="79"/>
      <c r="N336" s="80" t="e">
        <f t="shared" si="53"/>
        <v>#N/A</v>
      </c>
      <c r="O336" s="80" t="e">
        <f t="shared" si="56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55"/>
        <v>#N/A</v>
      </c>
      <c r="H337" s="73" t="e">
        <f t="shared" si="50"/>
        <v>#N/A</v>
      </c>
      <c r="I337" s="73" t="b">
        <f t="shared" si="54"/>
        <v>0</v>
      </c>
      <c r="J337" s="72"/>
      <c r="K337" s="74"/>
      <c r="M337" s="79"/>
      <c r="N337" s="80" t="e">
        <f t="shared" si="53"/>
        <v>#N/A</v>
      </c>
      <c r="O337" s="80" t="e">
        <f t="shared" si="56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55"/>
        <v>#N/A</v>
      </c>
      <c r="H338" s="73" t="e">
        <f t="shared" si="50"/>
        <v>#N/A</v>
      </c>
      <c r="I338" s="73" t="b">
        <f t="shared" si="54"/>
        <v>0</v>
      </c>
      <c r="J338" s="72"/>
      <c r="K338" s="74"/>
      <c r="M338" s="79"/>
      <c r="N338" s="80" t="e">
        <f t="shared" si="53"/>
        <v>#N/A</v>
      </c>
      <c r="O338" s="80" t="e">
        <f t="shared" si="56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55"/>
        <v>#N/A</v>
      </c>
      <c r="H339" s="73" t="e">
        <f t="shared" si="50"/>
        <v>#N/A</v>
      </c>
      <c r="I339" s="73" t="b">
        <f t="shared" si="54"/>
        <v>0</v>
      </c>
      <c r="J339" s="72"/>
      <c r="K339" s="74"/>
      <c r="M339" s="79"/>
      <c r="N339" s="80" t="e">
        <f t="shared" si="53"/>
        <v>#N/A</v>
      </c>
      <c r="O339" s="80" t="e">
        <f t="shared" si="56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55"/>
        <v>#N/A</v>
      </c>
      <c r="H340" s="73" t="e">
        <f t="shared" si="50"/>
        <v>#N/A</v>
      </c>
      <c r="I340" s="73" t="b">
        <f t="shared" si="54"/>
        <v>0</v>
      </c>
      <c r="J340" s="72"/>
      <c r="K340" s="74"/>
      <c r="M340" s="79"/>
      <c r="N340" s="80" t="e">
        <f t="shared" si="53"/>
        <v>#N/A</v>
      </c>
      <c r="O340" s="80" t="e">
        <f t="shared" si="56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55"/>
        <v>#N/A</v>
      </c>
      <c r="H341" s="73" t="e">
        <f t="shared" si="50"/>
        <v>#N/A</v>
      </c>
      <c r="I341" s="73" t="b">
        <f t="shared" si="54"/>
        <v>0</v>
      </c>
      <c r="J341" s="72"/>
      <c r="K341" s="74"/>
      <c r="M341" s="79"/>
      <c r="N341" s="80" t="e">
        <f t="shared" si="53"/>
        <v>#N/A</v>
      </c>
      <c r="O341" s="80" t="e">
        <f t="shared" si="56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55"/>
        <v>#N/A</v>
      </c>
      <c r="H342" s="73" t="e">
        <f t="shared" si="50"/>
        <v>#N/A</v>
      </c>
      <c r="I342" s="73" t="b">
        <f t="shared" si="54"/>
        <v>0</v>
      </c>
      <c r="J342" s="72"/>
      <c r="K342" s="74"/>
      <c r="M342" s="79"/>
      <c r="N342" s="80" t="e">
        <f t="shared" si="53"/>
        <v>#N/A</v>
      </c>
      <c r="O342" s="80" t="e">
        <f t="shared" si="56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55"/>
        <v>#N/A</v>
      </c>
      <c r="H343" s="73" t="e">
        <f t="shared" si="50"/>
        <v>#N/A</v>
      </c>
      <c r="I343" s="73" t="b">
        <f t="shared" si="54"/>
        <v>0</v>
      </c>
      <c r="J343" s="72"/>
      <c r="K343" s="74"/>
      <c r="M343" s="79"/>
      <c r="N343" s="80" t="e">
        <f t="shared" si="53"/>
        <v>#N/A</v>
      </c>
      <c r="O343" s="80" t="e">
        <f t="shared" si="56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55"/>
        <v>#N/A</v>
      </c>
      <c r="H344" s="73" t="e">
        <f t="shared" si="50"/>
        <v>#N/A</v>
      </c>
      <c r="I344" s="73" t="b">
        <f t="shared" si="54"/>
        <v>0</v>
      </c>
      <c r="J344" s="72"/>
      <c r="K344" s="74"/>
      <c r="M344" s="79"/>
      <c r="N344" s="80" t="e">
        <f t="shared" si="53"/>
        <v>#N/A</v>
      </c>
      <c r="O344" s="80" t="e">
        <f t="shared" si="56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55"/>
        <v>#N/A</v>
      </c>
      <c r="H345" s="73" t="e">
        <f t="shared" si="50"/>
        <v>#N/A</v>
      </c>
      <c r="I345" s="73" t="b">
        <f t="shared" si="54"/>
        <v>0</v>
      </c>
      <c r="J345" s="72"/>
      <c r="K345" s="74"/>
      <c r="M345" s="79"/>
      <c r="N345" s="80" t="e">
        <f t="shared" ref="N345:N373" si="57">VLOOKUP(M345,$S$3:$U$64,3,0)</f>
        <v>#N/A</v>
      </c>
      <c r="O345" s="80" t="e">
        <f t="shared" si="56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55"/>
        <v>#N/A</v>
      </c>
      <c r="H346" s="73" t="e">
        <f t="shared" si="50"/>
        <v>#N/A</v>
      </c>
      <c r="I346" s="73" t="b">
        <f t="shared" si="54"/>
        <v>0</v>
      </c>
      <c r="J346" s="72"/>
      <c r="K346" s="74"/>
      <c r="M346" s="79"/>
      <c r="N346" s="80" t="e">
        <f t="shared" si="57"/>
        <v>#N/A</v>
      </c>
      <c r="O346" s="80" t="e">
        <f t="shared" si="56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55"/>
        <v>#N/A</v>
      </c>
      <c r="H347" s="73" t="e">
        <f t="shared" si="50"/>
        <v>#N/A</v>
      </c>
      <c r="I347" s="73" t="b">
        <f t="shared" si="54"/>
        <v>0</v>
      </c>
      <c r="J347" s="72"/>
      <c r="K347" s="74"/>
      <c r="M347" s="79"/>
      <c r="N347" s="80" t="e">
        <f t="shared" si="57"/>
        <v>#N/A</v>
      </c>
      <c r="O347" s="80" t="e">
        <f t="shared" si="56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55"/>
        <v>#N/A</v>
      </c>
      <c r="H348" s="73" t="e">
        <f t="shared" si="50"/>
        <v>#N/A</v>
      </c>
      <c r="I348" s="73" t="b">
        <f t="shared" si="54"/>
        <v>0</v>
      </c>
      <c r="J348" s="72"/>
      <c r="K348" s="74"/>
      <c r="M348" s="79"/>
      <c r="N348" s="80" t="e">
        <f t="shared" si="57"/>
        <v>#N/A</v>
      </c>
      <c r="O348" s="80" t="e">
        <f t="shared" si="56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55"/>
        <v>#N/A</v>
      </c>
      <c r="H349" s="73" t="e">
        <f t="shared" si="50"/>
        <v>#N/A</v>
      </c>
      <c r="I349" s="73" t="b">
        <f t="shared" si="54"/>
        <v>0</v>
      </c>
      <c r="J349" s="72"/>
      <c r="K349" s="74"/>
      <c r="M349" s="79"/>
      <c r="N349" s="80" t="e">
        <f t="shared" si="57"/>
        <v>#N/A</v>
      </c>
      <c r="O349" s="80" t="e">
        <f t="shared" si="56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55"/>
        <v>#N/A</v>
      </c>
      <c r="H350" s="73" t="e">
        <f t="shared" si="50"/>
        <v>#N/A</v>
      </c>
      <c r="I350" s="73" t="b">
        <f t="shared" si="54"/>
        <v>0</v>
      </c>
      <c r="J350" s="72"/>
      <c r="K350" s="74"/>
      <c r="M350" s="79"/>
      <c r="N350" s="80" t="e">
        <f t="shared" si="57"/>
        <v>#N/A</v>
      </c>
      <c r="O350" s="80" t="e">
        <f t="shared" si="56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55"/>
        <v>#N/A</v>
      </c>
      <c r="H351" s="73" t="e">
        <f t="shared" si="50"/>
        <v>#N/A</v>
      </c>
      <c r="I351" s="73" t="b">
        <f t="shared" si="54"/>
        <v>0</v>
      </c>
      <c r="J351" s="72"/>
      <c r="K351" s="74"/>
      <c r="M351" s="79"/>
      <c r="N351" s="80" t="e">
        <f t="shared" si="57"/>
        <v>#N/A</v>
      </c>
      <c r="O351" s="80" t="e">
        <f t="shared" si="56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55"/>
        <v>#N/A</v>
      </c>
      <c r="H352" s="73" t="e">
        <f t="shared" si="50"/>
        <v>#N/A</v>
      </c>
      <c r="I352" s="73" t="b">
        <f t="shared" si="54"/>
        <v>0</v>
      </c>
      <c r="J352" s="72"/>
      <c r="K352" s="74"/>
      <c r="M352" s="79"/>
      <c r="N352" s="80" t="e">
        <f t="shared" si="57"/>
        <v>#N/A</v>
      </c>
      <c r="O352" s="80" t="e">
        <f t="shared" si="56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55"/>
        <v>#N/A</v>
      </c>
      <c r="H353" s="73" t="e">
        <f t="shared" si="50"/>
        <v>#N/A</v>
      </c>
      <c r="I353" s="73" t="b">
        <f t="shared" si="54"/>
        <v>0</v>
      </c>
      <c r="J353" s="72"/>
      <c r="K353" s="74"/>
      <c r="M353" s="79"/>
      <c r="N353" s="80" t="e">
        <f t="shared" si="57"/>
        <v>#N/A</v>
      </c>
      <c r="O353" s="80" t="e">
        <f t="shared" si="56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55"/>
        <v>#N/A</v>
      </c>
      <c r="H354" s="73" t="e">
        <f t="shared" ref="H354:H373" si="58">F354*G354</f>
        <v>#N/A</v>
      </c>
      <c r="I354" s="73" t="b">
        <f t="shared" si="54"/>
        <v>0</v>
      </c>
      <c r="J354" s="72"/>
      <c r="K354" s="74"/>
      <c r="M354" s="79"/>
      <c r="N354" s="80" t="e">
        <f t="shared" si="57"/>
        <v>#N/A</v>
      </c>
      <c r="O354" s="80" t="e">
        <f t="shared" si="56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55"/>
        <v>#N/A</v>
      </c>
      <c r="H355" s="73" t="e">
        <f t="shared" si="58"/>
        <v>#N/A</v>
      </c>
      <c r="I355" s="73" t="b">
        <f t="shared" si="54"/>
        <v>0</v>
      </c>
      <c r="J355" s="72"/>
      <c r="K355" s="74"/>
      <c r="M355" s="79"/>
      <c r="N355" s="80" t="e">
        <f t="shared" si="57"/>
        <v>#N/A</v>
      </c>
      <c r="O355" s="80" t="e">
        <f t="shared" si="56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55"/>
        <v>#N/A</v>
      </c>
      <c r="H356" s="73" t="e">
        <f t="shared" si="58"/>
        <v>#N/A</v>
      </c>
      <c r="I356" s="73" t="b">
        <f t="shared" si="54"/>
        <v>0</v>
      </c>
      <c r="J356" s="72"/>
      <c r="K356" s="74"/>
      <c r="M356" s="79"/>
      <c r="N356" s="80" t="e">
        <f t="shared" si="57"/>
        <v>#N/A</v>
      </c>
      <c r="O356" s="80" t="e">
        <f t="shared" si="56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si="55"/>
        <v>#N/A</v>
      </c>
      <c r="H357" s="73" t="e">
        <f t="shared" si="58"/>
        <v>#N/A</v>
      </c>
      <c r="I357" s="73" t="b">
        <f t="shared" si="54"/>
        <v>0</v>
      </c>
      <c r="J357" s="72"/>
      <c r="K357" s="74"/>
      <c r="M357" s="79"/>
      <c r="N357" s="80" t="e">
        <f t="shared" si="57"/>
        <v>#N/A</v>
      </c>
      <c r="O357" s="80" t="e">
        <f t="shared" si="56"/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55"/>
        <v>#N/A</v>
      </c>
      <c r="H358" s="73" t="e">
        <f t="shared" si="58"/>
        <v>#N/A</v>
      </c>
      <c r="I358" s="73" t="b">
        <f t="shared" si="54"/>
        <v>0</v>
      </c>
      <c r="J358" s="72"/>
      <c r="K358" s="74"/>
      <c r="M358" s="79"/>
      <c r="N358" s="80" t="e">
        <f t="shared" si="57"/>
        <v>#N/A</v>
      </c>
      <c r="O358" s="80" t="e">
        <f t="shared" si="56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ref="G359:G373" si="59">VLOOKUP(D359,$S$3:$T$64,2,0)</f>
        <v>#N/A</v>
      </c>
      <c r="H359" s="73" t="e">
        <f t="shared" si="58"/>
        <v>#N/A</v>
      </c>
      <c r="I359" s="73" t="b">
        <f t="shared" si="54"/>
        <v>0</v>
      </c>
      <c r="J359" s="72"/>
      <c r="K359" s="74"/>
      <c r="M359" s="79"/>
      <c r="N359" s="80" t="e">
        <f t="shared" si="57"/>
        <v>#N/A</v>
      </c>
      <c r="O359" s="80" t="e">
        <f t="shared" ref="O359:O373" si="60">N359*F359</f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59"/>
        <v>#N/A</v>
      </c>
      <c r="H360" s="73" t="e">
        <f t="shared" si="58"/>
        <v>#N/A</v>
      </c>
      <c r="I360" s="73" t="b">
        <f t="shared" si="54"/>
        <v>0</v>
      </c>
      <c r="J360" s="72"/>
      <c r="K360" s="74"/>
      <c r="M360" s="79"/>
      <c r="N360" s="80" t="e">
        <f t="shared" si="57"/>
        <v>#N/A</v>
      </c>
      <c r="O360" s="80" t="e">
        <f t="shared" si="60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59"/>
        <v>#N/A</v>
      </c>
      <c r="H361" s="73" t="e">
        <f t="shared" si="58"/>
        <v>#N/A</v>
      </c>
      <c r="I361" s="73" t="b">
        <f t="shared" si="54"/>
        <v>0</v>
      </c>
      <c r="J361" s="72"/>
      <c r="K361" s="74"/>
      <c r="M361" s="79"/>
      <c r="N361" s="80" t="e">
        <f t="shared" si="57"/>
        <v>#N/A</v>
      </c>
      <c r="O361" s="80" t="e">
        <f t="shared" si="60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59"/>
        <v>#N/A</v>
      </c>
      <c r="H362" s="73" t="e">
        <f t="shared" si="58"/>
        <v>#N/A</v>
      </c>
      <c r="I362" s="73" t="b">
        <f t="shared" si="54"/>
        <v>0</v>
      </c>
      <c r="J362" s="72"/>
      <c r="K362" s="74"/>
      <c r="M362" s="79"/>
      <c r="N362" s="80" t="e">
        <f t="shared" si="57"/>
        <v>#N/A</v>
      </c>
      <c r="O362" s="80" t="e">
        <f t="shared" si="60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si="59"/>
        <v>#N/A</v>
      </c>
      <c r="H363" s="73" t="e">
        <f t="shared" si="58"/>
        <v>#N/A</v>
      </c>
      <c r="I363" s="73" t="b">
        <f t="shared" si="54"/>
        <v>0</v>
      </c>
      <c r="J363" s="72"/>
      <c r="K363" s="74"/>
      <c r="M363" s="79"/>
      <c r="N363" s="80" t="e">
        <f t="shared" si="57"/>
        <v>#N/A</v>
      </c>
      <c r="O363" s="80" t="e">
        <f t="shared" si="60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59"/>
        <v>#N/A</v>
      </c>
      <c r="H364" s="73" t="e">
        <f t="shared" si="58"/>
        <v>#N/A</v>
      </c>
      <c r="I364" s="73" t="b">
        <f t="shared" si="54"/>
        <v>0</v>
      </c>
      <c r="J364" s="72"/>
      <c r="K364" s="74"/>
      <c r="M364" s="79"/>
      <c r="N364" s="80" t="e">
        <f t="shared" si="57"/>
        <v>#N/A</v>
      </c>
      <c r="O364" s="80" t="e">
        <f t="shared" si="60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59"/>
        <v>#N/A</v>
      </c>
      <c r="H365" s="73" t="e">
        <f t="shared" si="58"/>
        <v>#N/A</v>
      </c>
      <c r="I365" s="73" t="b">
        <f t="shared" si="54"/>
        <v>0</v>
      </c>
      <c r="J365" s="72"/>
      <c r="K365" s="74"/>
      <c r="M365" s="79"/>
      <c r="N365" s="80" t="e">
        <f t="shared" si="57"/>
        <v>#N/A</v>
      </c>
      <c r="O365" s="80" t="e">
        <f t="shared" si="60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59"/>
        <v>#N/A</v>
      </c>
      <c r="H366" s="73" t="e">
        <f t="shared" si="58"/>
        <v>#N/A</v>
      </c>
      <c r="I366" s="73" t="b">
        <f t="shared" si="54"/>
        <v>0</v>
      </c>
      <c r="J366" s="72"/>
      <c r="K366" s="74"/>
      <c r="M366" s="79"/>
      <c r="N366" s="80" t="e">
        <f t="shared" si="57"/>
        <v>#N/A</v>
      </c>
      <c r="O366" s="80" t="e">
        <f t="shared" si="60"/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59"/>
        <v>#N/A</v>
      </c>
      <c r="H367" s="73" t="e">
        <f t="shared" si="58"/>
        <v>#N/A</v>
      </c>
      <c r="I367" s="73" t="b">
        <f t="shared" si="54"/>
        <v>0</v>
      </c>
      <c r="J367" s="72"/>
      <c r="K367" s="74"/>
      <c r="M367" s="79"/>
      <c r="N367" s="80" t="e">
        <f t="shared" si="57"/>
        <v>#N/A</v>
      </c>
      <c r="O367" s="80" t="e">
        <f t="shared" si="60"/>
        <v>#N/A</v>
      </c>
      <c r="P367" s="103"/>
    </row>
    <row r="368" spans="1:16" x14ac:dyDescent="0.25">
      <c r="A368" s="95"/>
      <c r="B368" s="72"/>
      <c r="C368" s="72"/>
      <c r="D368" s="72"/>
      <c r="E368" s="72"/>
      <c r="F368" s="72"/>
      <c r="G368" s="73" t="e">
        <f t="shared" si="59"/>
        <v>#N/A</v>
      </c>
      <c r="H368" s="73" t="e">
        <f t="shared" si="58"/>
        <v>#N/A</v>
      </c>
      <c r="I368" s="73" t="b">
        <f t="shared" si="54"/>
        <v>0</v>
      </c>
      <c r="J368" s="72"/>
      <c r="K368" s="74"/>
      <c r="M368" s="79"/>
      <c r="N368" s="80" t="e">
        <f t="shared" si="57"/>
        <v>#N/A</v>
      </c>
      <c r="O368" s="80" t="e">
        <f t="shared" si="60"/>
        <v>#N/A</v>
      </c>
      <c r="P368" s="103"/>
    </row>
    <row r="369" spans="1:16" x14ac:dyDescent="0.25">
      <c r="A369" s="95"/>
      <c r="B369" s="72"/>
      <c r="C369" s="72"/>
      <c r="D369" s="72"/>
      <c r="E369" s="72"/>
      <c r="F369" s="72"/>
      <c r="G369" s="73" t="e">
        <f t="shared" si="59"/>
        <v>#N/A</v>
      </c>
      <c r="H369" s="73" t="e">
        <f t="shared" si="58"/>
        <v>#N/A</v>
      </c>
      <c r="I369" s="73" t="b">
        <f t="shared" si="54"/>
        <v>0</v>
      </c>
      <c r="J369" s="72"/>
      <c r="K369" s="74"/>
      <c r="M369" s="79"/>
      <c r="N369" s="80" t="e">
        <f t="shared" si="57"/>
        <v>#N/A</v>
      </c>
      <c r="O369" s="80" t="e">
        <f t="shared" si="60"/>
        <v>#N/A</v>
      </c>
      <c r="P369" s="103"/>
    </row>
    <row r="370" spans="1:16" x14ac:dyDescent="0.25">
      <c r="A370" s="95"/>
      <c r="B370" s="72"/>
      <c r="C370" s="72"/>
      <c r="D370" s="72"/>
      <c r="E370" s="72"/>
      <c r="F370" s="72"/>
      <c r="G370" s="73" t="e">
        <f t="shared" si="59"/>
        <v>#N/A</v>
      </c>
      <c r="H370" s="73" t="e">
        <f t="shared" si="58"/>
        <v>#N/A</v>
      </c>
      <c r="I370" s="73" t="b">
        <f t="shared" si="54"/>
        <v>0</v>
      </c>
      <c r="J370" s="72"/>
      <c r="K370" s="74"/>
      <c r="M370" s="79"/>
      <c r="N370" s="80" t="e">
        <f t="shared" si="57"/>
        <v>#N/A</v>
      </c>
      <c r="O370" s="80" t="e">
        <f t="shared" si="60"/>
        <v>#N/A</v>
      </c>
      <c r="P370" s="103"/>
    </row>
    <row r="371" spans="1:16" x14ac:dyDescent="0.25">
      <c r="A371" s="95"/>
      <c r="B371" s="72"/>
      <c r="C371" s="72"/>
      <c r="D371" s="72"/>
      <c r="E371" s="72"/>
      <c r="F371" s="72"/>
      <c r="G371" s="73" t="e">
        <f t="shared" si="59"/>
        <v>#N/A</v>
      </c>
      <c r="H371" s="73" t="e">
        <f t="shared" si="58"/>
        <v>#N/A</v>
      </c>
      <c r="I371" s="73" t="b">
        <f t="shared" si="54"/>
        <v>0</v>
      </c>
      <c r="J371" s="72"/>
      <c r="K371" s="74"/>
      <c r="M371" s="79"/>
      <c r="N371" s="80" t="e">
        <f t="shared" si="57"/>
        <v>#N/A</v>
      </c>
      <c r="O371" s="80" t="e">
        <f t="shared" si="60"/>
        <v>#N/A</v>
      </c>
      <c r="P371" s="103"/>
    </row>
    <row r="372" spans="1:16" x14ac:dyDescent="0.25">
      <c r="A372" s="95"/>
      <c r="B372" s="72"/>
      <c r="C372" s="72"/>
      <c r="D372" s="72"/>
      <c r="E372" s="72"/>
      <c r="F372" s="72"/>
      <c r="G372" s="73" t="e">
        <f t="shared" si="59"/>
        <v>#N/A</v>
      </c>
      <c r="H372" s="73" t="e">
        <f t="shared" si="58"/>
        <v>#N/A</v>
      </c>
      <c r="I372" s="73" t="b">
        <f t="shared" si="54"/>
        <v>0</v>
      </c>
      <c r="J372" s="72"/>
      <c r="K372" s="74"/>
      <c r="M372" s="79"/>
      <c r="N372" s="80" t="e">
        <f t="shared" si="57"/>
        <v>#N/A</v>
      </c>
      <c r="O372" s="80" t="e">
        <f t="shared" si="60"/>
        <v>#N/A</v>
      </c>
      <c r="P372" s="103"/>
    </row>
    <row r="373" spans="1:16" x14ac:dyDescent="0.25">
      <c r="A373" s="95"/>
      <c r="B373" s="72"/>
      <c r="C373" s="72"/>
      <c r="D373" s="72"/>
      <c r="E373" s="72"/>
      <c r="F373" s="72"/>
      <c r="G373" s="73" t="e">
        <f t="shared" si="59"/>
        <v>#N/A</v>
      </c>
      <c r="H373" s="73" t="e">
        <f t="shared" si="58"/>
        <v>#N/A</v>
      </c>
      <c r="I373" s="73" t="b">
        <f t="shared" si="54"/>
        <v>0</v>
      </c>
      <c r="J373" s="72"/>
      <c r="K373" s="74"/>
      <c r="M373" s="85"/>
      <c r="N373" s="86" t="e">
        <f t="shared" si="57"/>
        <v>#N/A</v>
      </c>
      <c r="O373" s="86" t="e">
        <f t="shared" si="60"/>
        <v>#N/A</v>
      </c>
      <c r="P373" s="104"/>
    </row>
    <row r="374" spans="1:16" ht="15.75" x14ac:dyDescent="0.25">
      <c r="H374" s="88" t="e">
        <f>SUM(H3:H373)</f>
        <v>#N/A</v>
      </c>
      <c r="I374" s="88"/>
      <c r="O374" s="89" t="e">
        <f>SUM(O3:O373)</f>
        <v>#N/A</v>
      </c>
      <c r="P374" s="2"/>
    </row>
    <row r="375" spans="1:16" x14ac:dyDescent="0.25">
      <c r="P375" s="2"/>
    </row>
    <row r="376" spans="1:16" x14ac:dyDescent="0.25">
      <c r="P376" s="2"/>
    </row>
    <row r="377" spans="1:16" x14ac:dyDescent="0.25">
      <c r="P377" s="2"/>
    </row>
    <row r="378" spans="1:16" x14ac:dyDescent="0.25">
      <c r="P378" s="2"/>
    </row>
    <row r="379" spans="1:16" x14ac:dyDescent="0.25">
      <c r="P379" s="2"/>
    </row>
    <row r="380" spans="1:16" x14ac:dyDescent="0.25">
      <c r="P380" s="2"/>
    </row>
    <row r="381" spans="1:16" x14ac:dyDescent="0.25">
      <c r="P381" s="2"/>
    </row>
    <row r="382" spans="1:16" x14ac:dyDescent="0.25">
      <c r="P382" s="2"/>
    </row>
    <row r="383" spans="1:16" x14ac:dyDescent="0.25">
      <c r="P383" s="2"/>
    </row>
    <row r="384" spans="1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  <row r="395" spans="16:16" x14ac:dyDescent="0.25">
      <c r="P39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5"/>
  <sheetViews>
    <sheetView workbookViewId="0">
      <selection activeCell="D15" sqref="D15"/>
    </sheetView>
  </sheetViews>
  <sheetFormatPr defaultRowHeight="15" x14ac:dyDescent="0.25"/>
  <cols>
    <col min="1" max="1" width="24" bestFit="1" customWidth="1"/>
    <col min="2" max="2" width="13.28515625" bestFit="1" customWidth="1"/>
    <col min="3" max="3" width="21.42578125" bestFit="1" customWidth="1"/>
    <col min="4" max="4" width="35.8554687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34.85546875" bestFit="1" customWidth="1"/>
    <col min="13" max="13" width="35.8554687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763</v>
      </c>
      <c r="B1" s="53"/>
      <c r="C1" s="53"/>
      <c r="D1" s="53"/>
      <c r="E1" s="53"/>
      <c r="F1" s="54"/>
      <c r="G1" s="54" t="s">
        <v>66</v>
      </c>
      <c r="H1" s="55">
        <f>SUM(H3:H231)</f>
        <v>9979</v>
      </c>
      <c r="I1" s="55">
        <f>SUM(I3:I231)</f>
        <v>9818.2795499999938</v>
      </c>
      <c r="J1" s="54"/>
      <c r="K1" s="56"/>
      <c r="M1" s="57"/>
      <c r="N1" s="58"/>
      <c r="O1" s="105">
        <f>SUM(O3:O231)</f>
        <v>1465.7499999999998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45538</v>
      </c>
      <c r="B3" s="72" t="s">
        <v>764</v>
      </c>
      <c r="C3" s="72" t="s">
        <v>9</v>
      </c>
      <c r="D3" s="72" t="s">
        <v>40</v>
      </c>
      <c r="E3" s="72" t="s">
        <v>56</v>
      </c>
      <c r="F3" s="72">
        <v>1</v>
      </c>
      <c r="G3" s="73">
        <f>VLOOKUP(D3,$S$3:$T$69,2,0)</f>
        <v>45</v>
      </c>
      <c r="H3" s="73">
        <f t="shared" ref="H3:H34" si="0">F3*G3</f>
        <v>45</v>
      </c>
      <c r="I3" s="73">
        <f t="shared" ref="I3:I66" si="1">IF(J3="Cartão de Debito",H3-(H3*$AC$5),IF(J3="Cartão de Credito",H3-(H3*$AC$6), IF(J3="Pix",H3-(H3*$AC$7), IF(J3="Dinheiro (R$)", H3-(H3*$AC$8)))))</f>
        <v>42.7545</v>
      </c>
      <c r="J3" s="72" t="s">
        <v>86</v>
      </c>
      <c r="K3" s="74"/>
      <c r="M3" s="75" t="s">
        <v>40</v>
      </c>
      <c r="N3" s="76">
        <f t="shared" ref="N3:N11" si="2">VLOOKUP(M3,$S$3:$U$69,3,0)</f>
        <v>18</v>
      </c>
      <c r="O3" s="76">
        <f>N3*F3</f>
        <v>18</v>
      </c>
      <c r="P3" s="77" t="s">
        <v>56</v>
      </c>
      <c r="S3" s="50" t="s">
        <v>18</v>
      </c>
      <c r="T3" s="52">
        <v>40</v>
      </c>
      <c r="U3" s="52">
        <f t="shared" ref="U3:U30" si="3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4">Z3*0.4</f>
        <v>16</v>
      </c>
      <c r="AB3" s="92"/>
    </row>
    <row r="4" spans="1:32" x14ac:dyDescent="0.25">
      <c r="A4" s="95">
        <v>45538</v>
      </c>
      <c r="B4" s="72" t="s">
        <v>585</v>
      </c>
      <c r="C4" s="72" t="s">
        <v>8</v>
      </c>
      <c r="D4" s="72" t="s">
        <v>40</v>
      </c>
      <c r="E4" s="72" t="s">
        <v>82</v>
      </c>
      <c r="F4" s="72">
        <v>1</v>
      </c>
      <c r="G4" s="73">
        <f>VLOOKUP(D4,$S$3:$T$69,2,0)</f>
        <v>45</v>
      </c>
      <c r="H4" s="73">
        <f t="shared" si="0"/>
        <v>45</v>
      </c>
      <c r="I4" s="73">
        <f t="shared" si="1"/>
        <v>43.924500000000002</v>
      </c>
      <c r="J4" s="72" t="s">
        <v>78</v>
      </c>
      <c r="K4" s="74"/>
      <c r="M4" s="99"/>
      <c r="N4" s="76" t="e">
        <f t="shared" si="2"/>
        <v>#N/A</v>
      </c>
      <c r="O4" s="76"/>
      <c r="P4" s="100"/>
      <c r="S4" s="50" t="s">
        <v>19</v>
      </c>
      <c r="T4" s="52">
        <v>40</v>
      </c>
      <c r="U4" s="52">
        <f t="shared" si="3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4"/>
        <v>16</v>
      </c>
      <c r="AB4" s="92"/>
    </row>
    <row r="5" spans="1:32" x14ac:dyDescent="0.25">
      <c r="A5" s="95">
        <v>45538</v>
      </c>
      <c r="B5" s="72" t="s">
        <v>585</v>
      </c>
      <c r="C5" s="72" t="s">
        <v>8</v>
      </c>
      <c r="D5" s="72" t="s">
        <v>23</v>
      </c>
      <c r="E5" s="72" t="s">
        <v>82</v>
      </c>
      <c r="F5" s="72">
        <v>1</v>
      </c>
      <c r="G5" s="73">
        <f>VLOOKUP(D5,$S$3:$T$69,2,0)</f>
        <v>5</v>
      </c>
      <c r="H5" s="73">
        <f t="shared" si="0"/>
        <v>5</v>
      </c>
      <c r="I5" s="73">
        <f t="shared" si="1"/>
        <v>4.8804999999999996</v>
      </c>
      <c r="J5" s="72" t="s">
        <v>78</v>
      </c>
      <c r="K5" s="74"/>
      <c r="M5" s="99"/>
      <c r="N5" s="76" t="e">
        <f t="shared" si="2"/>
        <v>#N/A</v>
      </c>
      <c r="O5" s="76"/>
      <c r="P5" s="100"/>
      <c r="S5" s="50" t="s">
        <v>22</v>
      </c>
      <c r="T5" s="52">
        <v>30</v>
      </c>
      <c r="U5" s="52">
        <f t="shared" si="3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4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45538</v>
      </c>
      <c r="B6" s="72" t="s">
        <v>586</v>
      </c>
      <c r="C6" s="72" t="s">
        <v>8</v>
      </c>
      <c r="D6" s="72" t="s">
        <v>17</v>
      </c>
      <c r="E6" s="72" t="s">
        <v>82</v>
      </c>
      <c r="F6" s="72">
        <v>1</v>
      </c>
      <c r="G6" s="73">
        <v>40</v>
      </c>
      <c r="H6" s="73">
        <f t="shared" si="0"/>
        <v>40</v>
      </c>
      <c r="I6" s="73">
        <f t="shared" si="1"/>
        <v>39.043999999999997</v>
      </c>
      <c r="J6" s="72" t="s">
        <v>78</v>
      </c>
      <c r="K6" s="74"/>
      <c r="M6" s="99"/>
      <c r="N6" s="76" t="e">
        <f t="shared" si="2"/>
        <v>#N/A</v>
      </c>
      <c r="O6" s="76"/>
      <c r="P6" s="100"/>
      <c r="S6" s="50" t="s">
        <v>23</v>
      </c>
      <c r="T6" s="52">
        <v>5</v>
      </c>
      <c r="U6" s="52">
        <f t="shared" si="3"/>
        <v>2</v>
      </c>
      <c r="W6" s="90" t="s">
        <v>86</v>
      </c>
      <c r="Y6" s="91" t="s">
        <v>90</v>
      </c>
      <c r="Z6" s="92">
        <v>38.003999999999998</v>
      </c>
      <c r="AA6" s="92">
        <f t="shared" si="4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45538</v>
      </c>
      <c r="B7" s="72" t="s">
        <v>498</v>
      </c>
      <c r="C7" s="72" t="s">
        <v>8</v>
      </c>
      <c r="D7" s="72" t="s">
        <v>13</v>
      </c>
      <c r="E7" s="72" t="s">
        <v>82</v>
      </c>
      <c r="F7" s="72">
        <v>1</v>
      </c>
      <c r="G7" s="73">
        <f>VLOOKUP(D7,$S$3:$T$69,2,0)</f>
        <v>30</v>
      </c>
      <c r="H7" s="73">
        <f t="shared" si="0"/>
        <v>30</v>
      </c>
      <c r="I7" s="73">
        <f t="shared" si="1"/>
        <v>30</v>
      </c>
      <c r="J7" s="72" t="s">
        <v>83</v>
      </c>
      <c r="K7" s="74"/>
      <c r="M7" s="99"/>
      <c r="N7" s="76" t="e">
        <f t="shared" si="2"/>
        <v>#N/A</v>
      </c>
      <c r="O7" s="76"/>
      <c r="P7" s="100"/>
      <c r="S7" s="50" t="s">
        <v>24</v>
      </c>
      <c r="T7" s="52">
        <v>10</v>
      </c>
      <c r="U7" s="52">
        <f t="shared" si="3"/>
        <v>4</v>
      </c>
      <c r="Y7" s="91" t="s">
        <v>93</v>
      </c>
      <c r="Z7" s="92">
        <v>40</v>
      </c>
      <c r="AA7" s="92">
        <f t="shared" si="4"/>
        <v>16</v>
      </c>
      <c r="AB7" s="92"/>
      <c r="AC7" s="91">
        <v>0</v>
      </c>
      <c r="AD7" s="50" t="s">
        <v>83</v>
      </c>
    </row>
    <row r="8" spans="1:32" x14ac:dyDescent="0.25">
      <c r="A8" s="95">
        <v>45538</v>
      </c>
      <c r="B8" s="72" t="s">
        <v>561</v>
      </c>
      <c r="C8" s="72" t="s">
        <v>8</v>
      </c>
      <c r="D8" s="72" t="s">
        <v>17</v>
      </c>
      <c r="E8" s="72" t="s">
        <v>82</v>
      </c>
      <c r="F8" s="72">
        <v>1</v>
      </c>
      <c r="G8" s="73">
        <v>40</v>
      </c>
      <c r="H8" s="73">
        <f t="shared" si="0"/>
        <v>40</v>
      </c>
      <c r="I8" s="73">
        <f t="shared" si="1"/>
        <v>39.043999999999997</v>
      </c>
      <c r="J8" s="72" t="s">
        <v>78</v>
      </c>
      <c r="K8" s="74"/>
      <c r="M8" s="99"/>
      <c r="N8" s="76" t="e">
        <f t="shared" si="2"/>
        <v>#N/A</v>
      </c>
      <c r="O8" s="76"/>
      <c r="P8" s="100"/>
      <c r="S8" s="50" t="s">
        <v>21</v>
      </c>
      <c r="T8" s="52">
        <v>10</v>
      </c>
      <c r="U8" s="52">
        <f t="shared" si="3"/>
        <v>4</v>
      </c>
      <c r="Y8" s="91" t="s">
        <v>95</v>
      </c>
      <c r="Z8" s="92">
        <v>40</v>
      </c>
      <c r="AA8" s="92">
        <f t="shared" si="4"/>
        <v>16</v>
      </c>
      <c r="AB8" s="92"/>
      <c r="AC8" s="91">
        <v>0</v>
      </c>
      <c r="AD8" s="50" t="s">
        <v>440</v>
      </c>
    </row>
    <row r="9" spans="1:32" x14ac:dyDescent="0.25">
      <c r="A9" s="95">
        <v>45539</v>
      </c>
      <c r="B9" s="72" t="s">
        <v>765</v>
      </c>
      <c r="C9" s="72" t="s">
        <v>10</v>
      </c>
      <c r="D9" s="72" t="s">
        <v>17</v>
      </c>
      <c r="E9" s="72" t="s">
        <v>56</v>
      </c>
      <c r="F9" s="72">
        <v>1</v>
      </c>
      <c r="G9" s="73">
        <f>VLOOKUP(D9,$S$3:$T$69,2,0)</f>
        <v>50</v>
      </c>
      <c r="H9" s="73">
        <f t="shared" si="0"/>
        <v>50</v>
      </c>
      <c r="I9" s="73">
        <f t="shared" si="1"/>
        <v>48.805</v>
      </c>
      <c r="J9" s="72" t="s">
        <v>78</v>
      </c>
      <c r="K9" s="74"/>
      <c r="M9" s="99" t="s">
        <v>17</v>
      </c>
      <c r="N9" s="76">
        <f t="shared" si="2"/>
        <v>20</v>
      </c>
      <c r="O9" s="76">
        <f>N9*F9</f>
        <v>20</v>
      </c>
      <c r="P9" s="100" t="s">
        <v>56</v>
      </c>
      <c r="S9" s="50" t="s">
        <v>42</v>
      </c>
      <c r="T9" s="52">
        <v>20</v>
      </c>
      <c r="U9" s="52">
        <f t="shared" si="3"/>
        <v>8</v>
      </c>
      <c r="Y9" s="91" t="s">
        <v>98</v>
      </c>
      <c r="Z9" s="92">
        <v>39.043999999999997</v>
      </c>
      <c r="AA9" s="92">
        <f t="shared" si="4"/>
        <v>15.617599999999999</v>
      </c>
      <c r="AB9" s="92"/>
    </row>
    <row r="10" spans="1:32" x14ac:dyDescent="0.25">
      <c r="A10" s="95">
        <v>45539</v>
      </c>
      <c r="B10" s="72" t="s">
        <v>765</v>
      </c>
      <c r="C10" s="72" t="s">
        <v>10</v>
      </c>
      <c r="D10" s="72" t="s">
        <v>63</v>
      </c>
      <c r="E10" s="72" t="s">
        <v>56</v>
      </c>
      <c r="F10" s="72">
        <v>1</v>
      </c>
      <c r="G10" s="73">
        <f>VLOOKUP(D10,$S$3:$T$69,2,0)</f>
        <v>20</v>
      </c>
      <c r="H10" s="73">
        <f t="shared" si="0"/>
        <v>20</v>
      </c>
      <c r="I10" s="73">
        <f t="shared" si="1"/>
        <v>19.521999999999998</v>
      </c>
      <c r="J10" s="72" t="s">
        <v>78</v>
      </c>
      <c r="K10" s="74"/>
      <c r="M10" s="99" t="s">
        <v>63</v>
      </c>
      <c r="N10" s="76">
        <f t="shared" si="2"/>
        <v>2</v>
      </c>
      <c r="O10" s="76">
        <f>N10*F10</f>
        <v>2</v>
      </c>
      <c r="P10" s="100" t="s">
        <v>56</v>
      </c>
      <c r="S10" s="50" t="s">
        <v>99</v>
      </c>
      <c r="T10" s="52">
        <v>40</v>
      </c>
      <c r="U10" s="52">
        <f t="shared" si="3"/>
        <v>16</v>
      </c>
      <c r="Y10" s="91" t="s">
        <v>100</v>
      </c>
      <c r="Z10" s="92">
        <v>38.003999999999998</v>
      </c>
      <c r="AA10" s="92">
        <f t="shared" si="4"/>
        <v>15.201599999999999</v>
      </c>
      <c r="AB10" s="92"/>
    </row>
    <row r="11" spans="1:32" x14ac:dyDescent="0.25">
      <c r="A11" s="95">
        <v>45539</v>
      </c>
      <c r="B11" s="72" t="s">
        <v>765</v>
      </c>
      <c r="C11" s="72" t="s">
        <v>10</v>
      </c>
      <c r="D11" s="72" t="s">
        <v>61</v>
      </c>
      <c r="E11" s="72" t="s">
        <v>56</v>
      </c>
      <c r="F11" s="72">
        <v>1</v>
      </c>
      <c r="G11" s="73">
        <f>VLOOKUP(D11,$S$3:$T$69,2,0)</f>
        <v>35</v>
      </c>
      <c r="H11" s="73">
        <f t="shared" si="0"/>
        <v>35</v>
      </c>
      <c r="I11" s="73">
        <f t="shared" si="1"/>
        <v>34.163499999999999</v>
      </c>
      <c r="J11" s="72" t="s">
        <v>78</v>
      </c>
      <c r="K11" s="74"/>
      <c r="M11" s="99" t="s">
        <v>61</v>
      </c>
      <c r="N11" s="76">
        <f t="shared" si="2"/>
        <v>3.5</v>
      </c>
      <c r="O11" s="76">
        <f>N11*F11</f>
        <v>3.5</v>
      </c>
      <c r="P11" s="100" t="s">
        <v>56</v>
      </c>
      <c r="S11" s="50" t="s">
        <v>13</v>
      </c>
      <c r="T11" s="52">
        <v>30</v>
      </c>
      <c r="U11" s="52">
        <f t="shared" si="3"/>
        <v>12</v>
      </c>
      <c r="Y11" s="91" t="s">
        <v>102</v>
      </c>
      <c r="Z11" s="92">
        <v>30</v>
      </c>
      <c r="AA11" s="92">
        <f t="shared" si="4"/>
        <v>12</v>
      </c>
      <c r="AB11" s="92"/>
    </row>
    <row r="12" spans="1:32" x14ac:dyDescent="0.25">
      <c r="A12" s="95">
        <v>45539</v>
      </c>
      <c r="B12" s="72" t="s">
        <v>765</v>
      </c>
      <c r="C12" s="72" t="s">
        <v>10</v>
      </c>
      <c r="D12" s="72" t="s">
        <v>607</v>
      </c>
      <c r="E12" s="72" t="s">
        <v>56</v>
      </c>
      <c r="F12" s="72">
        <v>1</v>
      </c>
      <c r="G12" s="73">
        <v>30</v>
      </c>
      <c r="H12" s="73">
        <f t="shared" si="0"/>
        <v>30</v>
      </c>
      <c r="I12" s="73">
        <f t="shared" si="1"/>
        <v>29.283000000000001</v>
      </c>
      <c r="J12" s="72" t="s">
        <v>78</v>
      </c>
      <c r="K12" s="74"/>
      <c r="M12" s="99" t="s">
        <v>607</v>
      </c>
      <c r="N12" s="76">
        <f>H12*0.1</f>
        <v>3</v>
      </c>
      <c r="O12" s="76">
        <f>N12*F12</f>
        <v>3</v>
      </c>
      <c r="P12" s="100" t="s">
        <v>56</v>
      </c>
      <c r="S12" s="50" t="s">
        <v>104</v>
      </c>
      <c r="T12" s="52">
        <v>60</v>
      </c>
      <c r="U12" s="52">
        <f t="shared" si="3"/>
        <v>24</v>
      </c>
      <c r="Y12" s="91" t="s">
        <v>105</v>
      </c>
      <c r="Z12" s="92">
        <v>30</v>
      </c>
      <c r="AA12" s="92">
        <f t="shared" si="4"/>
        <v>12</v>
      </c>
      <c r="AB12" s="92"/>
    </row>
    <row r="13" spans="1:32" x14ac:dyDescent="0.25">
      <c r="A13" s="95">
        <v>45539</v>
      </c>
      <c r="B13" s="72" t="s">
        <v>765</v>
      </c>
      <c r="C13" s="72" t="s">
        <v>10</v>
      </c>
      <c r="D13" s="72" t="s">
        <v>608</v>
      </c>
      <c r="E13" s="72" t="s">
        <v>56</v>
      </c>
      <c r="F13" s="72">
        <v>1</v>
      </c>
      <c r="G13" s="73">
        <v>30</v>
      </c>
      <c r="H13" s="73">
        <f t="shared" si="0"/>
        <v>30</v>
      </c>
      <c r="I13" s="73">
        <f t="shared" si="1"/>
        <v>29.283000000000001</v>
      </c>
      <c r="J13" s="72" t="s">
        <v>78</v>
      </c>
      <c r="K13" s="74"/>
      <c r="M13" s="99" t="s">
        <v>608</v>
      </c>
      <c r="N13" s="76">
        <f>H13*0.1</f>
        <v>3</v>
      </c>
      <c r="O13" s="76">
        <f>N13*F13</f>
        <v>3</v>
      </c>
      <c r="P13" s="100" t="s">
        <v>56</v>
      </c>
      <c r="S13" s="50" t="s">
        <v>106</v>
      </c>
      <c r="T13" s="52">
        <v>15</v>
      </c>
      <c r="U13" s="52">
        <f t="shared" si="3"/>
        <v>6</v>
      </c>
      <c r="Y13" s="91" t="s">
        <v>107</v>
      </c>
      <c r="Z13" s="92">
        <v>29.283000000000001</v>
      </c>
      <c r="AA13" s="92">
        <f t="shared" si="4"/>
        <v>11.713200000000001</v>
      </c>
      <c r="AB13" s="92"/>
    </row>
    <row r="14" spans="1:32" x14ac:dyDescent="0.25">
      <c r="A14" s="95">
        <v>45539</v>
      </c>
      <c r="B14" s="72" t="s">
        <v>512</v>
      </c>
      <c r="C14" s="72" t="s">
        <v>8</v>
      </c>
      <c r="D14" s="72" t="s">
        <v>19</v>
      </c>
      <c r="E14" s="72" t="s">
        <v>82</v>
      </c>
      <c r="F14" s="72">
        <v>1</v>
      </c>
      <c r="G14" s="73">
        <v>30</v>
      </c>
      <c r="H14" s="73">
        <f t="shared" si="0"/>
        <v>30</v>
      </c>
      <c r="I14" s="73">
        <f t="shared" si="1"/>
        <v>29.283000000000001</v>
      </c>
      <c r="J14" s="72" t="s">
        <v>78</v>
      </c>
      <c r="K14" s="74"/>
      <c r="M14" s="99"/>
      <c r="N14" s="76" t="e">
        <f t="shared" ref="N14:N45" si="5">VLOOKUP(M14,$S$3:$U$69,3,0)</f>
        <v>#N/A</v>
      </c>
      <c r="O14" s="76"/>
      <c r="P14" s="100"/>
      <c r="S14" s="50" t="s">
        <v>15</v>
      </c>
      <c r="T14" s="52">
        <v>70</v>
      </c>
      <c r="U14" s="52">
        <f t="shared" si="3"/>
        <v>28</v>
      </c>
      <c r="Y14" s="91" t="s">
        <v>108</v>
      </c>
      <c r="Z14" s="92">
        <v>28.503</v>
      </c>
      <c r="AA14" s="92">
        <f t="shared" si="4"/>
        <v>11.401200000000001</v>
      </c>
      <c r="AB14" s="92"/>
    </row>
    <row r="15" spans="1:32" x14ac:dyDescent="0.25">
      <c r="A15" s="95">
        <v>45539</v>
      </c>
      <c r="B15" s="72" t="s">
        <v>512</v>
      </c>
      <c r="C15" s="72" t="s">
        <v>8</v>
      </c>
      <c r="D15" s="72" t="s">
        <v>766</v>
      </c>
      <c r="E15" s="72" t="s">
        <v>82</v>
      </c>
      <c r="F15" s="72">
        <v>1</v>
      </c>
      <c r="G15" s="73">
        <f t="shared" ref="G15:G53" si="6">VLOOKUP(D15,$S$3:$T$69,2,0)</f>
        <v>3.5</v>
      </c>
      <c r="H15" s="73">
        <f t="shared" si="0"/>
        <v>3.5</v>
      </c>
      <c r="I15" s="73">
        <f t="shared" si="1"/>
        <v>3.41635</v>
      </c>
      <c r="J15" s="72" t="s">
        <v>78</v>
      </c>
      <c r="K15" s="74"/>
      <c r="M15" s="99"/>
      <c r="N15" s="76" t="e">
        <f t="shared" si="5"/>
        <v>#N/A</v>
      </c>
      <c r="O15" s="76"/>
      <c r="P15" s="100"/>
      <c r="S15" s="50" t="s">
        <v>40</v>
      </c>
      <c r="T15" s="52">
        <v>45</v>
      </c>
      <c r="U15" s="52">
        <f t="shared" si="3"/>
        <v>18</v>
      </c>
      <c r="Y15" s="91" t="s">
        <v>110</v>
      </c>
      <c r="Z15" s="92">
        <v>5</v>
      </c>
      <c r="AA15" s="92">
        <f t="shared" si="4"/>
        <v>2</v>
      </c>
      <c r="AB15" s="92"/>
    </row>
    <row r="16" spans="1:32" x14ac:dyDescent="0.25">
      <c r="A16" s="95">
        <v>45539</v>
      </c>
      <c r="B16" s="72" t="s">
        <v>545</v>
      </c>
      <c r="C16" s="72" t="s">
        <v>8</v>
      </c>
      <c r="D16" s="72" t="s">
        <v>18</v>
      </c>
      <c r="E16" s="72" t="s">
        <v>82</v>
      </c>
      <c r="F16" s="72">
        <v>1</v>
      </c>
      <c r="G16" s="73">
        <f t="shared" si="6"/>
        <v>40</v>
      </c>
      <c r="H16" s="73">
        <f t="shared" si="0"/>
        <v>40</v>
      </c>
      <c r="I16" s="73">
        <f t="shared" si="1"/>
        <v>39.043999999999997</v>
      </c>
      <c r="J16" s="72" t="s">
        <v>78</v>
      </c>
      <c r="K16" s="74"/>
      <c r="M16" s="99"/>
      <c r="N16" s="76" t="e">
        <f t="shared" si="5"/>
        <v>#N/A</v>
      </c>
      <c r="O16" s="76"/>
      <c r="P16" s="100"/>
      <c r="S16" s="50" t="s">
        <v>17</v>
      </c>
      <c r="T16" s="52">
        <v>50</v>
      </c>
      <c r="U16" s="52">
        <f t="shared" si="3"/>
        <v>20</v>
      </c>
      <c r="Y16" s="91" t="s">
        <v>113</v>
      </c>
      <c r="Z16" s="92">
        <v>5</v>
      </c>
      <c r="AA16" s="92">
        <f t="shared" si="4"/>
        <v>2</v>
      </c>
      <c r="AB16" s="92"/>
    </row>
    <row r="17" spans="1:28" x14ac:dyDescent="0.25">
      <c r="A17" s="95">
        <v>45539</v>
      </c>
      <c r="B17" s="72" t="s">
        <v>346</v>
      </c>
      <c r="C17" s="72" t="s">
        <v>8</v>
      </c>
      <c r="D17" s="72" t="s">
        <v>17</v>
      </c>
      <c r="E17" s="72" t="s">
        <v>82</v>
      </c>
      <c r="F17" s="72">
        <v>1</v>
      </c>
      <c r="G17" s="73">
        <f t="shared" si="6"/>
        <v>50</v>
      </c>
      <c r="H17" s="73">
        <f t="shared" si="0"/>
        <v>50</v>
      </c>
      <c r="I17" s="73">
        <f t="shared" si="1"/>
        <v>50</v>
      </c>
      <c r="J17" s="72" t="s">
        <v>83</v>
      </c>
      <c r="K17" s="74"/>
      <c r="M17" s="99"/>
      <c r="N17" s="76" t="e">
        <f t="shared" si="5"/>
        <v>#N/A</v>
      </c>
      <c r="O17" s="76"/>
      <c r="P17" s="100"/>
      <c r="S17" s="50" t="s">
        <v>112</v>
      </c>
      <c r="T17" s="52">
        <v>75</v>
      </c>
      <c r="U17" s="52">
        <f t="shared" si="3"/>
        <v>30</v>
      </c>
      <c r="Y17" s="91" t="s">
        <v>115</v>
      </c>
      <c r="Z17" s="92">
        <v>4.8804999999999996</v>
      </c>
      <c r="AA17" s="92">
        <f t="shared" si="4"/>
        <v>1.9521999999999999</v>
      </c>
      <c r="AB17" s="92"/>
    </row>
    <row r="18" spans="1:28" x14ac:dyDescent="0.25">
      <c r="A18" s="95">
        <v>45539</v>
      </c>
      <c r="B18" s="72" t="s">
        <v>620</v>
      </c>
      <c r="C18" s="72" t="s">
        <v>8</v>
      </c>
      <c r="D18" s="72" t="s">
        <v>15</v>
      </c>
      <c r="E18" s="72" t="s">
        <v>56</v>
      </c>
      <c r="F18" s="72">
        <v>1</v>
      </c>
      <c r="G18" s="73">
        <f t="shared" si="6"/>
        <v>70</v>
      </c>
      <c r="H18" s="73">
        <f t="shared" si="0"/>
        <v>70</v>
      </c>
      <c r="I18" s="73">
        <f t="shared" si="1"/>
        <v>70</v>
      </c>
      <c r="J18" s="72" t="s">
        <v>79</v>
      </c>
      <c r="K18" s="74"/>
      <c r="M18" s="99" t="s">
        <v>15</v>
      </c>
      <c r="N18" s="76">
        <f t="shared" si="5"/>
        <v>28</v>
      </c>
      <c r="O18" s="76">
        <f>N18*F18</f>
        <v>28</v>
      </c>
      <c r="P18" s="100" t="s">
        <v>56</v>
      </c>
      <c r="S18" s="50" t="s">
        <v>14</v>
      </c>
      <c r="T18" s="52">
        <v>55</v>
      </c>
      <c r="U18" s="52">
        <f t="shared" si="3"/>
        <v>22</v>
      </c>
      <c r="Y18" s="91" t="s">
        <v>117</v>
      </c>
      <c r="Z18" s="92">
        <v>4.7504999999999997</v>
      </c>
      <c r="AA18" s="92">
        <f t="shared" si="4"/>
        <v>1.9001999999999999</v>
      </c>
    </row>
    <row r="19" spans="1:28" x14ac:dyDescent="0.25">
      <c r="A19" s="95">
        <v>45539</v>
      </c>
      <c r="B19" s="72" t="s">
        <v>620</v>
      </c>
      <c r="C19" s="72" t="s">
        <v>8</v>
      </c>
      <c r="D19" s="72" t="s">
        <v>61</v>
      </c>
      <c r="E19" s="72" t="s">
        <v>56</v>
      </c>
      <c r="F19" s="72">
        <v>1</v>
      </c>
      <c r="G19" s="73">
        <f t="shared" si="6"/>
        <v>35</v>
      </c>
      <c r="H19" s="73">
        <f t="shared" si="0"/>
        <v>35</v>
      </c>
      <c r="I19" s="73">
        <f t="shared" si="1"/>
        <v>35</v>
      </c>
      <c r="J19" s="72" t="s">
        <v>79</v>
      </c>
      <c r="K19" s="74"/>
      <c r="M19" s="99" t="s">
        <v>61</v>
      </c>
      <c r="N19" s="76">
        <f t="shared" si="5"/>
        <v>3.5</v>
      </c>
      <c r="O19" s="76">
        <f>N19*F19</f>
        <v>3.5</v>
      </c>
      <c r="P19" s="100" t="s">
        <v>56</v>
      </c>
      <c r="S19" s="50" t="s">
        <v>58</v>
      </c>
      <c r="T19" s="52">
        <v>100</v>
      </c>
      <c r="U19" s="52">
        <f t="shared" si="3"/>
        <v>40</v>
      </c>
      <c r="Y19" s="91" t="s">
        <v>119</v>
      </c>
      <c r="Z19" s="92">
        <v>10</v>
      </c>
      <c r="AA19" s="92">
        <f t="shared" si="4"/>
        <v>4</v>
      </c>
    </row>
    <row r="20" spans="1:28" x14ac:dyDescent="0.25">
      <c r="A20" s="95">
        <v>45539</v>
      </c>
      <c r="B20" s="72" t="s">
        <v>308</v>
      </c>
      <c r="C20" s="72" t="s">
        <v>8</v>
      </c>
      <c r="D20" s="72" t="s">
        <v>17</v>
      </c>
      <c r="E20" s="72" t="s">
        <v>82</v>
      </c>
      <c r="F20" s="72">
        <v>1</v>
      </c>
      <c r="G20" s="73">
        <f t="shared" si="6"/>
        <v>50</v>
      </c>
      <c r="H20" s="73">
        <f t="shared" si="0"/>
        <v>50</v>
      </c>
      <c r="I20" s="73">
        <f t="shared" si="1"/>
        <v>47.505000000000003</v>
      </c>
      <c r="J20" s="72" t="s">
        <v>86</v>
      </c>
      <c r="K20" s="74"/>
      <c r="M20" s="99"/>
      <c r="N20" s="76" t="e">
        <f t="shared" si="5"/>
        <v>#N/A</v>
      </c>
      <c r="O20" s="76"/>
      <c r="P20" s="100"/>
      <c r="S20" s="50" t="s">
        <v>30</v>
      </c>
      <c r="T20" s="52">
        <v>90</v>
      </c>
      <c r="U20" s="52">
        <f t="shared" si="3"/>
        <v>36</v>
      </c>
      <c r="Y20" s="91" t="s">
        <v>122</v>
      </c>
      <c r="Z20" s="92">
        <v>10</v>
      </c>
      <c r="AA20" s="92">
        <f t="shared" si="4"/>
        <v>4</v>
      </c>
    </row>
    <row r="21" spans="1:28" x14ac:dyDescent="0.25">
      <c r="A21" s="95">
        <v>45539</v>
      </c>
      <c r="B21" s="72" t="s">
        <v>692</v>
      </c>
      <c r="C21" s="72" t="s">
        <v>8</v>
      </c>
      <c r="D21" s="72" t="s">
        <v>18</v>
      </c>
      <c r="E21" s="72" t="s">
        <v>56</v>
      </c>
      <c r="F21" s="72">
        <v>1</v>
      </c>
      <c r="G21" s="73">
        <f t="shared" si="6"/>
        <v>40</v>
      </c>
      <c r="H21" s="73">
        <f t="shared" si="0"/>
        <v>40</v>
      </c>
      <c r="I21" s="73">
        <f t="shared" si="1"/>
        <v>38.003999999999998</v>
      </c>
      <c r="J21" s="72" t="s">
        <v>86</v>
      </c>
      <c r="K21" s="74"/>
      <c r="M21" s="99" t="s">
        <v>18</v>
      </c>
      <c r="N21" s="76">
        <f t="shared" si="5"/>
        <v>16</v>
      </c>
      <c r="O21" s="76">
        <f>N21*F21</f>
        <v>16</v>
      </c>
      <c r="P21" s="100" t="s">
        <v>56</v>
      </c>
      <c r="S21" s="50" t="s">
        <v>447</v>
      </c>
      <c r="T21" s="52">
        <v>180</v>
      </c>
      <c r="U21" s="52">
        <f t="shared" si="3"/>
        <v>72</v>
      </c>
      <c r="Y21" s="91" t="s">
        <v>123</v>
      </c>
      <c r="Z21" s="92">
        <v>9.7609999999999992</v>
      </c>
      <c r="AA21" s="92">
        <f t="shared" si="4"/>
        <v>3.9043999999999999</v>
      </c>
    </row>
    <row r="22" spans="1:28" x14ac:dyDescent="0.25">
      <c r="A22" s="95">
        <v>45540</v>
      </c>
      <c r="B22" s="72" t="s">
        <v>767</v>
      </c>
      <c r="C22" s="72" t="s">
        <v>10</v>
      </c>
      <c r="D22" s="72" t="s">
        <v>18</v>
      </c>
      <c r="E22" s="72" t="s">
        <v>56</v>
      </c>
      <c r="F22" s="72">
        <v>1</v>
      </c>
      <c r="G22" s="73">
        <f t="shared" si="6"/>
        <v>40</v>
      </c>
      <c r="H22" s="73">
        <f t="shared" si="0"/>
        <v>40</v>
      </c>
      <c r="I22" s="73">
        <f t="shared" si="1"/>
        <v>40</v>
      </c>
      <c r="J22" s="72" t="s">
        <v>83</v>
      </c>
      <c r="K22" s="74" t="s">
        <v>768</v>
      </c>
      <c r="M22" s="99" t="s">
        <v>18</v>
      </c>
      <c r="N22" s="76">
        <f t="shared" si="5"/>
        <v>16</v>
      </c>
      <c r="O22" s="76">
        <f>N22*F22</f>
        <v>16</v>
      </c>
      <c r="P22" s="100" t="s">
        <v>56</v>
      </c>
      <c r="S22" s="50" t="s">
        <v>43</v>
      </c>
      <c r="T22" s="52">
        <v>130</v>
      </c>
      <c r="U22" s="52">
        <f t="shared" si="3"/>
        <v>52</v>
      </c>
      <c r="Y22" s="91" t="s">
        <v>125</v>
      </c>
      <c r="Z22" s="92">
        <v>9.5009999999999994</v>
      </c>
      <c r="AA22" s="92">
        <f t="shared" si="4"/>
        <v>3.8003999999999998</v>
      </c>
      <c r="AB22" s="92"/>
    </row>
    <row r="23" spans="1:28" x14ac:dyDescent="0.25">
      <c r="A23" s="95">
        <v>45540</v>
      </c>
      <c r="B23" s="72" t="s">
        <v>225</v>
      </c>
      <c r="C23" s="72" t="s">
        <v>8</v>
      </c>
      <c r="D23" s="72" t="s">
        <v>18</v>
      </c>
      <c r="E23" s="72" t="s">
        <v>56</v>
      </c>
      <c r="F23" s="72">
        <v>1</v>
      </c>
      <c r="G23" s="73">
        <f t="shared" si="6"/>
        <v>40</v>
      </c>
      <c r="H23" s="73">
        <f t="shared" si="0"/>
        <v>40</v>
      </c>
      <c r="I23" s="73">
        <f t="shared" si="1"/>
        <v>40</v>
      </c>
      <c r="J23" s="72" t="s">
        <v>83</v>
      </c>
      <c r="K23" s="74"/>
      <c r="M23" s="99" t="s">
        <v>18</v>
      </c>
      <c r="N23" s="76">
        <f t="shared" si="5"/>
        <v>16</v>
      </c>
      <c r="O23" s="76">
        <f>N23*F23</f>
        <v>16</v>
      </c>
      <c r="P23" s="100" t="s">
        <v>56</v>
      </c>
      <c r="S23" s="50" t="s">
        <v>449</v>
      </c>
      <c r="T23" s="52">
        <v>240</v>
      </c>
      <c r="U23" s="52">
        <f t="shared" si="3"/>
        <v>96</v>
      </c>
      <c r="Y23" s="91" t="s">
        <v>126</v>
      </c>
      <c r="Z23" s="92">
        <v>10</v>
      </c>
      <c r="AA23" s="92">
        <f t="shared" si="4"/>
        <v>4</v>
      </c>
      <c r="AB23" s="92"/>
    </row>
    <row r="24" spans="1:28" x14ac:dyDescent="0.25">
      <c r="A24" s="95">
        <v>45540</v>
      </c>
      <c r="B24" s="72" t="s">
        <v>769</v>
      </c>
      <c r="C24" s="72" t="s">
        <v>8</v>
      </c>
      <c r="D24" s="72" t="s">
        <v>18</v>
      </c>
      <c r="E24" s="72" t="s">
        <v>56</v>
      </c>
      <c r="F24" s="72">
        <v>1</v>
      </c>
      <c r="G24" s="73">
        <f t="shared" si="6"/>
        <v>40</v>
      </c>
      <c r="H24" s="73">
        <f t="shared" si="0"/>
        <v>40</v>
      </c>
      <c r="I24" s="73">
        <f t="shared" si="1"/>
        <v>40</v>
      </c>
      <c r="J24" s="72" t="s">
        <v>79</v>
      </c>
      <c r="K24" s="74"/>
      <c r="M24" s="99" t="s">
        <v>18</v>
      </c>
      <c r="N24" s="76">
        <f t="shared" si="5"/>
        <v>16</v>
      </c>
      <c r="O24" s="76">
        <f>N24*F24</f>
        <v>16</v>
      </c>
      <c r="P24" s="100" t="s">
        <v>56</v>
      </c>
      <c r="S24" s="50" t="s">
        <v>16</v>
      </c>
      <c r="T24" s="52">
        <v>80</v>
      </c>
      <c r="U24" s="52">
        <f t="shared" si="3"/>
        <v>32</v>
      </c>
      <c r="Y24" s="91" t="s">
        <v>128</v>
      </c>
      <c r="Z24" s="92">
        <v>10</v>
      </c>
      <c r="AA24" s="92">
        <f t="shared" si="4"/>
        <v>4</v>
      </c>
    </row>
    <row r="25" spans="1:28" x14ac:dyDescent="0.25">
      <c r="A25" s="95">
        <v>45540</v>
      </c>
      <c r="B25" s="72" t="s">
        <v>291</v>
      </c>
      <c r="C25" s="72" t="s">
        <v>8</v>
      </c>
      <c r="D25" s="72" t="s">
        <v>18</v>
      </c>
      <c r="E25" s="72" t="s">
        <v>56</v>
      </c>
      <c r="F25" s="72">
        <v>1</v>
      </c>
      <c r="G25" s="73">
        <f t="shared" si="6"/>
        <v>40</v>
      </c>
      <c r="H25" s="73">
        <f t="shared" si="0"/>
        <v>40</v>
      </c>
      <c r="I25" s="73">
        <f t="shared" si="1"/>
        <v>38.003999999999998</v>
      </c>
      <c r="J25" s="72" t="s">
        <v>86</v>
      </c>
      <c r="K25" s="74"/>
      <c r="M25" s="99" t="s">
        <v>18</v>
      </c>
      <c r="N25" s="76">
        <f t="shared" si="5"/>
        <v>16</v>
      </c>
      <c r="O25" s="76">
        <f>N25*F25</f>
        <v>16</v>
      </c>
      <c r="P25" s="100" t="s">
        <v>56</v>
      </c>
      <c r="S25" s="50" t="s">
        <v>121</v>
      </c>
      <c r="T25" s="52">
        <v>130</v>
      </c>
      <c r="U25" s="52">
        <f t="shared" si="3"/>
        <v>52</v>
      </c>
      <c r="Y25" s="91" t="s">
        <v>130</v>
      </c>
      <c r="Z25" s="92">
        <v>9.7609999999999992</v>
      </c>
      <c r="AA25" s="92">
        <f t="shared" si="4"/>
        <v>3.9043999999999999</v>
      </c>
    </row>
    <row r="26" spans="1:28" x14ac:dyDescent="0.25">
      <c r="A26" s="95">
        <v>45540</v>
      </c>
      <c r="B26" s="72" t="s">
        <v>770</v>
      </c>
      <c r="C26" s="72" t="s">
        <v>8</v>
      </c>
      <c r="D26" s="72" t="s">
        <v>17</v>
      </c>
      <c r="E26" s="72" t="s">
        <v>82</v>
      </c>
      <c r="F26" s="72">
        <v>1</v>
      </c>
      <c r="G26" s="73">
        <f t="shared" si="6"/>
        <v>50</v>
      </c>
      <c r="H26" s="73">
        <f t="shared" si="0"/>
        <v>50</v>
      </c>
      <c r="I26" s="73">
        <f t="shared" si="1"/>
        <v>50</v>
      </c>
      <c r="J26" s="72" t="s">
        <v>83</v>
      </c>
      <c r="K26" s="74"/>
      <c r="M26" s="99"/>
      <c r="N26" s="76" t="e">
        <f t="shared" si="5"/>
        <v>#N/A</v>
      </c>
      <c r="O26" s="76"/>
      <c r="P26" s="100"/>
      <c r="S26" s="50" t="s">
        <v>60</v>
      </c>
      <c r="T26" s="52">
        <v>90</v>
      </c>
      <c r="U26" s="52">
        <f t="shared" si="3"/>
        <v>36</v>
      </c>
      <c r="Y26" s="91" t="s">
        <v>132</v>
      </c>
      <c r="Z26" s="92">
        <v>9.5009999999999994</v>
      </c>
      <c r="AA26" s="92">
        <f t="shared" si="4"/>
        <v>3.8003999999999998</v>
      </c>
    </row>
    <row r="27" spans="1:28" x14ac:dyDescent="0.25">
      <c r="A27" s="95">
        <v>45540</v>
      </c>
      <c r="B27" s="72" t="s">
        <v>289</v>
      </c>
      <c r="C27" s="72" t="s">
        <v>8</v>
      </c>
      <c r="D27" s="72" t="s">
        <v>15</v>
      </c>
      <c r="E27" s="72" t="s">
        <v>82</v>
      </c>
      <c r="F27" s="72">
        <v>1</v>
      </c>
      <c r="G27" s="73">
        <f t="shared" si="6"/>
        <v>70</v>
      </c>
      <c r="H27" s="73">
        <f t="shared" si="0"/>
        <v>70</v>
      </c>
      <c r="I27" s="73">
        <f t="shared" si="1"/>
        <v>68.326999999999998</v>
      </c>
      <c r="J27" s="72" t="s">
        <v>78</v>
      </c>
      <c r="K27" s="74"/>
      <c r="M27" s="99"/>
      <c r="N27" s="76" t="e">
        <f t="shared" si="5"/>
        <v>#N/A</v>
      </c>
      <c r="O27" s="76"/>
      <c r="P27" s="100"/>
      <c r="S27" s="50" t="s">
        <v>600</v>
      </c>
      <c r="T27" s="52">
        <v>50</v>
      </c>
      <c r="U27" s="52">
        <f t="shared" si="3"/>
        <v>20</v>
      </c>
      <c r="Y27" s="91" t="s">
        <v>134</v>
      </c>
      <c r="Z27" s="92">
        <v>20</v>
      </c>
      <c r="AA27" s="92">
        <f t="shared" si="4"/>
        <v>8</v>
      </c>
    </row>
    <row r="28" spans="1:28" x14ac:dyDescent="0.25">
      <c r="A28" s="95">
        <v>45540</v>
      </c>
      <c r="B28" s="72" t="s">
        <v>545</v>
      </c>
      <c r="C28" s="72" t="s">
        <v>8</v>
      </c>
      <c r="D28" s="72" t="s">
        <v>15</v>
      </c>
      <c r="E28" s="72" t="s">
        <v>82</v>
      </c>
      <c r="F28" s="72">
        <v>1</v>
      </c>
      <c r="G28" s="73">
        <f t="shared" si="6"/>
        <v>70</v>
      </c>
      <c r="H28" s="73">
        <f t="shared" si="0"/>
        <v>70</v>
      </c>
      <c r="I28" s="73">
        <f t="shared" si="1"/>
        <v>70</v>
      </c>
      <c r="J28" s="72" t="s">
        <v>83</v>
      </c>
      <c r="K28" s="74"/>
      <c r="M28" s="99"/>
      <c r="N28" s="76" t="e">
        <f t="shared" si="5"/>
        <v>#N/A</v>
      </c>
      <c r="O28" s="76"/>
      <c r="P28" s="100"/>
      <c r="S28" s="50" t="s">
        <v>20</v>
      </c>
      <c r="T28" s="52">
        <v>15</v>
      </c>
      <c r="U28" s="52">
        <f t="shared" si="3"/>
        <v>6</v>
      </c>
      <c r="Y28" s="91" t="s">
        <v>136</v>
      </c>
      <c r="Z28" s="92">
        <v>20</v>
      </c>
      <c r="AA28" s="92">
        <f t="shared" si="4"/>
        <v>8</v>
      </c>
      <c r="AB28" s="92"/>
    </row>
    <row r="29" spans="1:28" x14ac:dyDescent="0.25">
      <c r="A29" s="95">
        <v>45540</v>
      </c>
      <c r="B29" s="72" t="s">
        <v>294</v>
      </c>
      <c r="C29" s="72" t="s">
        <v>8</v>
      </c>
      <c r="D29" s="72" t="s">
        <v>40</v>
      </c>
      <c r="E29" s="72" t="s">
        <v>82</v>
      </c>
      <c r="F29" s="72">
        <v>1</v>
      </c>
      <c r="G29" s="73">
        <f t="shared" si="6"/>
        <v>45</v>
      </c>
      <c r="H29" s="73">
        <f t="shared" si="0"/>
        <v>45</v>
      </c>
      <c r="I29" s="73">
        <f t="shared" si="1"/>
        <v>45</v>
      </c>
      <c r="J29" s="72" t="s">
        <v>83</v>
      </c>
      <c r="K29" s="74"/>
      <c r="M29" s="99"/>
      <c r="N29" s="76" t="e">
        <f t="shared" si="5"/>
        <v>#N/A</v>
      </c>
      <c r="O29" s="76"/>
      <c r="P29" s="100"/>
      <c r="S29" s="50" t="s">
        <v>31</v>
      </c>
      <c r="T29" s="52">
        <v>15</v>
      </c>
      <c r="U29" s="52">
        <f t="shared" si="3"/>
        <v>6</v>
      </c>
      <c r="Y29" s="91" t="s">
        <v>137</v>
      </c>
      <c r="Z29" s="92">
        <v>19.521999999999998</v>
      </c>
      <c r="AA29" s="92">
        <f t="shared" si="4"/>
        <v>7.8087999999999997</v>
      </c>
      <c r="AB29" s="92"/>
    </row>
    <row r="30" spans="1:28" x14ac:dyDescent="0.25">
      <c r="A30" s="95">
        <v>45540</v>
      </c>
      <c r="B30" s="72" t="s">
        <v>637</v>
      </c>
      <c r="C30" s="72" t="s">
        <v>8</v>
      </c>
      <c r="D30" s="72" t="s">
        <v>18</v>
      </c>
      <c r="E30" s="72" t="s">
        <v>82</v>
      </c>
      <c r="F30" s="72">
        <v>1</v>
      </c>
      <c r="G30" s="73">
        <f t="shared" si="6"/>
        <v>40</v>
      </c>
      <c r="H30" s="73">
        <f t="shared" si="0"/>
        <v>40</v>
      </c>
      <c r="I30" s="73">
        <f t="shared" si="1"/>
        <v>40</v>
      </c>
      <c r="J30" s="72" t="s">
        <v>83</v>
      </c>
      <c r="K30" s="74"/>
      <c r="M30" s="99"/>
      <c r="N30" s="76" t="e">
        <f t="shared" si="5"/>
        <v>#N/A</v>
      </c>
      <c r="O30" s="76"/>
      <c r="P30" s="100"/>
      <c r="S30" s="50" t="s">
        <v>25</v>
      </c>
      <c r="T30" s="52">
        <v>30</v>
      </c>
      <c r="U30" s="52">
        <f t="shared" si="3"/>
        <v>12</v>
      </c>
      <c r="Y30" s="91" t="s">
        <v>139</v>
      </c>
      <c r="Z30" s="92">
        <v>19.001999999999999</v>
      </c>
      <c r="AA30" s="92">
        <f t="shared" si="4"/>
        <v>7.6007999999999996</v>
      </c>
      <c r="AB30" s="92"/>
    </row>
    <row r="31" spans="1:28" x14ac:dyDescent="0.25">
      <c r="A31" s="95">
        <v>45540</v>
      </c>
      <c r="B31" s="72" t="s">
        <v>481</v>
      </c>
      <c r="C31" s="72" t="s">
        <v>8</v>
      </c>
      <c r="D31" s="72" t="s">
        <v>17</v>
      </c>
      <c r="E31" s="72" t="s">
        <v>82</v>
      </c>
      <c r="F31" s="72">
        <v>1</v>
      </c>
      <c r="G31" s="73">
        <f t="shared" si="6"/>
        <v>50</v>
      </c>
      <c r="H31" s="73">
        <f t="shared" si="0"/>
        <v>50</v>
      </c>
      <c r="I31" s="73">
        <f t="shared" si="1"/>
        <v>50</v>
      </c>
      <c r="J31" s="72" t="s">
        <v>79</v>
      </c>
      <c r="K31" s="74"/>
      <c r="M31" s="99"/>
      <c r="N31" s="76" t="e">
        <f t="shared" si="5"/>
        <v>#N/A</v>
      </c>
      <c r="O31" s="76"/>
      <c r="P31" s="100"/>
      <c r="Q31" s="106"/>
      <c r="S31" s="50" t="s">
        <v>131</v>
      </c>
      <c r="T31" s="52">
        <v>30</v>
      </c>
      <c r="U31" s="52">
        <f t="shared" ref="U31:U69" si="7">T31*0.1</f>
        <v>3</v>
      </c>
      <c r="Y31" s="91" t="s">
        <v>141</v>
      </c>
      <c r="Z31" s="92">
        <v>40</v>
      </c>
      <c r="AA31" s="92">
        <f t="shared" si="4"/>
        <v>16</v>
      </c>
    </row>
    <row r="32" spans="1:28" x14ac:dyDescent="0.25">
      <c r="A32" s="95">
        <v>45541</v>
      </c>
      <c r="B32" s="72" t="s">
        <v>605</v>
      </c>
      <c r="C32" s="72" t="s">
        <v>8</v>
      </c>
      <c r="D32" s="72" t="s">
        <v>18</v>
      </c>
      <c r="E32" s="72" t="s">
        <v>56</v>
      </c>
      <c r="F32" s="72">
        <v>1</v>
      </c>
      <c r="G32" s="73">
        <f t="shared" si="6"/>
        <v>40</v>
      </c>
      <c r="H32" s="73">
        <f t="shared" si="0"/>
        <v>40</v>
      </c>
      <c r="I32" s="73">
        <f t="shared" si="1"/>
        <v>40</v>
      </c>
      <c r="J32" s="72" t="s">
        <v>83</v>
      </c>
      <c r="K32" s="74"/>
      <c r="M32" s="99" t="s">
        <v>18</v>
      </c>
      <c r="N32" s="76">
        <f t="shared" si="5"/>
        <v>16</v>
      </c>
      <c r="O32" s="76">
        <f>N32*F32</f>
        <v>16</v>
      </c>
      <c r="P32" s="100" t="s">
        <v>56</v>
      </c>
      <c r="S32" s="50" t="s">
        <v>64</v>
      </c>
      <c r="T32" s="52">
        <v>30</v>
      </c>
      <c r="U32" s="52">
        <f t="shared" si="7"/>
        <v>3</v>
      </c>
      <c r="Y32" s="91" t="s">
        <v>144</v>
      </c>
      <c r="Z32" s="92">
        <v>40</v>
      </c>
      <c r="AA32" s="92">
        <f t="shared" si="4"/>
        <v>16</v>
      </c>
    </row>
    <row r="33" spans="1:27" x14ac:dyDescent="0.25">
      <c r="A33" s="95">
        <v>45541</v>
      </c>
      <c r="B33" s="72" t="s">
        <v>771</v>
      </c>
      <c r="C33" s="72" t="s">
        <v>8</v>
      </c>
      <c r="D33" s="72" t="s">
        <v>22</v>
      </c>
      <c r="E33" s="72" t="s">
        <v>56</v>
      </c>
      <c r="F33" s="72">
        <v>1</v>
      </c>
      <c r="G33" s="73">
        <f t="shared" si="6"/>
        <v>30</v>
      </c>
      <c r="H33" s="73">
        <f t="shared" si="0"/>
        <v>30</v>
      </c>
      <c r="I33" s="73">
        <f t="shared" si="1"/>
        <v>29.283000000000001</v>
      </c>
      <c r="J33" s="72" t="s">
        <v>78</v>
      </c>
      <c r="K33" s="74"/>
      <c r="M33" s="99" t="s">
        <v>22</v>
      </c>
      <c r="N33" s="76">
        <f t="shared" si="5"/>
        <v>12</v>
      </c>
      <c r="O33" s="76">
        <f>N33*F33</f>
        <v>12</v>
      </c>
      <c r="P33" s="100" t="s">
        <v>56</v>
      </c>
      <c r="S33" s="50" t="s">
        <v>97</v>
      </c>
      <c r="T33" s="52">
        <v>30</v>
      </c>
      <c r="U33" s="52">
        <f t="shared" si="7"/>
        <v>3</v>
      </c>
      <c r="Y33" s="91" t="s">
        <v>146</v>
      </c>
      <c r="Z33" s="92">
        <v>39.043999999999997</v>
      </c>
      <c r="AA33" s="92">
        <f t="shared" si="4"/>
        <v>15.617599999999999</v>
      </c>
    </row>
    <row r="34" spans="1:27" x14ac:dyDescent="0.25">
      <c r="A34" s="95">
        <v>45541</v>
      </c>
      <c r="B34" s="72" t="s">
        <v>771</v>
      </c>
      <c r="C34" s="72" t="s">
        <v>8</v>
      </c>
      <c r="D34" s="72" t="s">
        <v>13</v>
      </c>
      <c r="E34" s="72" t="s">
        <v>56</v>
      </c>
      <c r="F34" s="72">
        <v>1</v>
      </c>
      <c r="G34" s="73">
        <f t="shared" si="6"/>
        <v>30</v>
      </c>
      <c r="H34" s="73">
        <f t="shared" si="0"/>
        <v>30</v>
      </c>
      <c r="I34" s="73">
        <f t="shared" si="1"/>
        <v>29.283000000000001</v>
      </c>
      <c r="J34" s="72" t="s">
        <v>78</v>
      </c>
      <c r="K34" s="74"/>
      <c r="M34" s="99" t="s">
        <v>13</v>
      </c>
      <c r="N34" s="76">
        <f t="shared" si="5"/>
        <v>12</v>
      </c>
      <c r="O34" s="76">
        <f>N34*F34</f>
        <v>12</v>
      </c>
      <c r="P34" s="100" t="s">
        <v>56</v>
      </c>
      <c r="S34" s="50" t="s">
        <v>603</v>
      </c>
      <c r="T34" s="52">
        <v>35</v>
      </c>
      <c r="U34" s="52">
        <f t="shared" si="7"/>
        <v>3.5</v>
      </c>
      <c r="Y34" s="91" t="s">
        <v>148</v>
      </c>
      <c r="Z34" s="92">
        <v>38.003999999999998</v>
      </c>
      <c r="AA34" s="92">
        <f t="shared" si="4"/>
        <v>15.201599999999999</v>
      </c>
    </row>
    <row r="35" spans="1:27" x14ac:dyDescent="0.25">
      <c r="A35" s="95">
        <v>45541</v>
      </c>
      <c r="B35" s="72" t="s">
        <v>202</v>
      </c>
      <c r="C35" s="72" t="s">
        <v>8</v>
      </c>
      <c r="D35" s="72" t="s">
        <v>18</v>
      </c>
      <c r="E35" s="72" t="s">
        <v>82</v>
      </c>
      <c r="F35" s="72">
        <v>1</v>
      </c>
      <c r="G35" s="73">
        <f t="shared" si="6"/>
        <v>40</v>
      </c>
      <c r="H35" s="73">
        <f t="shared" ref="H35:H66" si="8">F35*G35</f>
        <v>40</v>
      </c>
      <c r="I35" s="73">
        <f t="shared" si="1"/>
        <v>40</v>
      </c>
      <c r="J35" s="72" t="s">
        <v>79</v>
      </c>
      <c r="K35" s="74"/>
      <c r="M35" s="99"/>
      <c r="N35" s="76" t="e">
        <f t="shared" si="5"/>
        <v>#N/A</v>
      </c>
      <c r="O35" s="76"/>
      <c r="P35" s="100"/>
      <c r="S35" s="50" t="s">
        <v>607</v>
      </c>
      <c r="T35" s="52">
        <v>35</v>
      </c>
      <c r="U35" s="52">
        <f t="shared" si="7"/>
        <v>3.5</v>
      </c>
      <c r="Y35" s="91" t="s">
        <v>150</v>
      </c>
      <c r="Z35" s="92">
        <v>30</v>
      </c>
      <c r="AA35" s="92">
        <f t="shared" ref="AA35:AA66" si="9">Z35*0.4</f>
        <v>12</v>
      </c>
    </row>
    <row r="36" spans="1:27" x14ac:dyDescent="0.25">
      <c r="A36" s="95">
        <v>45541</v>
      </c>
      <c r="B36" s="72" t="s">
        <v>531</v>
      </c>
      <c r="C36" s="72" t="s">
        <v>8</v>
      </c>
      <c r="D36" s="72" t="s">
        <v>18</v>
      </c>
      <c r="E36" s="72" t="s">
        <v>82</v>
      </c>
      <c r="F36" s="72">
        <v>2</v>
      </c>
      <c r="G36" s="73">
        <f t="shared" si="6"/>
        <v>40</v>
      </c>
      <c r="H36" s="73">
        <f t="shared" si="8"/>
        <v>80</v>
      </c>
      <c r="I36" s="73">
        <f t="shared" si="1"/>
        <v>80</v>
      </c>
      <c r="J36" s="72" t="s">
        <v>83</v>
      </c>
      <c r="K36" s="74"/>
      <c r="M36" s="99"/>
      <c r="N36" s="76" t="e">
        <f t="shared" si="5"/>
        <v>#N/A</v>
      </c>
      <c r="O36" s="76"/>
      <c r="P36" s="100"/>
      <c r="S36" s="50" t="s">
        <v>608</v>
      </c>
      <c r="T36" s="52">
        <v>35</v>
      </c>
      <c r="U36" s="52">
        <f t="shared" si="7"/>
        <v>3.5</v>
      </c>
      <c r="Y36" s="91" t="s">
        <v>153</v>
      </c>
      <c r="Z36" s="92">
        <v>30</v>
      </c>
      <c r="AA36" s="92">
        <f t="shared" si="9"/>
        <v>12</v>
      </c>
    </row>
    <row r="37" spans="1:27" x14ac:dyDescent="0.25">
      <c r="A37" s="95">
        <v>45541</v>
      </c>
      <c r="B37" s="72" t="s">
        <v>554</v>
      </c>
      <c r="C37" s="72" t="s">
        <v>8</v>
      </c>
      <c r="D37" s="72" t="s">
        <v>22</v>
      </c>
      <c r="E37" s="72" t="s">
        <v>82</v>
      </c>
      <c r="F37" s="72">
        <v>2</v>
      </c>
      <c r="G37" s="73">
        <f t="shared" si="6"/>
        <v>30</v>
      </c>
      <c r="H37" s="73">
        <f t="shared" si="8"/>
        <v>60</v>
      </c>
      <c r="I37" s="73">
        <f t="shared" si="1"/>
        <v>60</v>
      </c>
      <c r="J37" s="72" t="s">
        <v>83</v>
      </c>
      <c r="K37" s="74"/>
      <c r="M37" s="99"/>
      <c r="N37" s="76" t="e">
        <f t="shared" si="5"/>
        <v>#N/A</v>
      </c>
      <c r="O37" s="76"/>
      <c r="P37" s="100"/>
      <c r="S37" s="50" t="s">
        <v>39</v>
      </c>
      <c r="T37" s="52">
        <v>10</v>
      </c>
      <c r="U37" s="52">
        <f t="shared" si="7"/>
        <v>1</v>
      </c>
      <c r="Y37" s="91" t="s">
        <v>154</v>
      </c>
      <c r="Z37" s="92">
        <v>29.283000000000001</v>
      </c>
      <c r="AA37" s="92">
        <f t="shared" si="9"/>
        <v>11.713200000000001</v>
      </c>
    </row>
    <row r="38" spans="1:27" x14ac:dyDescent="0.25">
      <c r="A38" s="95">
        <v>45541</v>
      </c>
      <c r="B38" s="72" t="s">
        <v>772</v>
      </c>
      <c r="C38" s="72" t="s">
        <v>10</v>
      </c>
      <c r="D38" s="72" t="s">
        <v>17</v>
      </c>
      <c r="E38" s="72" t="s">
        <v>56</v>
      </c>
      <c r="F38" s="72">
        <v>1</v>
      </c>
      <c r="G38" s="73">
        <f t="shared" si="6"/>
        <v>50</v>
      </c>
      <c r="H38" s="73">
        <f t="shared" si="8"/>
        <v>50</v>
      </c>
      <c r="I38" s="73">
        <f t="shared" si="1"/>
        <v>50</v>
      </c>
      <c r="J38" s="72" t="s">
        <v>83</v>
      </c>
      <c r="K38" s="74"/>
      <c r="M38" s="99" t="s">
        <v>17</v>
      </c>
      <c r="N38" s="76">
        <f t="shared" si="5"/>
        <v>20</v>
      </c>
      <c r="O38" s="76">
        <f>N38*F38</f>
        <v>20</v>
      </c>
      <c r="P38" s="100" t="s">
        <v>56</v>
      </c>
      <c r="S38" s="50" t="s">
        <v>63</v>
      </c>
      <c r="T38" s="52">
        <v>20</v>
      </c>
      <c r="U38" s="52">
        <f t="shared" si="7"/>
        <v>2</v>
      </c>
      <c r="Y38" s="91" t="s">
        <v>156</v>
      </c>
      <c r="Z38" s="92">
        <v>28.503</v>
      </c>
      <c r="AA38" s="92">
        <f t="shared" si="9"/>
        <v>11.401200000000001</v>
      </c>
    </row>
    <row r="39" spans="1:27" x14ac:dyDescent="0.25">
      <c r="A39" s="95">
        <v>45541</v>
      </c>
      <c r="B39" s="72" t="s">
        <v>716</v>
      </c>
      <c r="C39" s="72" t="s">
        <v>9</v>
      </c>
      <c r="D39" s="72" t="s">
        <v>603</v>
      </c>
      <c r="E39" s="72" t="s">
        <v>56</v>
      </c>
      <c r="F39" s="72">
        <v>1</v>
      </c>
      <c r="G39" s="73">
        <f t="shared" si="6"/>
        <v>35</v>
      </c>
      <c r="H39" s="73">
        <f t="shared" si="8"/>
        <v>35</v>
      </c>
      <c r="I39" s="73">
        <f t="shared" si="1"/>
        <v>34.163499999999999</v>
      </c>
      <c r="J39" s="72" t="s">
        <v>78</v>
      </c>
      <c r="K39" s="74"/>
      <c r="M39" s="99" t="s">
        <v>603</v>
      </c>
      <c r="N39" s="76">
        <f t="shared" si="5"/>
        <v>3.5</v>
      </c>
      <c r="O39" s="76">
        <f>N39*F39</f>
        <v>3.5</v>
      </c>
      <c r="P39" s="100" t="s">
        <v>56</v>
      </c>
      <c r="S39" s="50" t="s">
        <v>34</v>
      </c>
      <c r="T39" s="52">
        <v>10</v>
      </c>
      <c r="U39" s="52">
        <f t="shared" si="7"/>
        <v>1</v>
      </c>
      <c r="Y39" s="91" t="s">
        <v>158</v>
      </c>
      <c r="Z39" s="92">
        <v>60</v>
      </c>
      <c r="AA39" s="92">
        <f t="shared" si="9"/>
        <v>24</v>
      </c>
    </row>
    <row r="40" spans="1:27" x14ac:dyDescent="0.25">
      <c r="A40" s="95">
        <v>45541</v>
      </c>
      <c r="B40" s="72" t="s">
        <v>716</v>
      </c>
      <c r="C40" s="72" t="s">
        <v>9</v>
      </c>
      <c r="D40" s="72" t="s">
        <v>26</v>
      </c>
      <c r="E40" s="72" t="s">
        <v>56</v>
      </c>
      <c r="F40" s="72">
        <v>1</v>
      </c>
      <c r="G40" s="73">
        <f t="shared" si="6"/>
        <v>35</v>
      </c>
      <c r="H40" s="73">
        <f t="shared" si="8"/>
        <v>35</v>
      </c>
      <c r="I40" s="73">
        <f t="shared" si="1"/>
        <v>34.163499999999999</v>
      </c>
      <c r="J40" s="72" t="s">
        <v>78</v>
      </c>
      <c r="K40" s="74"/>
      <c r="M40" s="99" t="s">
        <v>26</v>
      </c>
      <c r="N40" s="76">
        <f t="shared" si="5"/>
        <v>3.5</v>
      </c>
      <c r="O40" s="76">
        <f>N40*F40</f>
        <v>3.5</v>
      </c>
      <c r="P40" s="100" t="s">
        <v>56</v>
      </c>
      <c r="S40" s="50" t="s">
        <v>36</v>
      </c>
      <c r="T40" s="52">
        <v>30</v>
      </c>
      <c r="U40" s="52">
        <f t="shared" si="7"/>
        <v>3</v>
      </c>
      <c r="Y40" s="91" t="s">
        <v>161</v>
      </c>
      <c r="Z40" s="92">
        <v>60</v>
      </c>
      <c r="AA40" s="92">
        <f t="shared" si="9"/>
        <v>24</v>
      </c>
    </row>
    <row r="41" spans="1:27" x14ac:dyDescent="0.25">
      <c r="A41" s="95">
        <v>45541</v>
      </c>
      <c r="B41" s="72" t="s">
        <v>716</v>
      </c>
      <c r="C41" s="72" t="s">
        <v>9</v>
      </c>
      <c r="D41" s="72" t="s">
        <v>33</v>
      </c>
      <c r="E41" s="72" t="s">
        <v>56</v>
      </c>
      <c r="F41" s="72">
        <v>1</v>
      </c>
      <c r="G41" s="73">
        <f t="shared" si="6"/>
        <v>35</v>
      </c>
      <c r="H41" s="73">
        <f t="shared" si="8"/>
        <v>35</v>
      </c>
      <c r="I41" s="73">
        <f t="shared" si="1"/>
        <v>34.163499999999999</v>
      </c>
      <c r="J41" s="72" t="s">
        <v>78</v>
      </c>
      <c r="K41" s="74"/>
      <c r="M41" s="99" t="s">
        <v>33</v>
      </c>
      <c r="N41" s="76">
        <f t="shared" si="5"/>
        <v>3.5</v>
      </c>
      <c r="O41" s="76">
        <f>N41*F41</f>
        <v>3.5</v>
      </c>
      <c r="P41" s="100" t="s">
        <v>56</v>
      </c>
      <c r="S41" s="50" t="s">
        <v>143</v>
      </c>
      <c r="T41" s="52">
        <v>35</v>
      </c>
      <c r="U41" s="52">
        <f t="shared" si="7"/>
        <v>3.5</v>
      </c>
      <c r="Y41" s="91" t="s">
        <v>163</v>
      </c>
      <c r="Z41" s="92">
        <v>58.566000000000003</v>
      </c>
      <c r="AA41" s="92">
        <f t="shared" si="9"/>
        <v>23.426400000000001</v>
      </c>
    </row>
    <row r="42" spans="1:27" x14ac:dyDescent="0.25">
      <c r="A42" s="95">
        <v>45541</v>
      </c>
      <c r="B42" s="72" t="s">
        <v>716</v>
      </c>
      <c r="C42" s="72" t="s">
        <v>9</v>
      </c>
      <c r="D42" s="72" t="s">
        <v>62</v>
      </c>
      <c r="E42" s="72" t="s">
        <v>56</v>
      </c>
      <c r="F42" s="72">
        <v>1</v>
      </c>
      <c r="G42" s="73">
        <f t="shared" si="6"/>
        <v>20</v>
      </c>
      <c r="H42" s="73">
        <f t="shared" si="8"/>
        <v>20</v>
      </c>
      <c r="I42" s="73">
        <f t="shared" si="1"/>
        <v>19.521999999999998</v>
      </c>
      <c r="J42" s="72" t="s">
        <v>78</v>
      </c>
      <c r="K42" s="74"/>
      <c r="M42" s="99" t="s">
        <v>62</v>
      </c>
      <c r="N42" s="76">
        <f t="shared" si="5"/>
        <v>2</v>
      </c>
      <c r="O42" s="76">
        <f>N42*F42</f>
        <v>2</v>
      </c>
      <c r="P42" s="100" t="s">
        <v>56</v>
      </c>
      <c r="S42" s="50" t="s">
        <v>33</v>
      </c>
      <c r="T42" s="52">
        <v>35</v>
      </c>
      <c r="U42" s="52">
        <f t="shared" si="7"/>
        <v>3.5</v>
      </c>
      <c r="Y42" s="91" t="s">
        <v>165</v>
      </c>
      <c r="Z42" s="92">
        <v>57.006</v>
      </c>
      <c r="AA42" s="92">
        <f t="shared" si="9"/>
        <v>22.802400000000002</v>
      </c>
    </row>
    <row r="43" spans="1:27" x14ac:dyDescent="0.25">
      <c r="A43" s="95">
        <v>45541</v>
      </c>
      <c r="B43" s="72" t="s">
        <v>204</v>
      </c>
      <c r="C43" s="72" t="s">
        <v>8</v>
      </c>
      <c r="D43" s="72" t="s">
        <v>16</v>
      </c>
      <c r="E43" s="72" t="s">
        <v>82</v>
      </c>
      <c r="F43" s="72">
        <v>1</v>
      </c>
      <c r="G43" s="73">
        <f t="shared" si="6"/>
        <v>80</v>
      </c>
      <c r="H43" s="73">
        <f t="shared" si="8"/>
        <v>80</v>
      </c>
      <c r="I43" s="73">
        <f t="shared" si="1"/>
        <v>78.087999999999994</v>
      </c>
      <c r="J43" s="72" t="s">
        <v>78</v>
      </c>
      <c r="K43" s="74"/>
      <c r="M43" s="99"/>
      <c r="N43" s="76" t="e">
        <f t="shared" si="5"/>
        <v>#N/A</v>
      </c>
      <c r="O43" s="76"/>
      <c r="P43" s="100"/>
      <c r="S43" s="50" t="s">
        <v>26</v>
      </c>
      <c r="T43" s="52">
        <v>35</v>
      </c>
      <c r="U43" s="52">
        <f t="shared" si="7"/>
        <v>3.5</v>
      </c>
      <c r="Y43" s="91" t="s">
        <v>167</v>
      </c>
      <c r="Z43" s="92">
        <v>15</v>
      </c>
      <c r="AA43" s="92">
        <f t="shared" si="9"/>
        <v>6</v>
      </c>
    </row>
    <row r="44" spans="1:27" x14ac:dyDescent="0.25">
      <c r="A44" s="95">
        <v>45541</v>
      </c>
      <c r="B44" s="72" t="s">
        <v>751</v>
      </c>
      <c r="C44" s="72" t="s">
        <v>8</v>
      </c>
      <c r="D44" s="72" t="s">
        <v>18</v>
      </c>
      <c r="E44" s="72" t="s">
        <v>56</v>
      </c>
      <c r="F44" s="72">
        <v>1</v>
      </c>
      <c r="G44" s="73">
        <f t="shared" si="6"/>
        <v>40</v>
      </c>
      <c r="H44" s="73">
        <f t="shared" si="8"/>
        <v>40</v>
      </c>
      <c r="I44" s="73">
        <f t="shared" si="1"/>
        <v>40</v>
      </c>
      <c r="J44" s="72" t="s">
        <v>83</v>
      </c>
      <c r="K44" s="74"/>
      <c r="M44" s="99" t="s">
        <v>18</v>
      </c>
      <c r="N44" s="76">
        <f t="shared" si="5"/>
        <v>16</v>
      </c>
      <c r="O44" s="76">
        <f>N44*F44</f>
        <v>16</v>
      </c>
      <c r="P44" s="100" t="s">
        <v>56</v>
      </c>
      <c r="S44" s="50" t="s">
        <v>61</v>
      </c>
      <c r="T44" s="52">
        <v>35</v>
      </c>
      <c r="U44" s="52">
        <f t="shared" si="7"/>
        <v>3.5</v>
      </c>
      <c r="Y44" s="91" t="s">
        <v>169</v>
      </c>
      <c r="Z44" s="92">
        <v>15</v>
      </c>
      <c r="AA44" s="92">
        <f t="shared" si="9"/>
        <v>6</v>
      </c>
    </row>
    <row r="45" spans="1:27" x14ac:dyDescent="0.25">
      <c r="A45" s="95">
        <v>45541</v>
      </c>
      <c r="B45" s="72" t="s">
        <v>773</v>
      </c>
      <c r="C45" s="72" t="s">
        <v>8</v>
      </c>
      <c r="D45" s="72" t="s">
        <v>18</v>
      </c>
      <c r="E45" s="72" t="s">
        <v>56</v>
      </c>
      <c r="F45" s="72">
        <v>1</v>
      </c>
      <c r="G45" s="73">
        <f t="shared" si="6"/>
        <v>40</v>
      </c>
      <c r="H45" s="73">
        <f t="shared" si="8"/>
        <v>40</v>
      </c>
      <c r="I45" s="73">
        <f t="shared" si="1"/>
        <v>40</v>
      </c>
      <c r="J45" s="72" t="s">
        <v>83</v>
      </c>
      <c r="K45" s="74"/>
      <c r="M45" s="99" t="s">
        <v>18</v>
      </c>
      <c r="N45" s="76">
        <f t="shared" si="5"/>
        <v>16</v>
      </c>
      <c r="O45" s="76">
        <f>N45*F45</f>
        <v>16</v>
      </c>
      <c r="P45" s="100" t="s">
        <v>56</v>
      </c>
      <c r="S45" s="50" t="s">
        <v>152</v>
      </c>
      <c r="T45" s="52">
        <v>60</v>
      </c>
      <c r="U45" s="52">
        <f t="shared" si="7"/>
        <v>6</v>
      </c>
      <c r="Y45" s="91" t="s">
        <v>171</v>
      </c>
      <c r="Z45" s="92">
        <v>14.641500000000001</v>
      </c>
      <c r="AA45" s="92">
        <f t="shared" si="9"/>
        <v>5.8566000000000003</v>
      </c>
    </row>
    <row r="46" spans="1:27" x14ac:dyDescent="0.25">
      <c r="A46" s="95">
        <v>45541</v>
      </c>
      <c r="B46" s="72" t="s">
        <v>577</v>
      </c>
      <c r="C46" s="72" t="s">
        <v>8</v>
      </c>
      <c r="D46" s="72" t="s">
        <v>15</v>
      </c>
      <c r="E46" s="72" t="s">
        <v>82</v>
      </c>
      <c r="F46" s="72">
        <v>1</v>
      </c>
      <c r="G46" s="73">
        <f t="shared" si="6"/>
        <v>70</v>
      </c>
      <c r="H46" s="73">
        <f t="shared" si="8"/>
        <v>70</v>
      </c>
      <c r="I46" s="73">
        <f t="shared" si="1"/>
        <v>66.507000000000005</v>
      </c>
      <c r="J46" s="72" t="s">
        <v>86</v>
      </c>
      <c r="K46" s="74"/>
      <c r="M46" s="99"/>
      <c r="N46" s="76" t="e">
        <f t="shared" ref="N46:N77" si="10">VLOOKUP(M46,$S$3:$U$69,3,0)</f>
        <v>#N/A</v>
      </c>
      <c r="O46" s="76"/>
      <c r="P46" s="100"/>
      <c r="S46" s="50" t="s">
        <v>62</v>
      </c>
      <c r="T46" s="52">
        <v>20</v>
      </c>
      <c r="U46" s="52">
        <f t="shared" si="7"/>
        <v>2</v>
      </c>
      <c r="Y46" s="91" t="s">
        <v>173</v>
      </c>
      <c r="Z46" s="92">
        <v>14.2515</v>
      </c>
      <c r="AA46" s="92">
        <f t="shared" si="9"/>
        <v>5.7006000000000006</v>
      </c>
    </row>
    <row r="47" spans="1:27" x14ac:dyDescent="0.25">
      <c r="A47" s="95">
        <v>45541</v>
      </c>
      <c r="B47" s="72" t="s">
        <v>577</v>
      </c>
      <c r="C47" s="72" t="s">
        <v>8</v>
      </c>
      <c r="D47" s="72" t="s">
        <v>774</v>
      </c>
      <c r="E47" s="72" t="s">
        <v>82</v>
      </c>
      <c r="F47" s="72">
        <v>1</v>
      </c>
      <c r="G47" s="73">
        <f t="shared" si="6"/>
        <v>4.5</v>
      </c>
      <c r="H47" s="73">
        <f t="shared" si="8"/>
        <v>4.5</v>
      </c>
      <c r="I47" s="73">
        <f t="shared" si="1"/>
        <v>4.2754500000000002</v>
      </c>
      <c r="J47" s="72" t="s">
        <v>86</v>
      </c>
      <c r="K47" s="74"/>
      <c r="M47" s="99"/>
      <c r="N47" s="76" t="e">
        <f t="shared" si="10"/>
        <v>#N/A</v>
      </c>
      <c r="O47" s="76"/>
      <c r="P47" s="100"/>
      <c r="S47" s="50" t="s">
        <v>47</v>
      </c>
      <c r="T47" s="52">
        <v>65</v>
      </c>
      <c r="U47" s="52">
        <f t="shared" si="7"/>
        <v>6.5</v>
      </c>
      <c r="Y47" s="91" t="s">
        <v>176</v>
      </c>
      <c r="Z47" s="92">
        <v>70</v>
      </c>
      <c r="AA47" s="92">
        <f t="shared" si="9"/>
        <v>28</v>
      </c>
    </row>
    <row r="48" spans="1:27" x14ac:dyDescent="0.25">
      <c r="A48" s="95">
        <v>45542</v>
      </c>
      <c r="B48" s="72" t="s">
        <v>576</v>
      </c>
      <c r="C48" s="72" t="s">
        <v>8</v>
      </c>
      <c r="D48" s="72" t="s">
        <v>16</v>
      </c>
      <c r="E48" s="72" t="s">
        <v>56</v>
      </c>
      <c r="F48" s="72">
        <v>1</v>
      </c>
      <c r="G48" s="73">
        <f t="shared" si="6"/>
        <v>80</v>
      </c>
      <c r="H48" s="73">
        <f t="shared" si="8"/>
        <v>80</v>
      </c>
      <c r="I48" s="73">
        <f t="shared" si="1"/>
        <v>76.007999999999996</v>
      </c>
      <c r="J48" s="72" t="s">
        <v>86</v>
      </c>
      <c r="K48" s="74"/>
      <c r="M48" s="99" t="s">
        <v>16</v>
      </c>
      <c r="N48" s="76">
        <f t="shared" si="10"/>
        <v>32</v>
      </c>
      <c r="O48" s="76">
        <f>N48*F48</f>
        <v>32</v>
      </c>
      <c r="P48" s="100" t="s">
        <v>56</v>
      </c>
      <c r="S48" s="50" t="s">
        <v>57</v>
      </c>
      <c r="T48" s="52">
        <v>40</v>
      </c>
      <c r="U48" s="52">
        <f t="shared" si="7"/>
        <v>4</v>
      </c>
      <c r="Y48" s="91" t="s">
        <v>177</v>
      </c>
      <c r="Z48" s="92">
        <v>70</v>
      </c>
      <c r="AA48" s="92">
        <f t="shared" si="9"/>
        <v>28</v>
      </c>
    </row>
    <row r="49" spans="1:27" x14ac:dyDescent="0.25">
      <c r="A49" s="95">
        <v>45542</v>
      </c>
      <c r="B49" s="72" t="s">
        <v>576</v>
      </c>
      <c r="C49" s="72" t="s">
        <v>8</v>
      </c>
      <c r="D49" s="72" t="s">
        <v>33</v>
      </c>
      <c r="E49" s="72" t="s">
        <v>56</v>
      </c>
      <c r="F49" s="72">
        <v>1</v>
      </c>
      <c r="G49" s="73">
        <f t="shared" si="6"/>
        <v>35</v>
      </c>
      <c r="H49" s="73">
        <f t="shared" si="8"/>
        <v>35</v>
      </c>
      <c r="I49" s="73">
        <f t="shared" si="1"/>
        <v>33.253500000000003</v>
      </c>
      <c r="J49" s="72" t="s">
        <v>86</v>
      </c>
      <c r="K49" s="74"/>
      <c r="M49" s="99" t="s">
        <v>33</v>
      </c>
      <c r="N49" s="76">
        <f t="shared" si="10"/>
        <v>3.5</v>
      </c>
      <c r="O49" s="76">
        <f>N49*F49</f>
        <v>3.5</v>
      </c>
      <c r="P49" s="100" t="s">
        <v>56</v>
      </c>
      <c r="S49" s="50" t="s">
        <v>59</v>
      </c>
      <c r="T49" s="52"/>
      <c r="U49" s="52">
        <f t="shared" si="7"/>
        <v>0</v>
      </c>
      <c r="Y49" s="91" t="s">
        <v>180</v>
      </c>
      <c r="Z49" s="92">
        <v>68.326999999999998</v>
      </c>
      <c r="AA49" s="92">
        <f t="shared" si="9"/>
        <v>27.3308</v>
      </c>
    </row>
    <row r="50" spans="1:27" x14ac:dyDescent="0.25">
      <c r="A50" s="95">
        <v>45542</v>
      </c>
      <c r="B50" s="72" t="s">
        <v>576</v>
      </c>
      <c r="C50" s="72" t="s">
        <v>8</v>
      </c>
      <c r="D50" s="72" t="s">
        <v>26</v>
      </c>
      <c r="E50" s="72" t="s">
        <v>56</v>
      </c>
      <c r="F50" s="72">
        <v>1</v>
      </c>
      <c r="G50" s="73">
        <f t="shared" si="6"/>
        <v>35</v>
      </c>
      <c r="H50" s="73">
        <f t="shared" si="8"/>
        <v>35</v>
      </c>
      <c r="I50" s="73">
        <f t="shared" si="1"/>
        <v>33.253500000000003</v>
      </c>
      <c r="J50" s="72" t="s">
        <v>86</v>
      </c>
      <c r="K50" s="74"/>
      <c r="M50" s="99" t="s">
        <v>26</v>
      </c>
      <c r="N50" s="76">
        <f t="shared" si="10"/>
        <v>3.5</v>
      </c>
      <c r="O50" s="76">
        <f>N50*F50</f>
        <v>3.5</v>
      </c>
      <c r="P50" s="100" t="s">
        <v>56</v>
      </c>
      <c r="S50" s="50" t="s">
        <v>160</v>
      </c>
      <c r="T50" s="52">
        <v>12</v>
      </c>
      <c r="U50" s="52">
        <f t="shared" si="7"/>
        <v>1.2000000000000002</v>
      </c>
      <c r="Y50" s="91" t="s">
        <v>181</v>
      </c>
      <c r="Z50" s="92">
        <v>66.507000000000005</v>
      </c>
      <c r="AA50" s="92">
        <f t="shared" si="9"/>
        <v>26.602800000000002</v>
      </c>
    </row>
    <row r="51" spans="1:27" x14ac:dyDescent="0.25">
      <c r="A51" s="95">
        <v>45542</v>
      </c>
      <c r="B51" s="72" t="s">
        <v>775</v>
      </c>
      <c r="C51" s="72" t="s">
        <v>8</v>
      </c>
      <c r="D51" s="72" t="s">
        <v>17</v>
      </c>
      <c r="E51" s="72" t="s">
        <v>82</v>
      </c>
      <c r="F51" s="72">
        <v>1</v>
      </c>
      <c r="G51" s="73">
        <f t="shared" si="6"/>
        <v>50</v>
      </c>
      <c r="H51" s="73">
        <f t="shared" si="8"/>
        <v>50</v>
      </c>
      <c r="I51" s="73">
        <f t="shared" si="1"/>
        <v>50</v>
      </c>
      <c r="J51" s="72" t="s">
        <v>83</v>
      </c>
      <c r="K51" s="74"/>
      <c r="M51" s="72"/>
      <c r="N51" s="76" t="e">
        <f t="shared" si="10"/>
        <v>#N/A</v>
      </c>
      <c r="O51" s="76"/>
      <c r="P51" s="100"/>
      <c r="S51" s="50" t="s">
        <v>162</v>
      </c>
      <c r="T51" s="52">
        <v>8</v>
      </c>
      <c r="U51" s="52">
        <f t="shared" si="7"/>
        <v>0.8</v>
      </c>
      <c r="Y51" s="91" t="s">
        <v>184</v>
      </c>
      <c r="Z51" s="92">
        <v>75</v>
      </c>
      <c r="AA51" s="92">
        <f t="shared" si="9"/>
        <v>30</v>
      </c>
    </row>
    <row r="52" spans="1:27" x14ac:dyDescent="0.25">
      <c r="A52" s="95">
        <v>45542</v>
      </c>
      <c r="B52" s="72" t="s">
        <v>775</v>
      </c>
      <c r="C52" s="72" t="s">
        <v>8</v>
      </c>
      <c r="D52" s="72" t="s">
        <v>24</v>
      </c>
      <c r="E52" s="72" t="s">
        <v>82</v>
      </c>
      <c r="F52" s="72">
        <v>1</v>
      </c>
      <c r="G52" s="73">
        <f t="shared" si="6"/>
        <v>10</v>
      </c>
      <c r="H52" s="73">
        <f t="shared" si="8"/>
        <v>10</v>
      </c>
      <c r="I52" s="73">
        <f t="shared" si="1"/>
        <v>10</v>
      </c>
      <c r="J52" s="72" t="s">
        <v>83</v>
      </c>
      <c r="K52" s="74"/>
      <c r="M52" s="72"/>
      <c r="N52" s="80" t="e">
        <f t="shared" si="10"/>
        <v>#N/A</v>
      </c>
      <c r="O52" s="76"/>
      <c r="P52" s="100"/>
      <c r="Q52" s="106"/>
      <c r="S52" s="50" t="s">
        <v>41</v>
      </c>
      <c r="T52" s="52">
        <v>7</v>
      </c>
      <c r="U52" s="52">
        <f t="shared" si="7"/>
        <v>0.70000000000000007</v>
      </c>
      <c r="Y52" s="91" t="s">
        <v>186</v>
      </c>
      <c r="Z52" s="92">
        <v>75</v>
      </c>
      <c r="AA52" s="92">
        <f t="shared" si="9"/>
        <v>30</v>
      </c>
    </row>
    <row r="53" spans="1:27" x14ac:dyDescent="0.25">
      <c r="A53" s="95">
        <v>45542</v>
      </c>
      <c r="B53" s="72" t="s">
        <v>776</v>
      </c>
      <c r="C53" s="72" t="s">
        <v>8</v>
      </c>
      <c r="D53" s="72" t="s">
        <v>18</v>
      </c>
      <c r="E53" s="72" t="s">
        <v>82</v>
      </c>
      <c r="F53" s="72">
        <v>1</v>
      </c>
      <c r="G53" s="73">
        <f t="shared" si="6"/>
        <v>40</v>
      </c>
      <c r="H53" s="73">
        <f t="shared" si="8"/>
        <v>40</v>
      </c>
      <c r="I53" s="73">
        <f t="shared" si="1"/>
        <v>39.043999999999997</v>
      </c>
      <c r="J53" s="72" t="s">
        <v>78</v>
      </c>
      <c r="K53" s="74"/>
      <c r="M53" s="99"/>
      <c r="N53" s="80" t="e">
        <f t="shared" si="10"/>
        <v>#N/A</v>
      </c>
      <c r="O53" s="76"/>
      <c r="P53" s="100"/>
      <c r="S53" s="50" t="s">
        <v>777</v>
      </c>
      <c r="T53" s="52">
        <v>4</v>
      </c>
      <c r="U53" s="52">
        <f t="shared" si="7"/>
        <v>0.4</v>
      </c>
      <c r="Y53" s="91" t="s">
        <v>187</v>
      </c>
      <c r="Z53" s="92">
        <v>73.207499999999996</v>
      </c>
      <c r="AA53" s="92">
        <f t="shared" si="9"/>
        <v>29.283000000000001</v>
      </c>
    </row>
    <row r="54" spans="1:27" x14ac:dyDescent="0.25">
      <c r="A54" s="95">
        <v>45542</v>
      </c>
      <c r="B54" s="72" t="s">
        <v>516</v>
      </c>
      <c r="C54" s="72" t="s">
        <v>8</v>
      </c>
      <c r="D54" s="72" t="s">
        <v>18</v>
      </c>
      <c r="E54" s="72" t="s">
        <v>82</v>
      </c>
      <c r="F54" s="72">
        <v>1</v>
      </c>
      <c r="G54" s="73">
        <v>35</v>
      </c>
      <c r="H54" s="73">
        <f t="shared" si="8"/>
        <v>35</v>
      </c>
      <c r="I54" s="73">
        <f t="shared" si="1"/>
        <v>34.163499999999999</v>
      </c>
      <c r="J54" s="72" t="s">
        <v>78</v>
      </c>
      <c r="K54" s="74"/>
      <c r="M54" s="99"/>
      <c r="N54" s="80" t="e">
        <f t="shared" si="10"/>
        <v>#N/A</v>
      </c>
      <c r="O54" s="76"/>
      <c r="P54" s="100"/>
      <c r="S54" s="50" t="s">
        <v>778</v>
      </c>
      <c r="T54" s="52">
        <v>2.5</v>
      </c>
      <c r="U54" s="52">
        <f t="shared" si="7"/>
        <v>0.25</v>
      </c>
      <c r="Y54" s="91" t="s">
        <v>188</v>
      </c>
      <c r="Z54" s="92">
        <v>71.257499999999993</v>
      </c>
      <c r="AA54" s="92">
        <f t="shared" si="9"/>
        <v>28.503</v>
      </c>
    </row>
    <row r="55" spans="1:27" x14ac:dyDescent="0.25">
      <c r="A55" s="95">
        <v>45542</v>
      </c>
      <c r="B55" s="72" t="s">
        <v>488</v>
      </c>
      <c r="C55" s="72" t="s">
        <v>8</v>
      </c>
      <c r="D55" s="72" t="s">
        <v>15</v>
      </c>
      <c r="E55" s="72" t="s">
        <v>56</v>
      </c>
      <c r="F55" s="72">
        <v>1</v>
      </c>
      <c r="G55" s="73">
        <f t="shared" ref="G55:G70" si="11">VLOOKUP(D55,$S$3:$T$69,2,0)</f>
        <v>70</v>
      </c>
      <c r="H55" s="73">
        <f t="shared" si="8"/>
        <v>70</v>
      </c>
      <c r="I55" s="73">
        <f t="shared" si="1"/>
        <v>70</v>
      </c>
      <c r="J55" s="72" t="s">
        <v>83</v>
      </c>
      <c r="K55" s="74"/>
      <c r="M55" s="72" t="s">
        <v>15</v>
      </c>
      <c r="N55" s="80">
        <f t="shared" si="10"/>
        <v>28</v>
      </c>
      <c r="O55" s="76">
        <f t="shared" ref="O55:O64" si="12">N55*F55</f>
        <v>28</v>
      </c>
      <c r="P55" s="100" t="s">
        <v>56</v>
      </c>
      <c r="S55" s="50" t="s">
        <v>779</v>
      </c>
      <c r="T55" s="52">
        <v>3</v>
      </c>
      <c r="U55" s="52">
        <f t="shared" si="7"/>
        <v>0.30000000000000004</v>
      </c>
      <c r="Y55" s="91" t="s">
        <v>190</v>
      </c>
      <c r="Z55" s="92">
        <v>55</v>
      </c>
      <c r="AA55" s="92">
        <f t="shared" si="9"/>
        <v>22</v>
      </c>
    </row>
    <row r="56" spans="1:27" x14ac:dyDescent="0.25">
      <c r="A56" s="95">
        <v>45542</v>
      </c>
      <c r="B56" s="72" t="s">
        <v>780</v>
      </c>
      <c r="C56" s="72" t="s">
        <v>8</v>
      </c>
      <c r="D56" s="72" t="s">
        <v>22</v>
      </c>
      <c r="E56" s="72" t="s">
        <v>56</v>
      </c>
      <c r="F56" s="72">
        <v>1</v>
      </c>
      <c r="G56" s="73">
        <f t="shared" si="11"/>
        <v>30</v>
      </c>
      <c r="H56" s="73">
        <f t="shared" si="8"/>
        <v>30</v>
      </c>
      <c r="I56" s="73">
        <f t="shared" si="1"/>
        <v>30</v>
      </c>
      <c r="J56" s="72" t="s">
        <v>83</v>
      </c>
      <c r="K56" s="74"/>
      <c r="M56" s="72" t="s">
        <v>22</v>
      </c>
      <c r="N56" s="80">
        <f t="shared" si="10"/>
        <v>12</v>
      </c>
      <c r="O56" s="76">
        <f t="shared" si="12"/>
        <v>12</v>
      </c>
      <c r="P56" s="100" t="s">
        <v>56</v>
      </c>
      <c r="S56" s="50" t="s">
        <v>774</v>
      </c>
      <c r="T56" s="52">
        <v>4.5</v>
      </c>
      <c r="U56" s="52">
        <f t="shared" si="7"/>
        <v>0.45</v>
      </c>
      <c r="Y56" s="91" t="s">
        <v>192</v>
      </c>
      <c r="Z56" s="92">
        <v>55</v>
      </c>
      <c r="AA56" s="92">
        <f t="shared" si="9"/>
        <v>22</v>
      </c>
    </row>
    <row r="57" spans="1:27" x14ac:dyDescent="0.25">
      <c r="A57" s="95">
        <v>45542</v>
      </c>
      <c r="B57" s="72" t="s">
        <v>780</v>
      </c>
      <c r="C57" s="72" t="s">
        <v>8</v>
      </c>
      <c r="D57" s="72" t="s">
        <v>24</v>
      </c>
      <c r="E57" s="72" t="s">
        <v>56</v>
      </c>
      <c r="F57" s="72">
        <v>1</v>
      </c>
      <c r="G57" s="73">
        <f t="shared" si="11"/>
        <v>10</v>
      </c>
      <c r="H57" s="73">
        <f t="shared" si="8"/>
        <v>10</v>
      </c>
      <c r="I57" s="73">
        <f t="shared" si="1"/>
        <v>10</v>
      </c>
      <c r="J57" s="72" t="s">
        <v>83</v>
      </c>
      <c r="K57" s="74"/>
      <c r="M57" s="72" t="s">
        <v>24</v>
      </c>
      <c r="N57" s="80">
        <f t="shared" si="10"/>
        <v>4</v>
      </c>
      <c r="O57" s="76">
        <f t="shared" si="12"/>
        <v>4</v>
      </c>
      <c r="P57" s="100" t="s">
        <v>56</v>
      </c>
      <c r="S57" s="50" t="s">
        <v>766</v>
      </c>
      <c r="T57" s="52">
        <v>3.5</v>
      </c>
      <c r="U57" s="52">
        <f t="shared" si="7"/>
        <v>0.35000000000000003</v>
      </c>
      <c r="Y57" s="91" t="s">
        <v>193</v>
      </c>
      <c r="Z57" s="92">
        <v>53.685499999999998</v>
      </c>
      <c r="AA57" s="92">
        <f t="shared" si="9"/>
        <v>21.4742</v>
      </c>
    </row>
    <row r="58" spans="1:27" x14ac:dyDescent="0.25">
      <c r="A58" s="95">
        <v>45542</v>
      </c>
      <c r="B58" s="72" t="s">
        <v>725</v>
      </c>
      <c r="C58" s="72" t="s">
        <v>8</v>
      </c>
      <c r="D58" s="72" t="s">
        <v>16</v>
      </c>
      <c r="E58" s="72" t="s">
        <v>56</v>
      </c>
      <c r="F58" s="72">
        <v>1</v>
      </c>
      <c r="G58" s="73">
        <f t="shared" si="11"/>
        <v>80</v>
      </c>
      <c r="H58" s="73">
        <f t="shared" si="8"/>
        <v>80</v>
      </c>
      <c r="I58" s="73">
        <f t="shared" si="1"/>
        <v>76.007999999999996</v>
      </c>
      <c r="J58" s="72" t="s">
        <v>86</v>
      </c>
      <c r="K58" s="74"/>
      <c r="M58" s="99" t="s">
        <v>16</v>
      </c>
      <c r="N58" s="80">
        <f t="shared" si="10"/>
        <v>32</v>
      </c>
      <c r="O58" s="76">
        <f t="shared" si="12"/>
        <v>32</v>
      </c>
      <c r="P58" s="100" t="s">
        <v>56</v>
      </c>
      <c r="S58" s="50" t="s">
        <v>38</v>
      </c>
      <c r="T58" s="52">
        <v>6</v>
      </c>
      <c r="U58" s="52">
        <f t="shared" si="7"/>
        <v>0.60000000000000009</v>
      </c>
      <c r="Y58" s="91" t="s">
        <v>195</v>
      </c>
      <c r="Z58" s="92">
        <v>52.255499999999998</v>
      </c>
      <c r="AA58" s="92">
        <f t="shared" si="9"/>
        <v>20.902200000000001</v>
      </c>
    </row>
    <row r="59" spans="1:27" x14ac:dyDescent="0.25">
      <c r="A59" s="95">
        <v>45542</v>
      </c>
      <c r="B59" s="72" t="s">
        <v>781</v>
      </c>
      <c r="C59" s="72" t="s">
        <v>10</v>
      </c>
      <c r="D59" s="72" t="s">
        <v>15</v>
      </c>
      <c r="E59" s="72" t="s">
        <v>56</v>
      </c>
      <c r="F59" s="72">
        <v>1</v>
      </c>
      <c r="G59" s="73">
        <f t="shared" si="11"/>
        <v>70</v>
      </c>
      <c r="H59" s="73">
        <f t="shared" si="8"/>
        <v>70</v>
      </c>
      <c r="I59" s="73">
        <f t="shared" si="1"/>
        <v>70</v>
      </c>
      <c r="J59" s="72" t="s">
        <v>83</v>
      </c>
      <c r="K59" s="74"/>
      <c r="M59" s="99" t="s">
        <v>15</v>
      </c>
      <c r="N59" s="80">
        <f t="shared" si="10"/>
        <v>28</v>
      </c>
      <c r="O59" s="76">
        <f t="shared" si="12"/>
        <v>28</v>
      </c>
      <c r="P59" s="100" t="s">
        <v>56</v>
      </c>
      <c r="S59" s="50" t="s">
        <v>29</v>
      </c>
      <c r="T59" s="52">
        <v>7</v>
      </c>
      <c r="U59" s="52">
        <f t="shared" si="7"/>
        <v>0.70000000000000007</v>
      </c>
      <c r="Y59" s="91" t="s">
        <v>197</v>
      </c>
      <c r="Z59" s="92">
        <v>100</v>
      </c>
      <c r="AA59" s="92">
        <f t="shared" si="9"/>
        <v>40</v>
      </c>
    </row>
    <row r="60" spans="1:27" x14ac:dyDescent="0.25">
      <c r="A60" s="95">
        <v>45542</v>
      </c>
      <c r="B60" s="72" t="s">
        <v>118</v>
      </c>
      <c r="C60" s="72" t="s">
        <v>8</v>
      </c>
      <c r="D60" s="72" t="s">
        <v>22</v>
      </c>
      <c r="E60" s="72" t="s">
        <v>56</v>
      </c>
      <c r="F60" s="72">
        <v>1</v>
      </c>
      <c r="G60" s="73">
        <f t="shared" si="11"/>
        <v>30</v>
      </c>
      <c r="H60" s="73">
        <f t="shared" si="8"/>
        <v>30</v>
      </c>
      <c r="I60" s="73">
        <f t="shared" si="1"/>
        <v>30</v>
      </c>
      <c r="J60" s="72" t="s">
        <v>83</v>
      </c>
      <c r="K60" s="74"/>
      <c r="M60" s="99" t="s">
        <v>22</v>
      </c>
      <c r="N60" s="80">
        <f t="shared" si="10"/>
        <v>12</v>
      </c>
      <c r="O60" s="76">
        <f t="shared" si="12"/>
        <v>12</v>
      </c>
      <c r="P60" s="100" t="s">
        <v>56</v>
      </c>
      <c r="S60" s="50" t="s">
        <v>170</v>
      </c>
      <c r="T60" s="52">
        <v>5</v>
      </c>
      <c r="U60" s="52">
        <f t="shared" si="7"/>
        <v>0.5</v>
      </c>
      <c r="Y60" s="91" t="s">
        <v>199</v>
      </c>
      <c r="Z60" s="92">
        <v>100</v>
      </c>
      <c r="AA60" s="92">
        <f t="shared" si="9"/>
        <v>40</v>
      </c>
    </row>
    <row r="61" spans="1:27" x14ac:dyDescent="0.25">
      <c r="A61" s="95">
        <v>45542</v>
      </c>
      <c r="B61" s="72" t="s">
        <v>118</v>
      </c>
      <c r="C61" s="72" t="s">
        <v>8</v>
      </c>
      <c r="D61" s="72" t="s">
        <v>13</v>
      </c>
      <c r="E61" s="72" t="s">
        <v>56</v>
      </c>
      <c r="F61" s="72">
        <v>1</v>
      </c>
      <c r="G61" s="73">
        <f t="shared" si="11"/>
        <v>30</v>
      </c>
      <c r="H61" s="73">
        <f t="shared" si="8"/>
        <v>30</v>
      </c>
      <c r="I61" s="73">
        <f t="shared" si="1"/>
        <v>30</v>
      </c>
      <c r="J61" s="72" t="s">
        <v>83</v>
      </c>
      <c r="K61" s="74"/>
      <c r="M61" s="99" t="s">
        <v>13</v>
      </c>
      <c r="N61" s="80">
        <f t="shared" si="10"/>
        <v>12</v>
      </c>
      <c r="O61" s="76">
        <f t="shared" si="12"/>
        <v>12</v>
      </c>
      <c r="P61" s="100" t="s">
        <v>56</v>
      </c>
      <c r="S61" s="50" t="s">
        <v>48</v>
      </c>
      <c r="T61" s="52">
        <v>10</v>
      </c>
      <c r="U61" s="52">
        <f t="shared" si="7"/>
        <v>1</v>
      </c>
      <c r="Y61" s="91" t="s">
        <v>201</v>
      </c>
      <c r="Z61" s="92">
        <v>97.61</v>
      </c>
      <c r="AA61" s="92">
        <f t="shared" si="9"/>
        <v>39.044000000000004</v>
      </c>
    </row>
    <row r="62" spans="1:27" x14ac:dyDescent="0.25">
      <c r="A62" s="95">
        <v>45542</v>
      </c>
      <c r="B62" s="72" t="s">
        <v>118</v>
      </c>
      <c r="C62" s="72" t="s">
        <v>8</v>
      </c>
      <c r="D62" s="72" t="s">
        <v>26</v>
      </c>
      <c r="E62" s="72" t="s">
        <v>56</v>
      </c>
      <c r="F62" s="72">
        <v>1</v>
      </c>
      <c r="G62" s="73">
        <f t="shared" si="11"/>
        <v>35</v>
      </c>
      <c r="H62" s="73">
        <f t="shared" si="8"/>
        <v>35</v>
      </c>
      <c r="I62" s="73">
        <f t="shared" si="1"/>
        <v>35</v>
      </c>
      <c r="J62" s="72" t="s">
        <v>83</v>
      </c>
      <c r="K62" s="74"/>
      <c r="M62" s="99" t="s">
        <v>26</v>
      </c>
      <c r="N62" s="80">
        <f t="shared" si="10"/>
        <v>3.5</v>
      </c>
      <c r="O62" s="76">
        <f t="shared" si="12"/>
        <v>3.5</v>
      </c>
      <c r="P62" s="100" t="s">
        <v>56</v>
      </c>
      <c r="S62" s="50" t="s">
        <v>44</v>
      </c>
      <c r="T62" s="52">
        <v>5</v>
      </c>
      <c r="U62" s="52">
        <f t="shared" si="7"/>
        <v>0.5</v>
      </c>
      <c r="Y62" s="91" t="s">
        <v>203</v>
      </c>
      <c r="Z62" s="92">
        <v>95.01</v>
      </c>
      <c r="AA62" s="92">
        <f t="shared" si="9"/>
        <v>38.004000000000005</v>
      </c>
    </row>
    <row r="63" spans="1:27" x14ac:dyDescent="0.25">
      <c r="A63" s="95">
        <v>45542</v>
      </c>
      <c r="B63" s="72" t="s">
        <v>118</v>
      </c>
      <c r="C63" s="72" t="s">
        <v>8</v>
      </c>
      <c r="D63" s="72" t="s">
        <v>62</v>
      </c>
      <c r="E63" s="72" t="s">
        <v>56</v>
      </c>
      <c r="F63" s="72">
        <v>1</v>
      </c>
      <c r="G63" s="73">
        <f t="shared" si="11"/>
        <v>20</v>
      </c>
      <c r="H63" s="73">
        <f t="shared" si="8"/>
        <v>20</v>
      </c>
      <c r="I63" s="73">
        <f t="shared" si="1"/>
        <v>20</v>
      </c>
      <c r="J63" s="72" t="s">
        <v>83</v>
      </c>
      <c r="K63" s="74"/>
      <c r="M63" s="99" t="s">
        <v>62</v>
      </c>
      <c r="N63" s="80">
        <f t="shared" si="10"/>
        <v>2</v>
      </c>
      <c r="O63" s="76">
        <f t="shared" si="12"/>
        <v>2</v>
      </c>
      <c r="P63" s="100" t="s">
        <v>56</v>
      </c>
      <c r="S63" s="50" t="s">
        <v>37</v>
      </c>
      <c r="T63" s="52">
        <v>7</v>
      </c>
      <c r="U63" s="52">
        <f t="shared" si="7"/>
        <v>0.70000000000000007</v>
      </c>
      <c r="Y63" s="91" t="s">
        <v>205</v>
      </c>
      <c r="Z63" s="92">
        <v>80</v>
      </c>
      <c r="AA63" s="92">
        <f t="shared" si="9"/>
        <v>32</v>
      </c>
    </row>
    <row r="64" spans="1:27" x14ac:dyDescent="0.25">
      <c r="A64" s="95">
        <v>45542</v>
      </c>
      <c r="B64" s="72" t="s">
        <v>204</v>
      </c>
      <c r="C64" s="72" t="s">
        <v>8</v>
      </c>
      <c r="D64" s="72" t="s">
        <v>17</v>
      </c>
      <c r="E64" s="72" t="s">
        <v>56</v>
      </c>
      <c r="F64" s="72">
        <v>1</v>
      </c>
      <c r="G64" s="73">
        <f t="shared" si="11"/>
        <v>50</v>
      </c>
      <c r="H64" s="73">
        <f t="shared" si="8"/>
        <v>50</v>
      </c>
      <c r="I64" s="73">
        <f t="shared" si="1"/>
        <v>50</v>
      </c>
      <c r="J64" s="72" t="s">
        <v>79</v>
      </c>
      <c r="K64" s="74"/>
      <c r="M64" s="99" t="s">
        <v>17</v>
      </c>
      <c r="N64" s="80">
        <f t="shared" si="10"/>
        <v>20</v>
      </c>
      <c r="O64" s="76">
        <f t="shared" si="12"/>
        <v>20</v>
      </c>
      <c r="P64" s="100" t="s">
        <v>56</v>
      </c>
      <c r="Q64" s="106">
        <f>SUM(O3:O64)</f>
        <v>458</v>
      </c>
      <c r="S64" s="50" t="s">
        <v>179</v>
      </c>
      <c r="T64" s="52">
        <v>3.5</v>
      </c>
      <c r="U64" s="52">
        <f t="shared" si="7"/>
        <v>0.35000000000000003</v>
      </c>
      <c r="Y64" s="91" t="s">
        <v>207</v>
      </c>
      <c r="Z64" s="92">
        <v>80</v>
      </c>
      <c r="AA64" s="92">
        <f t="shared" si="9"/>
        <v>32</v>
      </c>
    </row>
    <row r="65" spans="1:27" x14ac:dyDescent="0.25">
      <c r="A65" s="95">
        <v>45542</v>
      </c>
      <c r="B65" s="72" t="s">
        <v>782</v>
      </c>
      <c r="C65" s="72" t="s">
        <v>8</v>
      </c>
      <c r="D65" s="72" t="s">
        <v>18</v>
      </c>
      <c r="E65" s="72" t="s">
        <v>82</v>
      </c>
      <c r="F65" s="72">
        <v>1</v>
      </c>
      <c r="G65" s="73">
        <f t="shared" si="11"/>
        <v>40</v>
      </c>
      <c r="H65" s="73">
        <f t="shared" si="8"/>
        <v>40</v>
      </c>
      <c r="I65" s="73">
        <f t="shared" si="1"/>
        <v>40</v>
      </c>
      <c r="J65" s="72" t="s">
        <v>83</v>
      </c>
      <c r="K65" s="74"/>
      <c r="M65" s="99"/>
      <c r="N65" s="80" t="e">
        <f t="shared" si="10"/>
        <v>#N/A</v>
      </c>
      <c r="O65" s="76"/>
      <c r="P65" s="100"/>
      <c r="S65" s="50" t="s">
        <v>46</v>
      </c>
      <c r="T65" s="52">
        <v>5</v>
      </c>
      <c r="U65" s="52">
        <f t="shared" si="7"/>
        <v>0.5</v>
      </c>
      <c r="Y65" s="91" t="s">
        <v>208</v>
      </c>
      <c r="Z65" s="92">
        <v>78.087999999999994</v>
      </c>
      <c r="AA65" s="92">
        <f t="shared" si="9"/>
        <v>31.235199999999999</v>
      </c>
    </row>
    <row r="66" spans="1:27" x14ac:dyDescent="0.25">
      <c r="A66" s="95">
        <v>45542</v>
      </c>
      <c r="B66" s="72" t="s">
        <v>616</v>
      </c>
      <c r="C66" s="72" t="s">
        <v>8</v>
      </c>
      <c r="D66" s="72" t="s">
        <v>17</v>
      </c>
      <c r="E66" s="72" t="s">
        <v>82</v>
      </c>
      <c r="F66" s="72">
        <v>1</v>
      </c>
      <c r="G66" s="73">
        <f t="shared" si="11"/>
        <v>50</v>
      </c>
      <c r="H66" s="73">
        <f t="shared" si="8"/>
        <v>50</v>
      </c>
      <c r="I66" s="73">
        <f t="shared" si="1"/>
        <v>50</v>
      </c>
      <c r="J66" s="72" t="s">
        <v>83</v>
      </c>
      <c r="K66" s="74"/>
      <c r="M66" s="99"/>
      <c r="N66" s="80" t="e">
        <f t="shared" si="10"/>
        <v>#N/A</v>
      </c>
      <c r="O66" s="76"/>
      <c r="P66" s="100"/>
      <c r="S66" s="50" t="s">
        <v>183</v>
      </c>
      <c r="T66" s="52">
        <v>7</v>
      </c>
      <c r="U66" s="52">
        <f t="shared" si="7"/>
        <v>0.70000000000000007</v>
      </c>
      <c r="Y66" s="91" t="s">
        <v>209</v>
      </c>
      <c r="Z66" s="92">
        <v>76.007999999999996</v>
      </c>
      <c r="AA66" s="92">
        <f t="shared" si="9"/>
        <v>30.403199999999998</v>
      </c>
    </row>
    <row r="67" spans="1:27" x14ac:dyDescent="0.25">
      <c r="A67" s="95">
        <v>45542</v>
      </c>
      <c r="B67" s="72" t="s">
        <v>702</v>
      </c>
      <c r="C67" s="72" t="s">
        <v>8</v>
      </c>
      <c r="D67" s="72" t="s">
        <v>15</v>
      </c>
      <c r="E67" s="72" t="s">
        <v>82</v>
      </c>
      <c r="F67" s="72">
        <v>1</v>
      </c>
      <c r="G67" s="73">
        <f t="shared" si="11"/>
        <v>70</v>
      </c>
      <c r="H67" s="73">
        <f t="shared" ref="H67:H86" si="13">F67*G67</f>
        <v>70</v>
      </c>
      <c r="I67" s="73">
        <f t="shared" ref="I67:I130" si="14">IF(J67="Cartão de Debito",H67-(H67*$AC$5),IF(J67="Cartão de Credito",H67-(H67*$AC$6), IF(J67="Pix",H67-(H67*$AC$7), IF(J67="Dinheiro (R$)", H67-(H67*$AC$8)))))</f>
        <v>70</v>
      </c>
      <c r="J67" s="72" t="s">
        <v>83</v>
      </c>
      <c r="K67" s="74"/>
      <c r="M67" s="99"/>
      <c r="N67" s="80" t="e">
        <f t="shared" si="10"/>
        <v>#N/A</v>
      </c>
      <c r="O67" s="76"/>
      <c r="P67" s="100"/>
      <c r="S67" s="50" t="s">
        <v>35</v>
      </c>
      <c r="T67" s="52">
        <v>7</v>
      </c>
      <c r="U67" s="52">
        <f t="shared" si="7"/>
        <v>0.70000000000000007</v>
      </c>
      <c r="Y67" s="91" t="s">
        <v>211</v>
      </c>
      <c r="Z67" s="92">
        <v>130</v>
      </c>
      <c r="AA67" s="92">
        <f t="shared" ref="AA67:AA74" si="15">Z67*0.4</f>
        <v>52</v>
      </c>
    </row>
    <row r="68" spans="1:27" x14ac:dyDescent="0.25">
      <c r="A68" s="95">
        <v>45542</v>
      </c>
      <c r="B68" s="72" t="s">
        <v>708</v>
      </c>
      <c r="C68" s="72" t="s">
        <v>8</v>
      </c>
      <c r="D68" s="72" t="s">
        <v>40</v>
      </c>
      <c r="E68" s="72" t="s">
        <v>82</v>
      </c>
      <c r="F68" s="72">
        <v>1</v>
      </c>
      <c r="G68" s="73">
        <f t="shared" si="11"/>
        <v>45</v>
      </c>
      <c r="H68" s="73">
        <f t="shared" si="13"/>
        <v>45</v>
      </c>
      <c r="I68" s="73">
        <f t="shared" si="14"/>
        <v>45</v>
      </c>
      <c r="J68" s="72" t="s">
        <v>83</v>
      </c>
      <c r="K68" s="74"/>
      <c r="M68" s="99"/>
      <c r="N68" s="80" t="e">
        <f t="shared" si="10"/>
        <v>#N/A</v>
      </c>
      <c r="O68" s="76"/>
      <c r="P68" s="100"/>
      <c r="S68" s="50" t="s">
        <v>155</v>
      </c>
      <c r="T68" s="52">
        <v>3.5</v>
      </c>
      <c r="U68" s="52">
        <f t="shared" si="7"/>
        <v>0.35000000000000003</v>
      </c>
      <c r="Y68" s="91" t="s">
        <v>213</v>
      </c>
      <c r="Z68" s="92">
        <v>130</v>
      </c>
      <c r="AA68" s="92">
        <f t="shared" si="15"/>
        <v>52</v>
      </c>
    </row>
    <row r="69" spans="1:27" x14ac:dyDescent="0.25">
      <c r="A69" s="95">
        <v>45542</v>
      </c>
      <c r="B69" s="72" t="s">
        <v>551</v>
      </c>
      <c r="C69" s="72" t="s">
        <v>8</v>
      </c>
      <c r="D69" s="72" t="s">
        <v>18</v>
      </c>
      <c r="E69" s="72" t="s">
        <v>82</v>
      </c>
      <c r="F69" s="72">
        <v>1</v>
      </c>
      <c r="G69" s="73">
        <f t="shared" si="11"/>
        <v>40</v>
      </c>
      <c r="H69" s="73">
        <f t="shared" si="13"/>
        <v>40</v>
      </c>
      <c r="I69" s="73">
        <f t="shared" si="14"/>
        <v>40</v>
      </c>
      <c r="J69" s="72" t="s">
        <v>79</v>
      </c>
      <c r="K69" s="74"/>
      <c r="M69" s="99"/>
      <c r="N69" s="80" t="e">
        <f t="shared" si="10"/>
        <v>#N/A</v>
      </c>
      <c r="O69" s="76"/>
      <c r="P69" s="100"/>
      <c r="S69" s="50" t="s">
        <v>45</v>
      </c>
      <c r="T69" s="52">
        <v>3.5</v>
      </c>
      <c r="U69" s="52">
        <f t="shared" si="7"/>
        <v>0.35000000000000003</v>
      </c>
      <c r="Y69" s="91" t="s">
        <v>214</v>
      </c>
      <c r="Z69" s="92">
        <v>126.893</v>
      </c>
      <c r="AA69" s="92">
        <f t="shared" si="15"/>
        <v>50.757200000000005</v>
      </c>
    </row>
    <row r="70" spans="1:27" x14ac:dyDescent="0.25">
      <c r="A70" s="95">
        <v>45542</v>
      </c>
      <c r="B70" s="72" t="s">
        <v>783</v>
      </c>
      <c r="C70" s="72" t="s">
        <v>8</v>
      </c>
      <c r="D70" s="72" t="s">
        <v>18</v>
      </c>
      <c r="E70" s="72" t="s">
        <v>82</v>
      </c>
      <c r="F70" s="72">
        <v>1</v>
      </c>
      <c r="G70" s="73">
        <f t="shared" si="11"/>
        <v>40</v>
      </c>
      <c r="H70" s="73">
        <f t="shared" si="13"/>
        <v>40</v>
      </c>
      <c r="I70" s="73">
        <f t="shared" si="14"/>
        <v>39.043999999999997</v>
      </c>
      <c r="J70" s="72" t="s">
        <v>78</v>
      </c>
      <c r="K70" s="74"/>
      <c r="M70" s="99"/>
      <c r="N70" s="80" t="e">
        <f t="shared" si="10"/>
        <v>#N/A</v>
      </c>
      <c r="O70" s="76"/>
      <c r="P70" s="100"/>
      <c r="Y70" s="91" t="s">
        <v>208</v>
      </c>
      <c r="Z70" s="92">
        <v>78.087999999999994</v>
      </c>
      <c r="AA70" s="92">
        <f t="shared" si="15"/>
        <v>31.235199999999999</v>
      </c>
    </row>
    <row r="71" spans="1:27" x14ac:dyDescent="0.25">
      <c r="A71" s="95">
        <v>45542</v>
      </c>
      <c r="B71" s="72" t="s">
        <v>783</v>
      </c>
      <c r="C71" s="72" t="s">
        <v>8</v>
      </c>
      <c r="D71" s="72" t="s">
        <v>64</v>
      </c>
      <c r="E71" s="72" t="s">
        <v>82</v>
      </c>
      <c r="F71" s="72">
        <v>1</v>
      </c>
      <c r="G71" s="73">
        <v>35</v>
      </c>
      <c r="H71" s="73">
        <f t="shared" si="13"/>
        <v>35</v>
      </c>
      <c r="I71" s="73">
        <f t="shared" si="14"/>
        <v>34.163499999999999</v>
      </c>
      <c r="J71" s="72" t="s">
        <v>78</v>
      </c>
      <c r="K71" s="74"/>
      <c r="M71" s="99"/>
      <c r="N71" s="80" t="e">
        <f t="shared" si="10"/>
        <v>#N/A</v>
      </c>
      <c r="O71" s="76"/>
      <c r="P71" s="100"/>
      <c r="Y71" s="91" t="s">
        <v>219</v>
      </c>
      <c r="Z71" s="92">
        <v>90</v>
      </c>
      <c r="AA71" s="92">
        <f t="shared" si="15"/>
        <v>36</v>
      </c>
    </row>
    <row r="72" spans="1:27" x14ac:dyDescent="0.25">
      <c r="A72" s="95">
        <v>45542</v>
      </c>
      <c r="B72" s="72" t="s">
        <v>194</v>
      </c>
      <c r="C72" s="72" t="s">
        <v>8</v>
      </c>
      <c r="D72" s="72" t="s">
        <v>17</v>
      </c>
      <c r="E72" s="72" t="s">
        <v>82</v>
      </c>
      <c r="F72" s="72">
        <v>1</v>
      </c>
      <c r="G72" s="73">
        <f t="shared" ref="G72:G88" si="16">VLOOKUP(D72,$S$3:$T$69,2,0)</f>
        <v>50</v>
      </c>
      <c r="H72" s="73">
        <f t="shared" si="13"/>
        <v>50</v>
      </c>
      <c r="I72" s="73">
        <f t="shared" si="14"/>
        <v>50</v>
      </c>
      <c r="J72" s="72" t="s">
        <v>83</v>
      </c>
      <c r="K72" s="74"/>
      <c r="M72" s="99"/>
      <c r="N72" s="80" t="e">
        <f t="shared" si="10"/>
        <v>#N/A</v>
      </c>
      <c r="O72" s="76"/>
      <c r="P72" s="100"/>
      <c r="Y72" s="91" t="s">
        <v>221</v>
      </c>
      <c r="Z72" s="92">
        <v>90</v>
      </c>
      <c r="AA72" s="92">
        <f t="shared" si="15"/>
        <v>36</v>
      </c>
    </row>
    <row r="73" spans="1:27" x14ac:dyDescent="0.25">
      <c r="A73" s="95">
        <v>45545</v>
      </c>
      <c r="B73" s="72" t="s">
        <v>204</v>
      </c>
      <c r="C73" s="72" t="s">
        <v>9</v>
      </c>
      <c r="D73" s="72" t="s">
        <v>17</v>
      </c>
      <c r="E73" s="72" t="s">
        <v>56</v>
      </c>
      <c r="F73" s="72">
        <v>1</v>
      </c>
      <c r="G73" s="73">
        <f t="shared" si="16"/>
        <v>50</v>
      </c>
      <c r="H73" s="73">
        <f t="shared" si="13"/>
        <v>50</v>
      </c>
      <c r="I73" s="73">
        <f t="shared" si="14"/>
        <v>48.805</v>
      </c>
      <c r="J73" s="72" t="s">
        <v>78</v>
      </c>
      <c r="K73" s="74"/>
      <c r="M73" s="99" t="s">
        <v>17</v>
      </c>
      <c r="N73" s="80">
        <f t="shared" si="10"/>
        <v>20</v>
      </c>
      <c r="O73" s="76">
        <f>N73*F73</f>
        <v>20</v>
      </c>
      <c r="P73" s="100" t="s">
        <v>56</v>
      </c>
      <c r="Y73" s="91" t="s">
        <v>222</v>
      </c>
      <c r="Z73" s="92">
        <v>87.849000000000004</v>
      </c>
      <c r="AA73" s="92">
        <f t="shared" si="15"/>
        <v>35.139600000000002</v>
      </c>
    </row>
    <row r="74" spans="1:27" x14ac:dyDescent="0.25">
      <c r="A74" s="95">
        <v>45545</v>
      </c>
      <c r="B74" s="72" t="s">
        <v>784</v>
      </c>
      <c r="C74" s="72" t="s">
        <v>8</v>
      </c>
      <c r="D74" s="72" t="s">
        <v>19</v>
      </c>
      <c r="E74" s="72" t="s">
        <v>56</v>
      </c>
      <c r="F74" s="72">
        <v>1</v>
      </c>
      <c r="G74" s="73">
        <f t="shared" si="16"/>
        <v>40</v>
      </c>
      <c r="H74" s="73">
        <f t="shared" si="13"/>
        <v>40</v>
      </c>
      <c r="I74" s="73">
        <f t="shared" si="14"/>
        <v>38.003999999999998</v>
      </c>
      <c r="J74" s="72" t="s">
        <v>86</v>
      </c>
      <c r="K74" s="74" t="s">
        <v>785</v>
      </c>
      <c r="M74" s="99" t="s">
        <v>19</v>
      </c>
      <c r="N74" s="80">
        <f t="shared" si="10"/>
        <v>16</v>
      </c>
      <c r="O74" s="76">
        <f>N74*F74</f>
        <v>16</v>
      </c>
      <c r="P74" s="100" t="s">
        <v>56</v>
      </c>
      <c r="Y74" s="91" t="s">
        <v>224</v>
      </c>
      <c r="Z74" s="92">
        <v>85.509</v>
      </c>
      <c r="AA74" s="92">
        <f t="shared" si="15"/>
        <v>34.203600000000002</v>
      </c>
    </row>
    <row r="75" spans="1:27" x14ac:dyDescent="0.25">
      <c r="A75" s="95">
        <v>45545</v>
      </c>
      <c r="B75" s="72" t="s">
        <v>561</v>
      </c>
      <c r="C75" s="72" t="s">
        <v>8</v>
      </c>
      <c r="D75" s="72" t="s">
        <v>18</v>
      </c>
      <c r="E75" s="72" t="s">
        <v>82</v>
      </c>
      <c r="F75" s="72">
        <v>1</v>
      </c>
      <c r="G75" s="73">
        <f t="shared" si="16"/>
        <v>40</v>
      </c>
      <c r="H75" s="73">
        <f t="shared" si="13"/>
        <v>40</v>
      </c>
      <c r="I75" s="73">
        <f t="shared" si="14"/>
        <v>40</v>
      </c>
      <c r="J75" s="72" t="s">
        <v>83</v>
      </c>
      <c r="K75" s="74"/>
      <c r="M75" s="99"/>
      <c r="N75" s="80" t="e">
        <f t="shared" si="10"/>
        <v>#N/A</v>
      </c>
      <c r="O75" s="76"/>
      <c r="P75" s="100"/>
      <c r="Y75" s="91" t="s">
        <v>226</v>
      </c>
      <c r="Z75" s="92">
        <v>30</v>
      </c>
      <c r="AA75" s="92">
        <f t="shared" ref="AA75:AA118" si="17">Z75*0.1</f>
        <v>3</v>
      </c>
    </row>
    <row r="76" spans="1:27" x14ac:dyDescent="0.25">
      <c r="A76" s="95">
        <v>45545</v>
      </c>
      <c r="B76" s="72" t="s">
        <v>118</v>
      </c>
      <c r="C76" s="72" t="s">
        <v>8</v>
      </c>
      <c r="D76" s="72" t="s">
        <v>18</v>
      </c>
      <c r="E76" s="72" t="s">
        <v>82</v>
      </c>
      <c r="F76" s="72">
        <v>1</v>
      </c>
      <c r="G76" s="73">
        <f t="shared" si="16"/>
        <v>40</v>
      </c>
      <c r="H76" s="73">
        <f t="shared" si="13"/>
        <v>40</v>
      </c>
      <c r="I76" s="73">
        <f t="shared" si="14"/>
        <v>40</v>
      </c>
      <c r="J76" s="72" t="s">
        <v>83</v>
      </c>
      <c r="K76" s="74"/>
      <c r="M76" s="99"/>
      <c r="N76" s="80" t="e">
        <f t="shared" si="10"/>
        <v>#N/A</v>
      </c>
      <c r="O76" s="76"/>
      <c r="P76" s="100"/>
      <c r="Y76" s="91" t="s">
        <v>228</v>
      </c>
      <c r="Z76" s="92">
        <v>30</v>
      </c>
      <c r="AA76" s="92">
        <f t="shared" si="17"/>
        <v>3</v>
      </c>
    </row>
    <row r="77" spans="1:27" x14ac:dyDescent="0.25">
      <c r="A77" s="95">
        <v>45545</v>
      </c>
      <c r="B77" s="72" t="s">
        <v>204</v>
      </c>
      <c r="C77" s="72" t="s">
        <v>8</v>
      </c>
      <c r="D77" s="72" t="s">
        <v>18</v>
      </c>
      <c r="E77" s="72" t="s">
        <v>82</v>
      </c>
      <c r="F77" s="72">
        <v>1</v>
      </c>
      <c r="G77" s="73">
        <f t="shared" si="16"/>
        <v>40</v>
      </c>
      <c r="H77" s="73">
        <f t="shared" si="13"/>
        <v>40</v>
      </c>
      <c r="I77" s="73">
        <f t="shared" si="14"/>
        <v>38.003999999999998</v>
      </c>
      <c r="J77" s="72" t="s">
        <v>86</v>
      </c>
      <c r="K77" s="74"/>
      <c r="M77" s="99"/>
      <c r="N77" s="80" t="e">
        <f t="shared" si="10"/>
        <v>#N/A</v>
      </c>
      <c r="O77" s="76"/>
      <c r="P77" s="100"/>
      <c r="Y77" s="91" t="s">
        <v>230</v>
      </c>
      <c r="Z77" s="92">
        <v>29.283000000000001</v>
      </c>
      <c r="AA77" s="92">
        <f t="shared" si="17"/>
        <v>2.9283000000000001</v>
      </c>
    </row>
    <row r="78" spans="1:27" x14ac:dyDescent="0.25">
      <c r="A78" s="95">
        <v>45545</v>
      </c>
      <c r="B78" s="72" t="s">
        <v>244</v>
      </c>
      <c r="C78" s="72" t="s">
        <v>8</v>
      </c>
      <c r="D78" s="72" t="s">
        <v>22</v>
      </c>
      <c r="E78" s="72" t="s">
        <v>82</v>
      </c>
      <c r="F78" s="72">
        <v>1</v>
      </c>
      <c r="G78" s="73">
        <f t="shared" si="16"/>
        <v>30</v>
      </c>
      <c r="H78" s="73">
        <f t="shared" si="13"/>
        <v>30</v>
      </c>
      <c r="I78" s="73">
        <f t="shared" si="14"/>
        <v>30</v>
      </c>
      <c r="J78" s="72" t="s">
        <v>83</v>
      </c>
      <c r="K78" s="74"/>
      <c r="M78" s="99"/>
      <c r="N78" s="80" t="e">
        <f t="shared" ref="N78:N109" si="18">VLOOKUP(M78,$S$3:$U$69,3,0)</f>
        <v>#N/A</v>
      </c>
      <c r="O78" s="76"/>
      <c r="P78" s="100"/>
      <c r="Y78" s="91" t="s">
        <v>231</v>
      </c>
      <c r="Z78" s="92">
        <v>28.503</v>
      </c>
      <c r="AA78" s="92">
        <f t="shared" si="17"/>
        <v>2.8503000000000003</v>
      </c>
    </row>
    <row r="79" spans="1:27" x14ac:dyDescent="0.25">
      <c r="A79" s="95">
        <v>45545</v>
      </c>
      <c r="B79" s="72" t="s">
        <v>538</v>
      </c>
      <c r="C79" s="72" t="s">
        <v>8</v>
      </c>
      <c r="D79" s="72" t="s">
        <v>40</v>
      </c>
      <c r="E79" s="72" t="s">
        <v>82</v>
      </c>
      <c r="F79" s="72">
        <v>1</v>
      </c>
      <c r="G79" s="73">
        <f t="shared" si="16"/>
        <v>45</v>
      </c>
      <c r="H79" s="73">
        <f t="shared" si="13"/>
        <v>45</v>
      </c>
      <c r="I79" s="73">
        <f t="shared" si="14"/>
        <v>45</v>
      </c>
      <c r="J79" s="72" t="s">
        <v>79</v>
      </c>
      <c r="K79" s="74"/>
      <c r="M79" s="99"/>
      <c r="N79" s="80" t="e">
        <f t="shared" si="18"/>
        <v>#N/A</v>
      </c>
      <c r="O79" s="76"/>
      <c r="P79" s="100"/>
      <c r="Q79" s="106"/>
      <c r="Y79" s="91" t="s">
        <v>232</v>
      </c>
      <c r="Z79" s="92">
        <v>30</v>
      </c>
      <c r="AA79" s="92">
        <f t="shared" si="17"/>
        <v>3</v>
      </c>
    </row>
    <row r="80" spans="1:27" x14ac:dyDescent="0.25">
      <c r="A80" s="95">
        <v>45545</v>
      </c>
      <c r="B80" s="72" t="s">
        <v>538</v>
      </c>
      <c r="C80" s="72" t="s">
        <v>8</v>
      </c>
      <c r="D80" s="72" t="s">
        <v>774</v>
      </c>
      <c r="E80" s="72" t="s">
        <v>82</v>
      </c>
      <c r="F80" s="72">
        <v>1</v>
      </c>
      <c r="G80" s="73">
        <f t="shared" si="16"/>
        <v>4.5</v>
      </c>
      <c r="H80" s="73">
        <f t="shared" si="13"/>
        <v>4.5</v>
      </c>
      <c r="I80" s="73">
        <f t="shared" si="14"/>
        <v>4.5</v>
      </c>
      <c r="J80" s="72" t="s">
        <v>79</v>
      </c>
      <c r="K80" s="74"/>
      <c r="M80" s="99"/>
      <c r="N80" s="80" t="e">
        <f t="shared" si="18"/>
        <v>#N/A</v>
      </c>
      <c r="O80" s="76"/>
      <c r="P80" s="100"/>
      <c r="Y80" s="91" t="s">
        <v>234</v>
      </c>
      <c r="Z80" s="92">
        <v>30</v>
      </c>
      <c r="AA80" s="92">
        <f t="shared" si="17"/>
        <v>3</v>
      </c>
    </row>
    <row r="81" spans="1:27" x14ac:dyDescent="0.25">
      <c r="A81" s="95">
        <v>45545</v>
      </c>
      <c r="B81" s="72" t="s">
        <v>564</v>
      </c>
      <c r="C81" s="72" t="s">
        <v>8</v>
      </c>
      <c r="D81" s="72" t="s">
        <v>18</v>
      </c>
      <c r="E81" s="72" t="s">
        <v>82</v>
      </c>
      <c r="F81" s="72">
        <v>1</v>
      </c>
      <c r="G81" s="73">
        <f t="shared" si="16"/>
        <v>40</v>
      </c>
      <c r="H81" s="73">
        <f t="shared" si="13"/>
        <v>40</v>
      </c>
      <c r="I81" s="73">
        <f t="shared" si="14"/>
        <v>40</v>
      </c>
      <c r="J81" s="72" t="s">
        <v>79</v>
      </c>
      <c r="K81" s="74"/>
      <c r="M81" s="99"/>
      <c r="N81" s="80" t="e">
        <f t="shared" si="18"/>
        <v>#N/A</v>
      </c>
      <c r="O81" s="76"/>
      <c r="P81" s="100"/>
      <c r="Y81" s="91" t="s">
        <v>235</v>
      </c>
      <c r="Z81" s="92">
        <v>29.283000000000001</v>
      </c>
      <c r="AA81" s="92">
        <f t="shared" si="17"/>
        <v>2.9283000000000001</v>
      </c>
    </row>
    <row r="82" spans="1:27" x14ac:dyDescent="0.25">
      <c r="A82" s="95">
        <v>45545</v>
      </c>
      <c r="B82" s="72" t="s">
        <v>559</v>
      </c>
      <c r="C82" s="72" t="s">
        <v>8</v>
      </c>
      <c r="D82" s="72" t="s">
        <v>18</v>
      </c>
      <c r="E82" s="72" t="s">
        <v>82</v>
      </c>
      <c r="F82" s="72">
        <v>1</v>
      </c>
      <c r="G82" s="73">
        <f t="shared" si="16"/>
        <v>40</v>
      </c>
      <c r="H82" s="73">
        <f t="shared" si="13"/>
        <v>40</v>
      </c>
      <c r="I82" s="73">
        <f t="shared" si="14"/>
        <v>39.043999999999997</v>
      </c>
      <c r="J82" s="72" t="s">
        <v>78</v>
      </c>
      <c r="K82" s="74"/>
      <c r="M82" s="99"/>
      <c r="N82" s="80" t="e">
        <f t="shared" si="18"/>
        <v>#N/A</v>
      </c>
      <c r="O82" s="76"/>
      <c r="P82" s="100"/>
      <c r="Y82" s="91" t="s">
        <v>237</v>
      </c>
      <c r="Z82" s="92">
        <v>28.503</v>
      </c>
      <c r="AA82" s="92">
        <f t="shared" si="17"/>
        <v>2.8503000000000003</v>
      </c>
    </row>
    <row r="83" spans="1:27" x14ac:dyDescent="0.25">
      <c r="A83" s="95">
        <v>45545</v>
      </c>
      <c r="B83" s="72" t="s">
        <v>547</v>
      </c>
      <c r="C83" s="72" t="s">
        <v>8</v>
      </c>
      <c r="D83" s="72" t="s">
        <v>18</v>
      </c>
      <c r="E83" s="72" t="s">
        <v>82</v>
      </c>
      <c r="F83" s="72">
        <v>1</v>
      </c>
      <c r="G83" s="73">
        <f t="shared" si="16"/>
        <v>40</v>
      </c>
      <c r="H83" s="73">
        <f t="shared" si="13"/>
        <v>40</v>
      </c>
      <c r="I83" s="73">
        <f t="shared" si="14"/>
        <v>40</v>
      </c>
      <c r="J83" s="72" t="s">
        <v>79</v>
      </c>
      <c r="K83" s="74"/>
      <c r="M83" s="99"/>
      <c r="N83" s="80" t="e">
        <f t="shared" si="18"/>
        <v>#N/A</v>
      </c>
      <c r="O83" s="76"/>
      <c r="P83" s="100"/>
      <c r="Y83" s="91" t="s">
        <v>239</v>
      </c>
      <c r="Z83" s="92">
        <v>30</v>
      </c>
      <c r="AA83" s="92">
        <f t="shared" si="17"/>
        <v>3</v>
      </c>
    </row>
    <row r="84" spans="1:27" x14ac:dyDescent="0.25">
      <c r="A84" s="95">
        <v>45546</v>
      </c>
      <c r="B84" s="72" t="s">
        <v>786</v>
      </c>
      <c r="C84" s="72" t="s">
        <v>10</v>
      </c>
      <c r="D84" s="72" t="s">
        <v>18</v>
      </c>
      <c r="E84" s="72" t="s">
        <v>56</v>
      </c>
      <c r="F84" s="72">
        <v>1</v>
      </c>
      <c r="G84" s="73">
        <f t="shared" si="16"/>
        <v>40</v>
      </c>
      <c r="H84" s="73">
        <f t="shared" si="13"/>
        <v>40</v>
      </c>
      <c r="I84" s="73">
        <f t="shared" si="14"/>
        <v>39.043999999999997</v>
      </c>
      <c r="J84" s="72" t="s">
        <v>78</v>
      </c>
      <c r="K84" s="74"/>
      <c r="M84" s="99" t="s">
        <v>18</v>
      </c>
      <c r="N84" s="80">
        <f t="shared" si="18"/>
        <v>16</v>
      </c>
      <c r="O84" s="76">
        <f>N84*F84</f>
        <v>16</v>
      </c>
      <c r="P84" s="100" t="s">
        <v>56</v>
      </c>
      <c r="Y84" s="91" t="s">
        <v>241</v>
      </c>
      <c r="Z84" s="92">
        <v>30</v>
      </c>
      <c r="AA84" s="92">
        <f t="shared" si="17"/>
        <v>3</v>
      </c>
    </row>
    <row r="85" spans="1:27" x14ac:dyDescent="0.25">
      <c r="A85" s="95">
        <v>45546</v>
      </c>
      <c r="B85" s="72" t="s">
        <v>344</v>
      </c>
      <c r="C85" s="72" t="s">
        <v>8</v>
      </c>
      <c r="D85" s="72" t="s">
        <v>15</v>
      </c>
      <c r="E85" s="72" t="s">
        <v>56</v>
      </c>
      <c r="F85" s="72">
        <v>1</v>
      </c>
      <c r="G85" s="73">
        <f t="shared" si="16"/>
        <v>70</v>
      </c>
      <c r="H85" s="73">
        <f t="shared" si="13"/>
        <v>70</v>
      </c>
      <c r="I85" s="73">
        <f t="shared" si="14"/>
        <v>70</v>
      </c>
      <c r="J85" s="72" t="s">
        <v>83</v>
      </c>
      <c r="K85" s="74"/>
      <c r="M85" s="99" t="s">
        <v>15</v>
      </c>
      <c r="N85" s="80">
        <f t="shared" si="18"/>
        <v>28</v>
      </c>
      <c r="O85" s="76">
        <f>N85*F85</f>
        <v>28</v>
      </c>
      <c r="P85" s="100" t="s">
        <v>56</v>
      </c>
      <c r="Y85" s="91" t="s">
        <v>242</v>
      </c>
      <c r="Z85" s="92">
        <v>29.283000000000001</v>
      </c>
      <c r="AA85" s="92">
        <f t="shared" si="17"/>
        <v>2.9283000000000001</v>
      </c>
    </row>
    <row r="86" spans="1:27" x14ac:dyDescent="0.25">
      <c r="A86" s="95">
        <v>45546</v>
      </c>
      <c r="B86" s="72" t="s">
        <v>787</v>
      </c>
      <c r="C86" s="72" t="s">
        <v>10</v>
      </c>
      <c r="D86" s="72" t="s">
        <v>15</v>
      </c>
      <c r="E86" s="72" t="s">
        <v>56</v>
      </c>
      <c r="F86" s="72">
        <v>1</v>
      </c>
      <c r="G86" s="73">
        <f t="shared" si="16"/>
        <v>70</v>
      </c>
      <c r="H86" s="73">
        <f t="shared" si="13"/>
        <v>70</v>
      </c>
      <c r="I86" s="73">
        <f t="shared" si="14"/>
        <v>70</v>
      </c>
      <c r="J86" s="72" t="s">
        <v>79</v>
      </c>
      <c r="K86" s="74"/>
      <c r="M86" s="99" t="s">
        <v>15</v>
      </c>
      <c r="N86" s="80">
        <f t="shared" si="18"/>
        <v>28</v>
      </c>
      <c r="O86" s="76">
        <f>N86*F86</f>
        <v>28</v>
      </c>
      <c r="P86" s="100" t="s">
        <v>56</v>
      </c>
      <c r="Y86" s="91" t="s">
        <v>243</v>
      </c>
      <c r="Z86" s="92">
        <v>28.503</v>
      </c>
      <c r="AA86" s="92">
        <f t="shared" si="17"/>
        <v>2.8503000000000003</v>
      </c>
    </row>
    <row r="87" spans="1:27" x14ac:dyDescent="0.25">
      <c r="A87" s="95">
        <v>45546</v>
      </c>
      <c r="B87" s="72" t="s">
        <v>196</v>
      </c>
      <c r="C87" s="72" t="s">
        <v>8</v>
      </c>
      <c r="D87" s="72" t="s">
        <v>18</v>
      </c>
      <c r="E87" s="72" t="s">
        <v>82</v>
      </c>
      <c r="F87" s="72">
        <v>4</v>
      </c>
      <c r="G87" s="73">
        <f t="shared" si="16"/>
        <v>40</v>
      </c>
      <c r="H87" s="73">
        <v>140</v>
      </c>
      <c r="I87" s="73">
        <f t="shared" si="14"/>
        <v>140</v>
      </c>
      <c r="J87" s="72" t="s">
        <v>79</v>
      </c>
      <c r="K87" s="74"/>
      <c r="M87" s="99"/>
      <c r="N87" s="80" t="e">
        <f t="shared" si="18"/>
        <v>#N/A</v>
      </c>
      <c r="O87" s="76"/>
      <c r="P87" s="100"/>
      <c r="Y87" s="91" t="s">
        <v>245</v>
      </c>
      <c r="Z87" s="92">
        <v>10</v>
      </c>
      <c r="AA87" s="92">
        <f t="shared" si="17"/>
        <v>1</v>
      </c>
    </row>
    <row r="88" spans="1:27" x14ac:dyDescent="0.25">
      <c r="A88" s="95">
        <v>45546</v>
      </c>
      <c r="B88" s="72" t="s">
        <v>591</v>
      </c>
      <c r="C88" s="72" t="s">
        <v>8</v>
      </c>
      <c r="D88" s="72" t="s">
        <v>17</v>
      </c>
      <c r="E88" s="72" t="s">
        <v>82</v>
      </c>
      <c r="F88" s="72">
        <v>1</v>
      </c>
      <c r="G88" s="73">
        <f t="shared" si="16"/>
        <v>50</v>
      </c>
      <c r="H88" s="73">
        <f t="shared" ref="H88:H119" si="19">F88*G88</f>
        <v>50</v>
      </c>
      <c r="I88" s="73">
        <f t="shared" si="14"/>
        <v>48.805</v>
      </c>
      <c r="J88" s="72" t="s">
        <v>78</v>
      </c>
      <c r="K88" s="74"/>
      <c r="M88" s="99"/>
      <c r="N88" s="80" t="e">
        <f t="shared" si="18"/>
        <v>#N/A</v>
      </c>
      <c r="O88" s="76"/>
      <c r="P88" s="100"/>
      <c r="Y88" s="91" t="s">
        <v>246</v>
      </c>
      <c r="Z88" s="92">
        <v>10</v>
      </c>
      <c r="AA88" s="92">
        <f t="shared" si="17"/>
        <v>1</v>
      </c>
    </row>
    <row r="89" spans="1:27" x14ac:dyDescent="0.25">
      <c r="A89" s="95">
        <v>45546</v>
      </c>
      <c r="B89" s="72" t="s">
        <v>591</v>
      </c>
      <c r="C89" s="72" t="s">
        <v>8</v>
      </c>
      <c r="D89" s="72" t="s">
        <v>778</v>
      </c>
      <c r="E89" s="72" t="s">
        <v>82</v>
      </c>
      <c r="F89" s="72">
        <v>1</v>
      </c>
      <c r="G89" s="73">
        <v>2</v>
      </c>
      <c r="H89" s="73">
        <f t="shared" si="19"/>
        <v>2</v>
      </c>
      <c r="I89" s="73">
        <f t="shared" si="14"/>
        <v>2</v>
      </c>
      <c r="J89" s="72" t="s">
        <v>83</v>
      </c>
      <c r="K89" s="74"/>
      <c r="M89" s="99"/>
      <c r="N89" s="80" t="e">
        <f t="shared" si="18"/>
        <v>#N/A</v>
      </c>
      <c r="O89" s="76"/>
      <c r="P89" s="100"/>
      <c r="Q89" s="106"/>
      <c r="Y89" s="91" t="s">
        <v>248</v>
      </c>
      <c r="Z89" s="92">
        <v>9.7609999999999992</v>
      </c>
      <c r="AA89" s="92">
        <f t="shared" si="17"/>
        <v>0.97609999999999997</v>
      </c>
    </row>
    <row r="90" spans="1:27" x14ac:dyDescent="0.25">
      <c r="A90" s="95">
        <v>45546</v>
      </c>
      <c r="B90" s="72" t="s">
        <v>788</v>
      </c>
      <c r="C90" s="72" t="s">
        <v>8</v>
      </c>
      <c r="D90" s="72" t="s">
        <v>18</v>
      </c>
      <c r="E90" s="72" t="s">
        <v>82</v>
      </c>
      <c r="F90" s="72">
        <v>1</v>
      </c>
      <c r="G90" s="73">
        <f t="shared" ref="G90:G101" si="20">VLOOKUP(D90,$S$3:$T$69,2,0)</f>
        <v>40</v>
      </c>
      <c r="H90" s="73">
        <f t="shared" si="19"/>
        <v>40</v>
      </c>
      <c r="I90" s="73">
        <f t="shared" si="14"/>
        <v>38.003999999999998</v>
      </c>
      <c r="J90" s="72" t="s">
        <v>86</v>
      </c>
      <c r="K90" s="74"/>
      <c r="M90" s="99"/>
      <c r="N90" s="80" t="e">
        <f t="shared" si="18"/>
        <v>#N/A</v>
      </c>
      <c r="O90" s="76"/>
      <c r="P90" s="100"/>
      <c r="Y90" s="91" t="s">
        <v>249</v>
      </c>
      <c r="Z90" s="92">
        <v>9.5009999999999994</v>
      </c>
      <c r="AA90" s="92">
        <f t="shared" si="17"/>
        <v>0.95009999999999994</v>
      </c>
    </row>
    <row r="91" spans="1:27" x14ac:dyDescent="0.25">
      <c r="A91" s="95">
        <v>45546</v>
      </c>
      <c r="B91" s="72" t="s">
        <v>612</v>
      </c>
      <c r="C91" s="72" t="s">
        <v>8</v>
      </c>
      <c r="D91" s="72" t="s">
        <v>17</v>
      </c>
      <c r="E91" s="72" t="s">
        <v>56</v>
      </c>
      <c r="F91" s="72">
        <v>1</v>
      </c>
      <c r="G91" s="73">
        <f t="shared" si="20"/>
        <v>50</v>
      </c>
      <c r="H91" s="73">
        <f t="shared" si="19"/>
        <v>50</v>
      </c>
      <c r="I91" s="73">
        <f t="shared" si="14"/>
        <v>47.505000000000003</v>
      </c>
      <c r="J91" s="72" t="s">
        <v>86</v>
      </c>
      <c r="K91" s="74"/>
      <c r="M91" s="99" t="s">
        <v>17</v>
      </c>
      <c r="N91" s="80">
        <f t="shared" si="18"/>
        <v>20</v>
      </c>
      <c r="O91" s="76">
        <f>N91*F91</f>
        <v>20</v>
      </c>
      <c r="P91" s="100" t="s">
        <v>56</v>
      </c>
      <c r="Y91" s="91" t="s">
        <v>250</v>
      </c>
      <c r="Z91" s="92">
        <v>20</v>
      </c>
      <c r="AA91" s="92">
        <f t="shared" si="17"/>
        <v>2</v>
      </c>
    </row>
    <row r="92" spans="1:27" x14ac:dyDescent="0.25">
      <c r="A92" s="95">
        <v>45546</v>
      </c>
      <c r="B92" s="72" t="s">
        <v>279</v>
      </c>
      <c r="C92" s="72" t="s">
        <v>8</v>
      </c>
      <c r="D92" s="72" t="s">
        <v>18</v>
      </c>
      <c r="E92" s="72" t="s">
        <v>82</v>
      </c>
      <c r="F92" s="72">
        <v>2</v>
      </c>
      <c r="G92" s="73">
        <f t="shared" si="20"/>
        <v>40</v>
      </c>
      <c r="H92" s="73">
        <f t="shared" si="19"/>
        <v>80</v>
      </c>
      <c r="I92" s="73">
        <f t="shared" si="14"/>
        <v>76.007999999999996</v>
      </c>
      <c r="J92" s="72" t="s">
        <v>86</v>
      </c>
      <c r="K92" s="74"/>
      <c r="M92" s="99"/>
      <c r="N92" s="80" t="e">
        <f t="shared" si="18"/>
        <v>#N/A</v>
      </c>
      <c r="O92" s="76"/>
      <c r="P92" s="100"/>
      <c r="Y92" s="91" t="s">
        <v>252</v>
      </c>
      <c r="Z92" s="92">
        <v>20</v>
      </c>
      <c r="AA92" s="92">
        <f t="shared" si="17"/>
        <v>2</v>
      </c>
    </row>
    <row r="93" spans="1:27" x14ac:dyDescent="0.25">
      <c r="A93" s="95">
        <v>45547</v>
      </c>
      <c r="B93" s="72" t="s">
        <v>776</v>
      </c>
      <c r="C93" s="72" t="s">
        <v>10</v>
      </c>
      <c r="D93" s="72" t="s">
        <v>17</v>
      </c>
      <c r="E93" s="72" t="s">
        <v>56</v>
      </c>
      <c r="F93" s="72">
        <v>1</v>
      </c>
      <c r="G93" s="73">
        <f t="shared" si="20"/>
        <v>50</v>
      </c>
      <c r="H93" s="73">
        <f t="shared" si="19"/>
        <v>50</v>
      </c>
      <c r="I93" s="73">
        <f t="shared" si="14"/>
        <v>48.805</v>
      </c>
      <c r="J93" s="72" t="s">
        <v>78</v>
      </c>
      <c r="K93" s="74"/>
      <c r="M93" s="99" t="s">
        <v>17</v>
      </c>
      <c r="N93" s="80">
        <f t="shared" si="18"/>
        <v>20</v>
      </c>
      <c r="O93" s="76">
        <f>N93*F93</f>
        <v>20</v>
      </c>
      <c r="P93" s="100" t="s">
        <v>56</v>
      </c>
      <c r="Y93" s="91" t="s">
        <v>253</v>
      </c>
      <c r="Z93" s="92">
        <v>19.521999999999998</v>
      </c>
      <c r="AA93" s="92">
        <f t="shared" si="17"/>
        <v>1.9521999999999999</v>
      </c>
    </row>
    <row r="94" spans="1:27" x14ac:dyDescent="0.25">
      <c r="A94" s="95">
        <v>45547</v>
      </c>
      <c r="B94" s="72" t="s">
        <v>707</v>
      </c>
      <c r="C94" s="72" t="s">
        <v>8</v>
      </c>
      <c r="D94" s="72" t="s">
        <v>14</v>
      </c>
      <c r="E94" s="72" t="s">
        <v>82</v>
      </c>
      <c r="F94" s="72">
        <v>1</v>
      </c>
      <c r="G94" s="73">
        <f t="shared" si="20"/>
        <v>55</v>
      </c>
      <c r="H94" s="73">
        <f t="shared" si="19"/>
        <v>55</v>
      </c>
      <c r="I94" s="73">
        <f t="shared" si="14"/>
        <v>53.685499999999998</v>
      </c>
      <c r="J94" s="72" t="s">
        <v>78</v>
      </c>
      <c r="K94" s="74"/>
      <c r="M94" s="99"/>
      <c r="N94" s="80" t="e">
        <f t="shared" si="18"/>
        <v>#N/A</v>
      </c>
      <c r="O94" s="76"/>
      <c r="P94" s="100"/>
      <c r="Y94" s="91" t="s">
        <v>254</v>
      </c>
      <c r="Z94" s="92">
        <v>19.001999999999999</v>
      </c>
      <c r="AA94" s="92">
        <f t="shared" si="17"/>
        <v>1.9001999999999999</v>
      </c>
    </row>
    <row r="95" spans="1:27" x14ac:dyDescent="0.25">
      <c r="A95" s="95">
        <v>45547</v>
      </c>
      <c r="B95" s="72" t="s">
        <v>194</v>
      </c>
      <c r="C95" s="72" t="s">
        <v>8</v>
      </c>
      <c r="D95" s="72" t="s">
        <v>18</v>
      </c>
      <c r="E95" s="72" t="s">
        <v>82</v>
      </c>
      <c r="F95" s="72">
        <v>1</v>
      </c>
      <c r="G95" s="73">
        <f t="shared" si="20"/>
        <v>40</v>
      </c>
      <c r="H95" s="73">
        <f t="shared" si="19"/>
        <v>40</v>
      </c>
      <c r="I95" s="73">
        <f t="shared" si="14"/>
        <v>40</v>
      </c>
      <c r="J95" s="72" t="s">
        <v>83</v>
      </c>
      <c r="K95" s="74"/>
      <c r="M95" s="99"/>
      <c r="N95" s="80" t="e">
        <f t="shared" si="18"/>
        <v>#N/A</v>
      </c>
      <c r="O95" s="76"/>
      <c r="P95" s="100"/>
      <c r="Y95" s="91" t="s">
        <v>255</v>
      </c>
      <c r="Z95" s="92">
        <v>10</v>
      </c>
      <c r="AA95" s="92">
        <f t="shared" si="17"/>
        <v>1</v>
      </c>
    </row>
    <row r="96" spans="1:27" x14ac:dyDescent="0.25">
      <c r="A96" s="95">
        <v>45547</v>
      </c>
      <c r="B96" s="72" t="s">
        <v>194</v>
      </c>
      <c r="C96" s="72" t="s">
        <v>8</v>
      </c>
      <c r="D96" s="72" t="s">
        <v>39</v>
      </c>
      <c r="E96" s="72" t="s">
        <v>82</v>
      </c>
      <c r="F96" s="72">
        <v>1</v>
      </c>
      <c r="G96" s="73">
        <f t="shared" si="20"/>
        <v>10</v>
      </c>
      <c r="H96" s="73">
        <f t="shared" si="19"/>
        <v>10</v>
      </c>
      <c r="I96" s="73">
        <f t="shared" si="14"/>
        <v>10</v>
      </c>
      <c r="J96" s="72" t="s">
        <v>83</v>
      </c>
      <c r="K96" s="74"/>
      <c r="M96" s="99"/>
      <c r="N96" s="80" t="e">
        <f t="shared" si="18"/>
        <v>#N/A</v>
      </c>
      <c r="O96" s="76"/>
      <c r="P96" s="100"/>
      <c r="Y96" s="91" t="s">
        <v>257</v>
      </c>
      <c r="Z96" s="92">
        <v>10</v>
      </c>
      <c r="AA96" s="92">
        <f t="shared" si="17"/>
        <v>1</v>
      </c>
    </row>
    <row r="97" spans="1:27" x14ac:dyDescent="0.25">
      <c r="A97" s="95">
        <v>45547</v>
      </c>
      <c r="B97" s="72" t="s">
        <v>194</v>
      </c>
      <c r="C97" s="72" t="s">
        <v>8</v>
      </c>
      <c r="D97" s="72" t="s">
        <v>35</v>
      </c>
      <c r="E97" s="72" t="s">
        <v>82</v>
      </c>
      <c r="F97" s="72">
        <v>1</v>
      </c>
      <c r="G97" s="73">
        <f t="shared" si="20"/>
        <v>7</v>
      </c>
      <c r="H97" s="73">
        <f t="shared" si="19"/>
        <v>7</v>
      </c>
      <c r="I97" s="73">
        <f t="shared" si="14"/>
        <v>7</v>
      </c>
      <c r="J97" s="72" t="s">
        <v>83</v>
      </c>
      <c r="K97" s="74"/>
      <c r="M97" s="99"/>
      <c r="N97" s="80" t="e">
        <f t="shared" si="18"/>
        <v>#N/A</v>
      </c>
      <c r="O97" s="76"/>
      <c r="P97" s="100"/>
      <c r="Y97" s="91" t="s">
        <v>259</v>
      </c>
      <c r="Z97" s="92">
        <v>9.7609999999999992</v>
      </c>
      <c r="AA97" s="92">
        <f t="shared" si="17"/>
        <v>0.97609999999999997</v>
      </c>
    </row>
    <row r="98" spans="1:27" x14ac:dyDescent="0.25">
      <c r="A98" s="95">
        <v>45547</v>
      </c>
      <c r="B98" s="72" t="s">
        <v>789</v>
      </c>
      <c r="C98" s="72" t="s">
        <v>8</v>
      </c>
      <c r="D98" s="72" t="s">
        <v>18</v>
      </c>
      <c r="E98" s="72" t="s">
        <v>82</v>
      </c>
      <c r="F98" s="72">
        <v>1</v>
      </c>
      <c r="G98" s="73">
        <f t="shared" si="20"/>
        <v>40</v>
      </c>
      <c r="H98" s="73">
        <f t="shared" si="19"/>
        <v>40</v>
      </c>
      <c r="I98" s="73">
        <f t="shared" si="14"/>
        <v>40</v>
      </c>
      <c r="J98" s="72" t="s">
        <v>79</v>
      </c>
      <c r="K98" s="74"/>
      <c r="M98" s="99"/>
      <c r="N98" s="80" t="e">
        <f t="shared" si="18"/>
        <v>#N/A</v>
      </c>
      <c r="O98" s="76"/>
      <c r="P98" s="100"/>
      <c r="Y98" s="91" t="s">
        <v>261</v>
      </c>
      <c r="Z98" s="92">
        <v>9.5009999999999994</v>
      </c>
      <c r="AA98" s="92">
        <f t="shared" si="17"/>
        <v>0.95009999999999994</v>
      </c>
    </row>
    <row r="99" spans="1:27" x14ac:dyDescent="0.25">
      <c r="A99" s="95">
        <v>45547</v>
      </c>
      <c r="B99" s="72" t="s">
        <v>727</v>
      </c>
      <c r="C99" s="72" t="s">
        <v>10</v>
      </c>
      <c r="D99" s="72" t="s">
        <v>18</v>
      </c>
      <c r="E99" s="72" t="s">
        <v>56</v>
      </c>
      <c r="F99" s="72">
        <v>1</v>
      </c>
      <c r="G99" s="73">
        <f t="shared" si="20"/>
        <v>40</v>
      </c>
      <c r="H99" s="73">
        <f t="shared" si="19"/>
        <v>40</v>
      </c>
      <c r="I99" s="73">
        <f t="shared" si="14"/>
        <v>40</v>
      </c>
      <c r="J99" s="72" t="s">
        <v>83</v>
      </c>
      <c r="K99" s="74"/>
      <c r="M99" s="99" t="s">
        <v>175</v>
      </c>
      <c r="N99" s="80">
        <f t="shared" si="18"/>
        <v>16</v>
      </c>
      <c r="O99" s="76">
        <f>N99*F99</f>
        <v>16</v>
      </c>
      <c r="P99" s="100" t="s">
        <v>56</v>
      </c>
      <c r="Y99" s="91" t="s">
        <v>263</v>
      </c>
      <c r="Z99" s="92">
        <v>35</v>
      </c>
      <c r="AA99" s="92">
        <f t="shared" si="17"/>
        <v>3.5</v>
      </c>
    </row>
    <row r="100" spans="1:27" x14ac:dyDescent="0.25">
      <c r="A100" s="95">
        <v>45547</v>
      </c>
      <c r="B100" s="72" t="s">
        <v>702</v>
      </c>
      <c r="C100" s="72" t="s">
        <v>8</v>
      </c>
      <c r="D100" s="72" t="s">
        <v>17</v>
      </c>
      <c r="E100" s="72" t="s">
        <v>56</v>
      </c>
      <c r="F100" s="72">
        <v>1</v>
      </c>
      <c r="G100" s="73">
        <f t="shared" si="20"/>
        <v>50</v>
      </c>
      <c r="H100" s="73">
        <f t="shared" si="19"/>
        <v>50</v>
      </c>
      <c r="I100" s="73">
        <f t="shared" si="14"/>
        <v>50</v>
      </c>
      <c r="J100" s="72" t="s">
        <v>79</v>
      </c>
      <c r="K100" s="74"/>
      <c r="M100" s="99" t="s">
        <v>17</v>
      </c>
      <c r="N100" s="80">
        <f t="shared" si="18"/>
        <v>20</v>
      </c>
      <c r="O100" s="76">
        <f>N100*F100</f>
        <v>20</v>
      </c>
      <c r="P100" s="100" t="s">
        <v>56</v>
      </c>
      <c r="Y100" s="91" t="s">
        <v>265</v>
      </c>
      <c r="Z100" s="92">
        <v>35</v>
      </c>
      <c r="AA100" s="92">
        <f t="shared" si="17"/>
        <v>3.5</v>
      </c>
    </row>
    <row r="101" spans="1:27" x14ac:dyDescent="0.25">
      <c r="A101" s="95">
        <v>45547</v>
      </c>
      <c r="B101" s="72" t="s">
        <v>504</v>
      </c>
      <c r="C101" s="72" t="s">
        <v>8</v>
      </c>
      <c r="D101" s="72" t="s">
        <v>15</v>
      </c>
      <c r="E101" s="72" t="s">
        <v>82</v>
      </c>
      <c r="F101" s="72">
        <v>1</v>
      </c>
      <c r="G101" s="73">
        <f t="shared" si="20"/>
        <v>70</v>
      </c>
      <c r="H101" s="73">
        <f t="shared" si="19"/>
        <v>70</v>
      </c>
      <c r="I101" s="73">
        <f t="shared" si="14"/>
        <v>70</v>
      </c>
      <c r="J101" s="72" t="s">
        <v>79</v>
      </c>
      <c r="K101" s="74"/>
      <c r="M101" s="99"/>
      <c r="N101" s="80" t="e">
        <f t="shared" si="18"/>
        <v>#N/A</v>
      </c>
      <c r="O101" s="76"/>
      <c r="P101" s="100"/>
      <c r="Y101" s="91" t="s">
        <v>267</v>
      </c>
      <c r="Z101" s="92">
        <v>34.163499999999999</v>
      </c>
      <c r="AA101" s="92">
        <f t="shared" si="17"/>
        <v>3.41635</v>
      </c>
    </row>
    <row r="102" spans="1:27" x14ac:dyDescent="0.25">
      <c r="A102" s="95">
        <v>45547</v>
      </c>
      <c r="B102" s="72" t="s">
        <v>504</v>
      </c>
      <c r="C102" s="72" t="s">
        <v>8</v>
      </c>
      <c r="D102" s="72" t="s">
        <v>19</v>
      </c>
      <c r="E102" s="72" t="s">
        <v>82</v>
      </c>
      <c r="F102" s="72">
        <v>1</v>
      </c>
      <c r="G102" s="73">
        <v>30</v>
      </c>
      <c r="H102" s="73">
        <f t="shared" si="19"/>
        <v>30</v>
      </c>
      <c r="I102" s="73">
        <f t="shared" si="14"/>
        <v>30</v>
      </c>
      <c r="J102" s="72" t="s">
        <v>79</v>
      </c>
      <c r="K102" s="74"/>
      <c r="M102" s="99"/>
      <c r="N102" s="80" t="e">
        <f t="shared" si="18"/>
        <v>#N/A</v>
      </c>
      <c r="O102" s="76"/>
      <c r="P102" s="100"/>
      <c r="Y102" s="91" t="s">
        <v>271</v>
      </c>
      <c r="Z102" s="92">
        <v>35</v>
      </c>
      <c r="AA102" s="92">
        <f t="shared" si="17"/>
        <v>3.5</v>
      </c>
    </row>
    <row r="103" spans="1:27" x14ac:dyDescent="0.25">
      <c r="A103" s="95">
        <v>45547</v>
      </c>
      <c r="B103" s="72" t="s">
        <v>276</v>
      </c>
      <c r="C103" s="72" t="s">
        <v>8</v>
      </c>
      <c r="D103" s="72" t="s">
        <v>40</v>
      </c>
      <c r="E103" s="72" t="s">
        <v>82</v>
      </c>
      <c r="F103" s="72">
        <v>1</v>
      </c>
      <c r="G103" s="73">
        <f>VLOOKUP(D103,$S$3:$T$69,2,0)</f>
        <v>45</v>
      </c>
      <c r="H103" s="73">
        <f t="shared" si="19"/>
        <v>45</v>
      </c>
      <c r="I103" s="73">
        <f t="shared" si="14"/>
        <v>45</v>
      </c>
      <c r="J103" s="72" t="s">
        <v>83</v>
      </c>
      <c r="K103" s="74"/>
      <c r="M103" s="99"/>
      <c r="N103" s="80" t="e">
        <f t="shared" si="18"/>
        <v>#N/A</v>
      </c>
      <c r="O103" s="76"/>
      <c r="P103" s="100"/>
      <c r="Q103" s="106"/>
      <c r="Y103" s="91" t="s">
        <v>273</v>
      </c>
      <c r="Z103" s="92">
        <v>35</v>
      </c>
      <c r="AA103" s="92">
        <f t="shared" si="17"/>
        <v>3.5</v>
      </c>
    </row>
    <row r="104" spans="1:27" x14ac:dyDescent="0.25">
      <c r="A104" s="95">
        <v>45547</v>
      </c>
      <c r="B104" s="72" t="s">
        <v>790</v>
      </c>
      <c r="C104" s="72" t="s">
        <v>8</v>
      </c>
      <c r="D104" s="72" t="s">
        <v>17</v>
      </c>
      <c r="E104" s="72" t="s">
        <v>82</v>
      </c>
      <c r="F104" s="72">
        <v>1</v>
      </c>
      <c r="G104" s="73">
        <f>VLOOKUP(D104,$S$3:$T$69,2,0)</f>
        <v>50</v>
      </c>
      <c r="H104" s="73">
        <f t="shared" si="19"/>
        <v>50</v>
      </c>
      <c r="I104" s="73">
        <f t="shared" si="14"/>
        <v>50</v>
      </c>
      <c r="J104" s="72" t="s">
        <v>83</v>
      </c>
      <c r="K104" s="74"/>
      <c r="M104" s="99"/>
      <c r="N104" s="80" t="e">
        <f t="shared" si="18"/>
        <v>#N/A</v>
      </c>
      <c r="O104" s="76"/>
      <c r="P104" s="100"/>
      <c r="Y104" s="91" t="s">
        <v>275</v>
      </c>
      <c r="Z104" s="92">
        <v>34.163499999999999</v>
      </c>
      <c r="AA104" s="92">
        <f t="shared" si="17"/>
        <v>3.41635</v>
      </c>
    </row>
    <row r="105" spans="1:27" x14ac:dyDescent="0.25">
      <c r="A105" s="95">
        <v>45547</v>
      </c>
      <c r="B105" s="72" t="s">
        <v>178</v>
      </c>
      <c r="C105" s="72" t="s">
        <v>8</v>
      </c>
      <c r="D105" s="72" t="s">
        <v>17</v>
      </c>
      <c r="E105" s="72" t="s">
        <v>82</v>
      </c>
      <c r="F105" s="72">
        <v>1</v>
      </c>
      <c r="G105" s="73">
        <f>VLOOKUP(D105,$S$3:$T$69,2,0)</f>
        <v>50</v>
      </c>
      <c r="H105" s="73">
        <f t="shared" si="19"/>
        <v>50</v>
      </c>
      <c r="I105" s="73">
        <f t="shared" si="14"/>
        <v>47.505000000000003</v>
      </c>
      <c r="J105" s="72" t="s">
        <v>86</v>
      </c>
      <c r="K105" s="74"/>
      <c r="M105" s="99"/>
      <c r="N105" s="80" t="e">
        <f t="shared" si="18"/>
        <v>#N/A</v>
      </c>
      <c r="O105" s="76"/>
      <c r="P105" s="100"/>
      <c r="Y105" s="91" t="s">
        <v>277</v>
      </c>
      <c r="Z105" s="92">
        <v>33.253500000000003</v>
      </c>
      <c r="AA105" s="92">
        <f t="shared" si="17"/>
        <v>3.3253500000000003</v>
      </c>
    </row>
    <row r="106" spans="1:27" x14ac:dyDescent="0.25">
      <c r="A106" s="95">
        <v>45548</v>
      </c>
      <c r="B106" s="72" t="s">
        <v>791</v>
      </c>
      <c r="C106" s="72" t="s">
        <v>8</v>
      </c>
      <c r="D106" s="72" t="s">
        <v>16</v>
      </c>
      <c r="E106" s="72" t="s">
        <v>56</v>
      </c>
      <c r="F106" s="72">
        <v>1</v>
      </c>
      <c r="G106" s="73">
        <f>VLOOKUP(D106,$S$3:$T$69,2,0)</f>
        <v>80</v>
      </c>
      <c r="H106" s="73">
        <f t="shared" si="19"/>
        <v>80</v>
      </c>
      <c r="I106" s="73">
        <f t="shared" si="14"/>
        <v>80</v>
      </c>
      <c r="J106" s="72" t="s">
        <v>83</v>
      </c>
      <c r="K106" s="74"/>
      <c r="M106" s="99" t="s">
        <v>16</v>
      </c>
      <c r="N106" s="80">
        <f t="shared" si="18"/>
        <v>32</v>
      </c>
      <c r="O106" s="76">
        <f>N106*F106</f>
        <v>32</v>
      </c>
      <c r="P106" s="100" t="s">
        <v>56</v>
      </c>
      <c r="Y106" s="91" t="s">
        <v>278</v>
      </c>
      <c r="Z106" s="92">
        <v>35</v>
      </c>
      <c r="AA106" s="92">
        <f t="shared" si="17"/>
        <v>3.5</v>
      </c>
    </row>
    <row r="107" spans="1:27" x14ac:dyDescent="0.25">
      <c r="A107" s="95">
        <v>45548</v>
      </c>
      <c r="B107" s="72" t="s">
        <v>516</v>
      </c>
      <c r="C107" s="72" t="s">
        <v>8</v>
      </c>
      <c r="D107" s="72" t="s">
        <v>16</v>
      </c>
      <c r="E107" s="72" t="s">
        <v>82</v>
      </c>
      <c r="F107" s="72">
        <v>1</v>
      </c>
      <c r="G107" s="73">
        <f>VLOOKUP(D107,$S$3:$T$69,2,0)</f>
        <v>80</v>
      </c>
      <c r="H107" s="73">
        <f t="shared" si="19"/>
        <v>80</v>
      </c>
      <c r="I107" s="73">
        <f t="shared" si="14"/>
        <v>80</v>
      </c>
      <c r="J107" s="72" t="s">
        <v>83</v>
      </c>
      <c r="K107" s="74"/>
      <c r="M107" s="99"/>
      <c r="N107" s="80" t="e">
        <f t="shared" si="18"/>
        <v>#N/A</v>
      </c>
      <c r="O107" s="76"/>
      <c r="P107" s="100"/>
      <c r="Y107" s="91" t="s">
        <v>280</v>
      </c>
      <c r="Z107" s="92">
        <v>35</v>
      </c>
      <c r="AA107" s="92">
        <f t="shared" si="17"/>
        <v>3.5</v>
      </c>
    </row>
    <row r="108" spans="1:27" x14ac:dyDescent="0.25">
      <c r="A108" s="95">
        <v>45548</v>
      </c>
      <c r="B108" s="72" t="s">
        <v>562</v>
      </c>
      <c r="C108" s="72" t="s">
        <v>8</v>
      </c>
      <c r="D108" s="72" t="s">
        <v>17</v>
      </c>
      <c r="E108" s="72" t="s">
        <v>82</v>
      </c>
      <c r="F108" s="72">
        <v>2</v>
      </c>
      <c r="G108" s="73">
        <v>45</v>
      </c>
      <c r="H108" s="73">
        <f t="shared" si="19"/>
        <v>90</v>
      </c>
      <c r="I108" s="73">
        <f t="shared" si="14"/>
        <v>85.509</v>
      </c>
      <c r="J108" s="72" t="s">
        <v>86</v>
      </c>
      <c r="K108" s="74"/>
      <c r="M108" s="99"/>
      <c r="N108" s="80" t="e">
        <f t="shared" si="18"/>
        <v>#N/A</v>
      </c>
      <c r="O108" s="76"/>
      <c r="P108" s="100"/>
      <c r="Y108" s="91" t="s">
        <v>282</v>
      </c>
      <c r="Z108" s="92">
        <v>34.163499999999999</v>
      </c>
      <c r="AA108" s="92">
        <f t="shared" si="17"/>
        <v>3.41635</v>
      </c>
    </row>
    <row r="109" spans="1:27" x14ac:dyDescent="0.25">
      <c r="A109" s="95">
        <v>45548</v>
      </c>
      <c r="B109" s="72" t="s">
        <v>301</v>
      </c>
      <c r="C109" s="72" t="s">
        <v>8</v>
      </c>
      <c r="D109" s="72" t="s">
        <v>16</v>
      </c>
      <c r="E109" s="72" t="s">
        <v>82</v>
      </c>
      <c r="F109" s="72">
        <v>1</v>
      </c>
      <c r="G109" s="73">
        <f>VLOOKUP(D109,$S$3:$T$69,2,0)</f>
        <v>80</v>
      </c>
      <c r="H109" s="73">
        <f t="shared" si="19"/>
        <v>80</v>
      </c>
      <c r="I109" s="73">
        <f t="shared" si="14"/>
        <v>76.007999999999996</v>
      </c>
      <c r="J109" s="72" t="s">
        <v>86</v>
      </c>
      <c r="K109" s="74"/>
      <c r="M109" s="99"/>
      <c r="N109" s="80" t="e">
        <f t="shared" si="18"/>
        <v>#N/A</v>
      </c>
      <c r="O109" s="76"/>
      <c r="P109" s="100"/>
      <c r="Y109" s="91" t="s">
        <v>285</v>
      </c>
      <c r="Z109" s="92">
        <v>33.253500000000003</v>
      </c>
      <c r="AA109" s="92">
        <f t="shared" si="17"/>
        <v>3.3253500000000003</v>
      </c>
    </row>
    <row r="110" spans="1:27" x14ac:dyDescent="0.25">
      <c r="A110" s="95">
        <v>45548</v>
      </c>
      <c r="B110" s="72" t="s">
        <v>301</v>
      </c>
      <c r="C110" s="72" t="s">
        <v>8</v>
      </c>
      <c r="D110" s="72" t="s">
        <v>23</v>
      </c>
      <c r="E110" s="72" t="s">
        <v>82</v>
      </c>
      <c r="F110" s="72">
        <v>1</v>
      </c>
      <c r="G110" s="73">
        <f>VLOOKUP(D110,$S$3:$T$69,2,0)</f>
        <v>5</v>
      </c>
      <c r="H110" s="73">
        <f t="shared" si="19"/>
        <v>5</v>
      </c>
      <c r="I110" s="73">
        <f t="shared" si="14"/>
        <v>4.7504999999999997</v>
      </c>
      <c r="J110" s="72" t="s">
        <v>86</v>
      </c>
      <c r="K110" s="74"/>
      <c r="M110" s="99"/>
      <c r="N110" s="80" t="e">
        <f t="shared" ref="N110:N141" si="21">VLOOKUP(M110,$S$3:$U$69,3,0)</f>
        <v>#N/A</v>
      </c>
      <c r="O110" s="76"/>
      <c r="P110" s="100"/>
      <c r="Y110" s="91" t="s">
        <v>286</v>
      </c>
      <c r="Z110" s="92">
        <v>35</v>
      </c>
      <c r="AA110" s="92">
        <f t="shared" si="17"/>
        <v>3.5</v>
      </c>
    </row>
    <row r="111" spans="1:27" x14ac:dyDescent="0.25">
      <c r="A111" s="95">
        <v>45548</v>
      </c>
      <c r="B111" s="72" t="s">
        <v>792</v>
      </c>
      <c r="C111" s="72" t="s">
        <v>10</v>
      </c>
      <c r="D111" s="72" t="s">
        <v>18</v>
      </c>
      <c r="E111" s="72" t="s">
        <v>56</v>
      </c>
      <c r="F111" s="72">
        <v>1</v>
      </c>
      <c r="G111" s="73">
        <f>VLOOKUP(D111,$S$3:$T$69,2,0)</f>
        <v>40</v>
      </c>
      <c r="H111" s="73">
        <f t="shared" si="19"/>
        <v>40</v>
      </c>
      <c r="I111" s="73">
        <f t="shared" si="14"/>
        <v>38.003999999999998</v>
      </c>
      <c r="J111" s="72" t="s">
        <v>86</v>
      </c>
      <c r="K111" s="74"/>
      <c r="M111" s="99" t="s">
        <v>18</v>
      </c>
      <c r="N111" s="80">
        <f t="shared" si="21"/>
        <v>16</v>
      </c>
      <c r="O111" s="76">
        <f>N111*F111</f>
        <v>16</v>
      </c>
      <c r="P111" s="100" t="s">
        <v>56</v>
      </c>
      <c r="Y111" s="91" t="s">
        <v>287</v>
      </c>
      <c r="Z111" s="92">
        <v>35</v>
      </c>
      <c r="AA111" s="92">
        <f t="shared" si="17"/>
        <v>3.5</v>
      </c>
    </row>
    <row r="112" spans="1:27" x14ac:dyDescent="0.25">
      <c r="A112" s="95">
        <v>45548</v>
      </c>
      <c r="B112" s="72" t="s">
        <v>793</v>
      </c>
      <c r="C112" s="72" t="s">
        <v>8</v>
      </c>
      <c r="D112" s="72" t="s">
        <v>18</v>
      </c>
      <c r="E112" s="72" t="s">
        <v>82</v>
      </c>
      <c r="F112" s="72">
        <v>1</v>
      </c>
      <c r="G112" s="73">
        <v>35</v>
      </c>
      <c r="H112" s="73">
        <f t="shared" si="19"/>
        <v>35</v>
      </c>
      <c r="I112" s="73">
        <f t="shared" si="14"/>
        <v>35</v>
      </c>
      <c r="J112" s="72" t="s">
        <v>83</v>
      </c>
      <c r="K112" s="74"/>
      <c r="M112" s="99"/>
      <c r="N112" s="80" t="e">
        <f t="shared" si="21"/>
        <v>#N/A</v>
      </c>
      <c r="O112" s="76"/>
      <c r="P112" s="100"/>
      <c r="Y112" s="91" t="s">
        <v>288</v>
      </c>
      <c r="Z112" s="92">
        <v>34.163499999999999</v>
      </c>
      <c r="AA112" s="92">
        <f t="shared" si="17"/>
        <v>3.41635</v>
      </c>
    </row>
    <row r="113" spans="1:27" x14ac:dyDescent="0.25">
      <c r="A113" s="95">
        <v>45548</v>
      </c>
      <c r="B113" s="72" t="s">
        <v>569</v>
      </c>
      <c r="C113" s="72" t="s">
        <v>8</v>
      </c>
      <c r="D113" s="72" t="s">
        <v>18</v>
      </c>
      <c r="E113" s="72" t="s">
        <v>82</v>
      </c>
      <c r="F113" s="72">
        <v>1</v>
      </c>
      <c r="G113" s="73">
        <v>30</v>
      </c>
      <c r="H113" s="73">
        <f t="shared" si="19"/>
        <v>30</v>
      </c>
      <c r="I113" s="73">
        <f t="shared" si="14"/>
        <v>30</v>
      </c>
      <c r="J113" s="72" t="s">
        <v>83</v>
      </c>
      <c r="K113" s="74"/>
      <c r="M113" s="99"/>
      <c r="N113" s="80" t="e">
        <f t="shared" si="21"/>
        <v>#N/A</v>
      </c>
      <c r="O113" s="76"/>
      <c r="P113" s="100"/>
      <c r="Y113" s="91" t="s">
        <v>290</v>
      </c>
      <c r="Z113" s="92">
        <v>33.253500000000003</v>
      </c>
      <c r="AA113" s="92">
        <f t="shared" si="17"/>
        <v>3.3253500000000003</v>
      </c>
    </row>
    <row r="114" spans="1:27" x14ac:dyDescent="0.25">
      <c r="A114" s="95">
        <v>45548</v>
      </c>
      <c r="B114" s="72" t="s">
        <v>561</v>
      </c>
      <c r="C114" s="72" t="s">
        <v>8</v>
      </c>
      <c r="D114" s="72" t="s">
        <v>17</v>
      </c>
      <c r="E114" s="72" t="s">
        <v>82</v>
      </c>
      <c r="F114" s="72">
        <v>1</v>
      </c>
      <c r="G114" s="73">
        <f>VLOOKUP(D114,$S$3:$T$69,2,0)</f>
        <v>50</v>
      </c>
      <c r="H114" s="73">
        <f t="shared" si="19"/>
        <v>50</v>
      </c>
      <c r="I114" s="73">
        <f t="shared" si="14"/>
        <v>50</v>
      </c>
      <c r="J114" s="72" t="s">
        <v>83</v>
      </c>
      <c r="K114" s="74"/>
      <c r="M114" s="99"/>
      <c r="N114" s="80" t="e">
        <f t="shared" si="21"/>
        <v>#N/A</v>
      </c>
      <c r="O114" s="76"/>
      <c r="P114" s="100"/>
      <c r="Y114" s="91" t="s">
        <v>292</v>
      </c>
      <c r="Z114" s="92">
        <v>60</v>
      </c>
      <c r="AA114" s="92">
        <f t="shared" si="17"/>
        <v>6</v>
      </c>
    </row>
    <row r="115" spans="1:27" x14ac:dyDescent="0.25">
      <c r="A115" s="95">
        <v>45548</v>
      </c>
      <c r="B115" s="72" t="s">
        <v>561</v>
      </c>
      <c r="C115" s="72" t="s">
        <v>8</v>
      </c>
      <c r="D115" s="72" t="s">
        <v>766</v>
      </c>
      <c r="E115" s="72" t="s">
        <v>82</v>
      </c>
      <c r="F115" s="72">
        <v>1</v>
      </c>
      <c r="G115" s="73">
        <v>3</v>
      </c>
      <c r="H115" s="73">
        <f t="shared" si="19"/>
        <v>3</v>
      </c>
      <c r="I115" s="73">
        <f t="shared" si="14"/>
        <v>3</v>
      </c>
      <c r="J115" s="72" t="s">
        <v>83</v>
      </c>
      <c r="K115" s="74"/>
      <c r="M115" s="99"/>
      <c r="N115" s="80" t="e">
        <f t="shared" si="21"/>
        <v>#N/A</v>
      </c>
      <c r="O115" s="76"/>
      <c r="P115" s="100"/>
      <c r="Y115" s="91" t="s">
        <v>293</v>
      </c>
      <c r="Z115" s="92">
        <v>60</v>
      </c>
      <c r="AA115" s="92">
        <f t="shared" si="17"/>
        <v>6</v>
      </c>
    </row>
    <row r="116" spans="1:27" x14ac:dyDescent="0.25">
      <c r="A116" s="95">
        <v>45548</v>
      </c>
      <c r="B116" s="72" t="s">
        <v>794</v>
      </c>
      <c r="C116" s="72" t="s">
        <v>8</v>
      </c>
      <c r="D116" s="72" t="s">
        <v>18</v>
      </c>
      <c r="E116" s="72" t="s">
        <v>56</v>
      </c>
      <c r="F116" s="72">
        <v>1</v>
      </c>
      <c r="G116" s="73">
        <f t="shared" ref="G116:G131" si="22">VLOOKUP(D116,$S$3:$T$69,2,0)</f>
        <v>40</v>
      </c>
      <c r="H116" s="73">
        <f t="shared" si="19"/>
        <v>40</v>
      </c>
      <c r="I116" s="73">
        <f t="shared" si="14"/>
        <v>38.003999999999998</v>
      </c>
      <c r="J116" s="72" t="s">
        <v>86</v>
      </c>
      <c r="K116" s="74"/>
      <c r="M116" s="99" t="s">
        <v>18</v>
      </c>
      <c r="N116" s="80">
        <f t="shared" si="21"/>
        <v>16</v>
      </c>
      <c r="O116" s="76">
        <f>N116*F116</f>
        <v>16</v>
      </c>
      <c r="P116" s="100" t="s">
        <v>56</v>
      </c>
      <c r="Y116" s="91" t="s">
        <v>295</v>
      </c>
      <c r="Z116" s="92">
        <v>58.566000000000003</v>
      </c>
      <c r="AA116" s="92">
        <f t="shared" si="17"/>
        <v>5.8566000000000003</v>
      </c>
    </row>
    <row r="117" spans="1:27" x14ac:dyDescent="0.25">
      <c r="A117" s="95">
        <v>45548</v>
      </c>
      <c r="B117" s="72" t="s">
        <v>481</v>
      </c>
      <c r="C117" s="72" t="s">
        <v>10</v>
      </c>
      <c r="D117" s="72" t="s">
        <v>18</v>
      </c>
      <c r="E117" s="72" t="s">
        <v>56</v>
      </c>
      <c r="F117" s="72">
        <v>1</v>
      </c>
      <c r="G117" s="73">
        <f t="shared" si="22"/>
        <v>40</v>
      </c>
      <c r="H117" s="73">
        <f t="shared" si="19"/>
        <v>40</v>
      </c>
      <c r="I117" s="73">
        <f t="shared" si="14"/>
        <v>40</v>
      </c>
      <c r="J117" s="72" t="s">
        <v>79</v>
      </c>
      <c r="K117" s="74"/>
      <c r="M117" s="99" t="s">
        <v>18</v>
      </c>
      <c r="N117" s="80">
        <f t="shared" si="21"/>
        <v>16</v>
      </c>
      <c r="O117" s="76">
        <f>N117*F117</f>
        <v>16</v>
      </c>
      <c r="P117" s="100" t="s">
        <v>56</v>
      </c>
      <c r="Y117" s="91" t="s">
        <v>296</v>
      </c>
      <c r="Z117" s="92">
        <v>57.006</v>
      </c>
      <c r="AA117" s="92">
        <f t="shared" si="17"/>
        <v>5.7006000000000006</v>
      </c>
    </row>
    <row r="118" spans="1:27" x14ac:dyDescent="0.25">
      <c r="A118" s="95">
        <v>45549</v>
      </c>
      <c r="B118" s="72" t="s">
        <v>602</v>
      </c>
      <c r="C118" s="72" t="s">
        <v>8</v>
      </c>
      <c r="D118" s="72" t="s">
        <v>16</v>
      </c>
      <c r="E118" s="72" t="s">
        <v>56</v>
      </c>
      <c r="F118" s="72">
        <v>1</v>
      </c>
      <c r="G118" s="73">
        <f t="shared" si="22"/>
        <v>80</v>
      </c>
      <c r="H118" s="73">
        <f t="shared" si="19"/>
        <v>80</v>
      </c>
      <c r="I118" s="73">
        <f t="shared" si="14"/>
        <v>76.007999999999996</v>
      </c>
      <c r="J118" s="72" t="s">
        <v>86</v>
      </c>
      <c r="K118" s="74"/>
      <c r="M118" s="99" t="s">
        <v>16</v>
      </c>
      <c r="N118" s="80">
        <f t="shared" si="21"/>
        <v>32</v>
      </c>
      <c r="O118" s="76">
        <f>N118*F118</f>
        <v>32</v>
      </c>
      <c r="P118" s="100" t="s">
        <v>56</v>
      </c>
      <c r="Y118" s="91" t="s">
        <v>298</v>
      </c>
      <c r="Z118" s="92">
        <v>6</v>
      </c>
      <c r="AA118" s="92">
        <f t="shared" si="17"/>
        <v>0.60000000000000009</v>
      </c>
    </row>
    <row r="119" spans="1:27" x14ac:dyDescent="0.25">
      <c r="A119" s="95">
        <v>45549</v>
      </c>
      <c r="B119" s="72" t="s">
        <v>602</v>
      </c>
      <c r="C119" s="72" t="s">
        <v>8</v>
      </c>
      <c r="D119" s="72" t="s">
        <v>26</v>
      </c>
      <c r="E119" s="72" t="s">
        <v>56</v>
      </c>
      <c r="F119" s="72">
        <v>1</v>
      </c>
      <c r="G119" s="73">
        <f t="shared" si="22"/>
        <v>35</v>
      </c>
      <c r="H119" s="73">
        <f t="shared" si="19"/>
        <v>35</v>
      </c>
      <c r="I119" s="73">
        <f t="shared" si="14"/>
        <v>33.253500000000003</v>
      </c>
      <c r="J119" s="72" t="s">
        <v>86</v>
      </c>
      <c r="K119" s="74"/>
      <c r="M119" s="99" t="s">
        <v>26</v>
      </c>
      <c r="N119" s="80">
        <f t="shared" si="21"/>
        <v>3.5</v>
      </c>
      <c r="O119" s="76">
        <f>N119*F119</f>
        <v>3.5</v>
      </c>
      <c r="P119" s="100" t="s">
        <v>56</v>
      </c>
      <c r="AA119" s="92"/>
    </row>
    <row r="120" spans="1:27" x14ac:dyDescent="0.25">
      <c r="A120" s="95">
        <v>45549</v>
      </c>
      <c r="B120" s="72" t="s">
        <v>634</v>
      </c>
      <c r="C120" s="72" t="s">
        <v>9</v>
      </c>
      <c r="D120" s="72" t="s">
        <v>18</v>
      </c>
      <c r="E120" s="72" t="s">
        <v>56</v>
      </c>
      <c r="F120" s="72">
        <v>1</v>
      </c>
      <c r="G120" s="73">
        <f t="shared" si="22"/>
        <v>40</v>
      </c>
      <c r="H120" s="73">
        <f t="shared" ref="H120:H151" si="23">F120*G120</f>
        <v>40</v>
      </c>
      <c r="I120" s="73">
        <f t="shared" si="14"/>
        <v>40</v>
      </c>
      <c r="J120" s="72" t="s">
        <v>83</v>
      </c>
      <c r="K120" s="74"/>
      <c r="M120" s="99" t="s">
        <v>18</v>
      </c>
      <c r="N120" s="80">
        <f t="shared" si="21"/>
        <v>16</v>
      </c>
      <c r="O120" s="76">
        <f>N120*F120</f>
        <v>16</v>
      </c>
      <c r="P120" s="100" t="s">
        <v>56</v>
      </c>
      <c r="AA120" s="92"/>
    </row>
    <row r="121" spans="1:27" x14ac:dyDescent="0.25">
      <c r="A121" s="95">
        <v>45549</v>
      </c>
      <c r="B121" s="72" t="s">
        <v>324</v>
      </c>
      <c r="C121" s="72" t="s">
        <v>8</v>
      </c>
      <c r="D121" s="72" t="s">
        <v>58</v>
      </c>
      <c r="E121" s="72" t="s">
        <v>82</v>
      </c>
      <c r="F121" s="72">
        <v>1</v>
      </c>
      <c r="G121" s="73">
        <f t="shared" si="22"/>
        <v>100</v>
      </c>
      <c r="H121" s="73">
        <f t="shared" si="23"/>
        <v>100</v>
      </c>
      <c r="I121" s="73">
        <f t="shared" si="14"/>
        <v>95.01</v>
      </c>
      <c r="J121" s="72" t="s">
        <v>86</v>
      </c>
      <c r="K121" s="74"/>
      <c r="M121" s="99"/>
      <c r="N121" s="80" t="e">
        <f t="shared" si="21"/>
        <v>#N/A</v>
      </c>
      <c r="O121" s="76"/>
      <c r="P121" s="100"/>
      <c r="AA121" s="92"/>
    </row>
    <row r="122" spans="1:27" x14ac:dyDescent="0.25">
      <c r="A122" s="95">
        <v>45549</v>
      </c>
      <c r="B122" s="72" t="s">
        <v>324</v>
      </c>
      <c r="C122" s="72" t="s">
        <v>8</v>
      </c>
      <c r="D122" s="72" t="s">
        <v>24</v>
      </c>
      <c r="E122" s="72" t="s">
        <v>82</v>
      </c>
      <c r="F122" s="72">
        <v>1</v>
      </c>
      <c r="G122" s="73">
        <f t="shared" si="22"/>
        <v>10</v>
      </c>
      <c r="H122" s="73">
        <f t="shared" si="23"/>
        <v>10</v>
      </c>
      <c r="I122" s="73">
        <f t="shared" si="14"/>
        <v>9.5009999999999994</v>
      </c>
      <c r="J122" s="72" t="s">
        <v>86</v>
      </c>
      <c r="K122" s="74"/>
      <c r="M122" s="99"/>
      <c r="N122" s="80" t="e">
        <f t="shared" si="21"/>
        <v>#N/A</v>
      </c>
      <c r="O122" s="76"/>
      <c r="P122" s="100"/>
      <c r="AA122" s="92"/>
    </row>
    <row r="123" spans="1:27" x14ac:dyDescent="0.25">
      <c r="A123" s="95">
        <v>45549</v>
      </c>
      <c r="B123" s="72" t="s">
        <v>681</v>
      </c>
      <c r="C123" s="72" t="s">
        <v>8</v>
      </c>
      <c r="D123" s="72" t="s">
        <v>18</v>
      </c>
      <c r="E123" s="72" t="s">
        <v>82</v>
      </c>
      <c r="F123" s="72">
        <v>1</v>
      </c>
      <c r="G123" s="73">
        <f t="shared" si="22"/>
        <v>40</v>
      </c>
      <c r="H123" s="73">
        <f t="shared" si="23"/>
        <v>40</v>
      </c>
      <c r="I123" s="73">
        <f t="shared" si="14"/>
        <v>40</v>
      </c>
      <c r="J123" s="72" t="s">
        <v>83</v>
      </c>
      <c r="K123" s="74"/>
      <c r="M123" s="99"/>
      <c r="N123" s="80" t="e">
        <f t="shared" si="21"/>
        <v>#N/A</v>
      </c>
      <c r="O123" s="76"/>
      <c r="P123" s="100"/>
      <c r="AA123" s="92"/>
    </row>
    <row r="124" spans="1:27" x14ac:dyDescent="0.25">
      <c r="A124" s="95">
        <v>45549</v>
      </c>
      <c r="B124" s="72" t="s">
        <v>795</v>
      </c>
      <c r="C124" s="72" t="s">
        <v>10</v>
      </c>
      <c r="D124" s="72" t="s">
        <v>18</v>
      </c>
      <c r="E124" s="72" t="s">
        <v>56</v>
      </c>
      <c r="F124" s="72">
        <v>1</v>
      </c>
      <c r="G124" s="73">
        <f t="shared" si="22"/>
        <v>40</v>
      </c>
      <c r="H124" s="73">
        <f t="shared" si="23"/>
        <v>40</v>
      </c>
      <c r="I124" s="73">
        <f t="shared" si="14"/>
        <v>40</v>
      </c>
      <c r="J124" s="72" t="s">
        <v>83</v>
      </c>
      <c r="K124" s="74"/>
      <c r="M124" s="99" t="s">
        <v>18</v>
      </c>
      <c r="N124" s="80">
        <f t="shared" si="21"/>
        <v>16</v>
      </c>
      <c r="O124" s="76">
        <f>N124*F124</f>
        <v>16</v>
      </c>
      <c r="P124" s="100" t="s">
        <v>56</v>
      </c>
      <c r="AA124" s="92"/>
    </row>
    <row r="125" spans="1:27" x14ac:dyDescent="0.25">
      <c r="A125" s="95">
        <v>45549</v>
      </c>
      <c r="B125" s="72" t="s">
        <v>118</v>
      </c>
      <c r="C125" s="72" t="s">
        <v>8</v>
      </c>
      <c r="D125" s="72" t="s">
        <v>17</v>
      </c>
      <c r="E125" s="72" t="s">
        <v>82</v>
      </c>
      <c r="F125" s="72">
        <v>1</v>
      </c>
      <c r="G125" s="73">
        <f t="shared" si="22"/>
        <v>50</v>
      </c>
      <c r="H125" s="73">
        <f t="shared" si="23"/>
        <v>50</v>
      </c>
      <c r="I125" s="73">
        <f t="shared" si="14"/>
        <v>48.805</v>
      </c>
      <c r="J125" s="72" t="s">
        <v>78</v>
      </c>
      <c r="K125" s="74"/>
      <c r="M125" s="99"/>
      <c r="N125" s="80" t="e">
        <f t="shared" si="21"/>
        <v>#N/A</v>
      </c>
      <c r="O125" s="76"/>
      <c r="P125" s="100"/>
      <c r="Q125" s="106"/>
      <c r="Y125" s="91" t="s">
        <v>300</v>
      </c>
      <c r="Z125" s="92">
        <v>6</v>
      </c>
      <c r="AA125" s="92">
        <f>Z125*0.1</f>
        <v>0.60000000000000009</v>
      </c>
    </row>
    <row r="126" spans="1:27" x14ac:dyDescent="0.25">
      <c r="A126" s="95">
        <v>45549</v>
      </c>
      <c r="B126" s="72" t="s">
        <v>526</v>
      </c>
      <c r="C126" s="72" t="s">
        <v>8</v>
      </c>
      <c r="D126" s="72" t="s">
        <v>36</v>
      </c>
      <c r="E126" s="72" t="s">
        <v>56</v>
      </c>
      <c r="F126" s="72">
        <v>1</v>
      </c>
      <c r="G126" s="73">
        <f t="shared" si="22"/>
        <v>30</v>
      </c>
      <c r="H126" s="73">
        <f t="shared" si="23"/>
        <v>30</v>
      </c>
      <c r="I126" s="73">
        <f t="shared" si="14"/>
        <v>30</v>
      </c>
      <c r="J126" s="72" t="s">
        <v>83</v>
      </c>
      <c r="K126" s="74"/>
      <c r="M126" s="99" t="s">
        <v>36</v>
      </c>
      <c r="N126" s="80">
        <f t="shared" si="21"/>
        <v>3</v>
      </c>
      <c r="O126" s="76">
        <f>N126*F126</f>
        <v>3</v>
      </c>
      <c r="P126" s="100" t="s">
        <v>56</v>
      </c>
      <c r="AA126" s="92"/>
    </row>
    <row r="127" spans="1:27" x14ac:dyDescent="0.25">
      <c r="A127" s="95">
        <v>45549</v>
      </c>
      <c r="B127" s="72" t="s">
        <v>526</v>
      </c>
      <c r="C127" s="72" t="s">
        <v>8</v>
      </c>
      <c r="D127" s="72" t="s">
        <v>18</v>
      </c>
      <c r="E127" s="72" t="s">
        <v>56</v>
      </c>
      <c r="F127" s="72">
        <v>1</v>
      </c>
      <c r="G127" s="73">
        <f t="shared" si="22"/>
        <v>40</v>
      </c>
      <c r="H127" s="73">
        <f t="shared" si="23"/>
        <v>40</v>
      </c>
      <c r="I127" s="73">
        <f t="shared" si="14"/>
        <v>40</v>
      </c>
      <c r="J127" s="72" t="s">
        <v>83</v>
      </c>
      <c r="K127" s="74"/>
      <c r="M127" s="99" t="s">
        <v>18</v>
      </c>
      <c r="N127" s="80">
        <f t="shared" si="21"/>
        <v>16</v>
      </c>
      <c r="O127" s="76">
        <f>N127*F127</f>
        <v>16</v>
      </c>
      <c r="P127" s="100" t="s">
        <v>56</v>
      </c>
      <c r="AA127" s="92"/>
    </row>
    <row r="128" spans="1:27" x14ac:dyDescent="0.25">
      <c r="A128" s="95">
        <v>45549</v>
      </c>
      <c r="B128" s="72" t="s">
        <v>796</v>
      </c>
      <c r="C128" s="72" t="s">
        <v>10</v>
      </c>
      <c r="D128" s="72" t="s">
        <v>18</v>
      </c>
      <c r="E128" s="72" t="s">
        <v>56</v>
      </c>
      <c r="F128" s="72">
        <v>1</v>
      </c>
      <c r="G128" s="73">
        <f t="shared" si="22"/>
        <v>40</v>
      </c>
      <c r="H128" s="73">
        <f t="shared" si="23"/>
        <v>40</v>
      </c>
      <c r="I128" s="73">
        <f t="shared" si="14"/>
        <v>39.043999999999997</v>
      </c>
      <c r="J128" s="72" t="s">
        <v>78</v>
      </c>
      <c r="K128" s="74"/>
      <c r="M128" s="99" t="s">
        <v>18</v>
      </c>
      <c r="N128" s="80">
        <f t="shared" si="21"/>
        <v>16</v>
      </c>
      <c r="O128" s="76">
        <f>N128*F128</f>
        <v>16</v>
      </c>
      <c r="P128" s="100" t="s">
        <v>56</v>
      </c>
      <c r="AA128" s="92"/>
    </row>
    <row r="129" spans="1:27" x14ac:dyDescent="0.25">
      <c r="A129" s="95">
        <v>45549</v>
      </c>
      <c r="B129" s="72" t="s">
        <v>591</v>
      </c>
      <c r="C129" s="72" t="s">
        <v>10</v>
      </c>
      <c r="D129" s="72" t="s">
        <v>18</v>
      </c>
      <c r="E129" s="72" t="s">
        <v>56</v>
      </c>
      <c r="F129" s="72">
        <v>1</v>
      </c>
      <c r="G129" s="73">
        <f t="shared" si="22"/>
        <v>40</v>
      </c>
      <c r="H129" s="73">
        <f t="shared" si="23"/>
        <v>40</v>
      </c>
      <c r="I129" s="73">
        <f t="shared" si="14"/>
        <v>39.043999999999997</v>
      </c>
      <c r="J129" s="72" t="s">
        <v>78</v>
      </c>
      <c r="K129" s="74"/>
      <c r="M129" s="99" t="s">
        <v>18</v>
      </c>
      <c r="N129" s="80">
        <f t="shared" si="21"/>
        <v>16</v>
      </c>
      <c r="O129" s="76">
        <f>N129*F129</f>
        <v>16</v>
      </c>
      <c r="P129" s="100" t="s">
        <v>56</v>
      </c>
      <c r="Q129" s="106">
        <f>SUM(O73:O129)</f>
        <v>382.5</v>
      </c>
      <c r="AA129" s="92"/>
    </row>
    <row r="130" spans="1:27" x14ac:dyDescent="0.25">
      <c r="A130" s="95">
        <v>45549</v>
      </c>
      <c r="B130" s="72" t="s">
        <v>772</v>
      </c>
      <c r="C130" s="72" t="s">
        <v>8</v>
      </c>
      <c r="D130" s="72" t="s">
        <v>17</v>
      </c>
      <c r="E130" s="72" t="s">
        <v>82</v>
      </c>
      <c r="F130" s="72">
        <v>1</v>
      </c>
      <c r="G130" s="73">
        <f t="shared" si="22"/>
        <v>50</v>
      </c>
      <c r="H130" s="73">
        <f t="shared" si="23"/>
        <v>50</v>
      </c>
      <c r="I130" s="73">
        <f t="shared" si="14"/>
        <v>47.505000000000003</v>
      </c>
      <c r="J130" s="72" t="s">
        <v>86</v>
      </c>
      <c r="K130" s="74"/>
      <c r="M130" s="99"/>
      <c r="N130" s="80" t="e">
        <f t="shared" si="21"/>
        <v>#N/A</v>
      </c>
      <c r="O130" s="76"/>
      <c r="P130" s="100"/>
      <c r="AA130" s="92"/>
    </row>
    <row r="131" spans="1:27" x14ac:dyDescent="0.25">
      <c r="A131" s="95">
        <v>45549</v>
      </c>
      <c r="B131" s="72" t="s">
        <v>200</v>
      </c>
      <c r="C131" s="72" t="s">
        <v>8</v>
      </c>
      <c r="D131" s="72" t="s">
        <v>18</v>
      </c>
      <c r="E131" s="72" t="s">
        <v>82</v>
      </c>
      <c r="F131" s="72">
        <v>1</v>
      </c>
      <c r="G131" s="73">
        <f t="shared" si="22"/>
        <v>40</v>
      </c>
      <c r="H131" s="73">
        <f t="shared" si="23"/>
        <v>40</v>
      </c>
      <c r="I131" s="73">
        <f t="shared" ref="I131:I194" si="24">IF(J131="Cartão de Debito",H131-(H131*$AC$5),IF(J131="Cartão de Credito",H131-(H131*$AC$6), IF(J131="Pix",H131-(H131*$AC$7), IF(J131="Dinheiro (R$)", H131-(H131*$AC$8)))))</f>
        <v>39.043999999999997</v>
      </c>
      <c r="J131" s="72" t="s">
        <v>78</v>
      </c>
      <c r="K131" s="74"/>
      <c r="M131" s="99"/>
      <c r="N131" s="80" t="e">
        <f t="shared" si="21"/>
        <v>#N/A</v>
      </c>
      <c r="O131" s="76"/>
      <c r="P131" s="100"/>
      <c r="AA131" s="92"/>
    </row>
    <row r="132" spans="1:27" x14ac:dyDescent="0.25">
      <c r="A132" s="95">
        <v>45549</v>
      </c>
      <c r="B132" s="72" t="s">
        <v>680</v>
      </c>
      <c r="C132" s="72" t="s">
        <v>8</v>
      </c>
      <c r="D132" s="72" t="s">
        <v>15</v>
      </c>
      <c r="E132" s="72" t="s">
        <v>82</v>
      </c>
      <c r="F132" s="72">
        <v>2</v>
      </c>
      <c r="G132" s="73">
        <v>65</v>
      </c>
      <c r="H132" s="73">
        <f t="shared" si="23"/>
        <v>130</v>
      </c>
      <c r="I132" s="73">
        <f t="shared" si="24"/>
        <v>123.51300000000001</v>
      </c>
      <c r="J132" s="72" t="s">
        <v>86</v>
      </c>
      <c r="K132" s="74"/>
      <c r="M132" s="99"/>
      <c r="N132" s="80" t="e">
        <f t="shared" si="21"/>
        <v>#N/A</v>
      </c>
      <c r="O132" s="76"/>
      <c r="P132" s="100"/>
      <c r="AA132" s="92"/>
    </row>
    <row r="133" spans="1:27" x14ac:dyDescent="0.25">
      <c r="A133" s="95">
        <v>45549</v>
      </c>
      <c r="B133" s="72" t="s">
        <v>324</v>
      </c>
      <c r="C133" s="72" t="s">
        <v>8</v>
      </c>
      <c r="D133" s="72" t="s">
        <v>17</v>
      </c>
      <c r="E133" s="72" t="s">
        <v>82</v>
      </c>
      <c r="F133" s="72">
        <v>1</v>
      </c>
      <c r="G133" s="73">
        <f t="shared" ref="G133:G156" si="25">VLOOKUP(D133,$S$3:$T$69,2,0)</f>
        <v>50</v>
      </c>
      <c r="H133" s="73">
        <f t="shared" si="23"/>
        <v>50</v>
      </c>
      <c r="I133" s="73">
        <f t="shared" si="24"/>
        <v>50</v>
      </c>
      <c r="J133" s="72" t="s">
        <v>83</v>
      </c>
      <c r="K133" s="74"/>
      <c r="M133" s="99"/>
      <c r="N133" s="80" t="e">
        <f t="shared" si="21"/>
        <v>#N/A</v>
      </c>
      <c r="O133" s="76"/>
      <c r="P133" s="100"/>
      <c r="AA133" s="92"/>
    </row>
    <row r="134" spans="1:27" x14ac:dyDescent="0.25">
      <c r="A134" s="95">
        <v>45554</v>
      </c>
      <c r="B134" s="72" t="s">
        <v>784</v>
      </c>
      <c r="C134" s="72" t="s">
        <v>8</v>
      </c>
      <c r="D134" s="72" t="s">
        <v>18</v>
      </c>
      <c r="E134" s="72" t="s">
        <v>56</v>
      </c>
      <c r="F134" s="72">
        <v>1</v>
      </c>
      <c r="G134" s="73">
        <f t="shared" si="25"/>
        <v>40</v>
      </c>
      <c r="H134" s="73">
        <f t="shared" si="23"/>
        <v>40</v>
      </c>
      <c r="I134" s="73">
        <f t="shared" si="24"/>
        <v>38.003999999999998</v>
      </c>
      <c r="J134" s="72" t="s">
        <v>86</v>
      </c>
      <c r="K134" s="74"/>
      <c r="M134" s="99" t="s">
        <v>18</v>
      </c>
      <c r="N134" s="80">
        <f t="shared" si="21"/>
        <v>16</v>
      </c>
      <c r="O134" s="76">
        <f>N134*F134</f>
        <v>16</v>
      </c>
      <c r="P134" s="100" t="s">
        <v>56</v>
      </c>
      <c r="AA134" s="92"/>
    </row>
    <row r="135" spans="1:27" x14ac:dyDescent="0.25">
      <c r="A135" s="95">
        <v>45554</v>
      </c>
      <c r="B135" s="72" t="s">
        <v>174</v>
      </c>
      <c r="C135" s="72" t="s">
        <v>8</v>
      </c>
      <c r="D135" s="72" t="s">
        <v>18</v>
      </c>
      <c r="E135" s="72" t="s">
        <v>56</v>
      </c>
      <c r="F135" s="72">
        <v>1</v>
      </c>
      <c r="G135" s="73">
        <f t="shared" si="25"/>
        <v>40</v>
      </c>
      <c r="H135" s="73">
        <f t="shared" si="23"/>
        <v>40</v>
      </c>
      <c r="I135" s="73">
        <f t="shared" si="24"/>
        <v>40</v>
      </c>
      <c r="J135" s="72" t="s">
        <v>83</v>
      </c>
      <c r="K135" s="74"/>
      <c r="M135" s="99" t="s">
        <v>18</v>
      </c>
      <c r="N135" s="80">
        <f t="shared" si="21"/>
        <v>16</v>
      </c>
      <c r="O135" s="76">
        <f>N135*F135</f>
        <v>16</v>
      </c>
      <c r="P135" s="100" t="s">
        <v>56</v>
      </c>
      <c r="AA135" s="92"/>
    </row>
    <row r="136" spans="1:27" x14ac:dyDescent="0.25">
      <c r="A136" s="95">
        <v>45554</v>
      </c>
      <c r="B136" s="72" t="s">
        <v>225</v>
      </c>
      <c r="C136" s="72" t="s">
        <v>8</v>
      </c>
      <c r="D136" s="72" t="s">
        <v>18</v>
      </c>
      <c r="E136" s="72" t="s">
        <v>56</v>
      </c>
      <c r="F136" s="72">
        <v>1</v>
      </c>
      <c r="G136" s="73">
        <f t="shared" si="25"/>
        <v>40</v>
      </c>
      <c r="H136" s="73">
        <f t="shared" si="23"/>
        <v>40</v>
      </c>
      <c r="I136" s="73">
        <f t="shared" si="24"/>
        <v>40</v>
      </c>
      <c r="J136" s="72" t="s">
        <v>83</v>
      </c>
      <c r="K136" s="74"/>
      <c r="M136" s="99" t="s">
        <v>18</v>
      </c>
      <c r="N136" s="80">
        <f t="shared" si="21"/>
        <v>16</v>
      </c>
      <c r="O136" s="76">
        <f>N136*F136</f>
        <v>16</v>
      </c>
      <c r="P136" s="100" t="s">
        <v>56</v>
      </c>
      <c r="AA136" s="92"/>
    </row>
    <row r="137" spans="1:27" x14ac:dyDescent="0.25">
      <c r="A137" s="95">
        <v>45554</v>
      </c>
      <c r="B137" s="72" t="s">
        <v>344</v>
      </c>
      <c r="C137" s="72" t="s">
        <v>9</v>
      </c>
      <c r="D137" s="72" t="s">
        <v>63</v>
      </c>
      <c r="E137" s="72" t="s">
        <v>56</v>
      </c>
      <c r="F137" s="72">
        <v>1</v>
      </c>
      <c r="G137" s="73">
        <f t="shared" si="25"/>
        <v>20</v>
      </c>
      <c r="H137" s="73">
        <f t="shared" si="23"/>
        <v>20</v>
      </c>
      <c r="I137" s="73">
        <f t="shared" si="24"/>
        <v>19.521999999999998</v>
      </c>
      <c r="J137" s="72" t="s">
        <v>78</v>
      </c>
      <c r="K137" s="74"/>
      <c r="M137" s="99" t="s">
        <v>63</v>
      </c>
      <c r="N137" s="80">
        <f t="shared" si="21"/>
        <v>2</v>
      </c>
      <c r="O137" s="76">
        <f>N137*F137</f>
        <v>2</v>
      </c>
      <c r="P137" s="100" t="s">
        <v>56</v>
      </c>
      <c r="AA137" s="92"/>
    </row>
    <row r="138" spans="1:27" x14ac:dyDescent="0.25">
      <c r="A138" s="95">
        <v>45554</v>
      </c>
      <c r="B138" s="72" t="s">
        <v>561</v>
      </c>
      <c r="C138" s="72" t="s">
        <v>8</v>
      </c>
      <c r="D138" s="72" t="s">
        <v>17</v>
      </c>
      <c r="E138" s="72" t="s">
        <v>82</v>
      </c>
      <c r="F138" s="72">
        <v>1</v>
      </c>
      <c r="G138" s="73">
        <f t="shared" si="25"/>
        <v>50</v>
      </c>
      <c r="H138" s="73">
        <f t="shared" si="23"/>
        <v>50</v>
      </c>
      <c r="I138" s="73">
        <f t="shared" si="24"/>
        <v>48.805</v>
      </c>
      <c r="J138" s="72" t="s">
        <v>78</v>
      </c>
      <c r="K138" s="74"/>
      <c r="M138" s="99"/>
      <c r="N138" s="80" t="e">
        <f t="shared" si="21"/>
        <v>#N/A</v>
      </c>
      <c r="O138" s="76"/>
      <c r="P138" s="100"/>
      <c r="AA138" s="92"/>
    </row>
    <row r="139" spans="1:27" x14ac:dyDescent="0.25">
      <c r="A139" s="95">
        <v>45554</v>
      </c>
      <c r="B139" s="72" t="s">
        <v>797</v>
      </c>
      <c r="C139" s="72" t="s">
        <v>8</v>
      </c>
      <c r="D139" s="72" t="s">
        <v>40</v>
      </c>
      <c r="E139" s="72" t="s">
        <v>82</v>
      </c>
      <c r="F139" s="72">
        <v>1</v>
      </c>
      <c r="G139" s="73">
        <f t="shared" si="25"/>
        <v>45</v>
      </c>
      <c r="H139" s="73">
        <f t="shared" si="23"/>
        <v>45</v>
      </c>
      <c r="I139" s="73">
        <f t="shared" si="24"/>
        <v>43.924500000000002</v>
      </c>
      <c r="J139" s="72" t="s">
        <v>78</v>
      </c>
      <c r="K139" s="74"/>
      <c r="M139" s="99"/>
      <c r="N139" s="80" t="e">
        <f t="shared" si="21"/>
        <v>#N/A</v>
      </c>
      <c r="O139" s="76"/>
      <c r="P139" s="100"/>
      <c r="AA139" s="92"/>
    </row>
    <row r="140" spans="1:27" x14ac:dyDescent="0.25">
      <c r="A140" s="95">
        <v>45554</v>
      </c>
      <c r="B140" s="72" t="s">
        <v>303</v>
      </c>
      <c r="C140" s="72" t="s">
        <v>8</v>
      </c>
      <c r="D140" s="72" t="s">
        <v>40</v>
      </c>
      <c r="E140" s="72" t="s">
        <v>82</v>
      </c>
      <c r="F140" s="72">
        <v>1</v>
      </c>
      <c r="G140" s="73">
        <f t="shared" si="25"/>
        <v>45</v>
      </c>
      <c r="H140" s="73">
        <f t="shared" si="23"/>
        <v>45</v>
      </c>
      <c r="I140" s="73">
        <f t="shared" si="24"/>
        <v>45</v>
      </c>
      <c r="J140" s="72" t="s">
        <v>83</v>
      </c>
      <c r="K140" s="74"/>
      <c r="M140" s="99"/>
      <c r="N140" s="80" t="e">
        <f t="shared" si="21"/>
        <v>#N/A</v>
      </c>
      <c r="O140" s="76"/>
      <c r="P140" s="100"/>
      <c r="AA140" s="92"/>
    </row>
    <row r="141" spans="1:27" x14ac:dyDescent="0.25">
      <c r="A141" s="95">
        <v>45554</v>
      </c>
      <c r="B141" s="72" t="s">
        <v>713</v>
      </c>
      <c r="C141" s="72" t="s">
        <v>8</v>
      </c>
      <c r="D141" s="72" t="s">
        <v>18</v>
      </c>
      <c r="E141" s="72" t="s">
        <v>56</v>
      </c>
      <c r="F141" s="72">
        <v>1</v>
      </c>
      <c r="G141" s="73">
        <f t="shared" si="25"/>
        <v>40</v>
      </c>
      <c r="H141" s="73">
        <f t="shared" si="23"/>
        <v>40</v>
      </c>
      <c r="I141" s="73">
        <f t="shared" si="24"/>
        <v>40</v>
      </c>
      <c r="J141" s="72" t="s">
        <v>83</v>
      </c>
      <c r="K141" s="74"/>
      <c r="M141" s="99" t="s">
        <v>18</v>
      </c>
      <c r="N141" s="80">
        <f t="shared" si="21"/>
        <v>16</v>
      </c>
      <c r="O141" s="76">
        <f>N141*F141</f>
        <v>16</v>
      </c>
      <c r="P141" s="100" t="s">
        <v>56</v>
      </c>
      <c r="AA141" s="92"/>
    </row>
    <row r="142" spans="1:27" x14ac:dyDescent="0.25">
      <c r="A142" s="95">
        <v>45554</v>
      </c>
      <c r="B142" s="72" t="s">
        <v>734</v>
      </c>
      <c r="C142" s="72" t="s">
        <v>8</v>
      </c>
      <c r="D142" s="72" t="s">
        <v>18</v>
      </c>
      <c r="E142" s="72" t="s">
        <v>56</v>
      </c>
      <c r="F142" s="72">
        <v>1</v>
      </c>
      <c r="G142" s="73">
        <f t="shared" si="25"/>
        <v>40</v>
      </c>
      <c r="H142" s="73">
        <f t="shared" si="23"/>
        <v>40</v>
      </c>
      <c r="I142" s="73">
        <f t="shared" si="24"/>
        <v>40</v>
      </c>
      <c r="J142" s="72" t="s">
        <v>83</v>
      </c>
      <c r="K142" s="74"/>
      <c r="M142" s="99" t="s">
        <v>18</v>
      </c>
      <c r="N142" s="80">
        <f t="shared" ref="N142:N173" si="26">VLOOKUP(M142,$S$3:$U$69,3,0)</f>
        <v>16</v>
      </c>
      <c r="O142" s="76">
        <f>N142*F142</f>
        <v>16</v>
      </c>
      <c r="P142" s="100" t="s">
        <v>56</v>
      </c>
      <c r="AA142" s="92"/>
    </row>
    <row r="143" spans="1:27" x14ac:dyDescent="0.25">
      <c r="A143" s="95">
        <v>45554</v>
      </c>
      <c r="B143" s="72" t="s">
        <v>734</v>
      </c>
      <c r="C143" s="72" t="s">
        <v>8</v>
      </c>
      <c r="D143" s="72" t="s">
        <v>779</v>
      </c>
      <c r="E143" s="72" t="s">
        <v>56</v>
      </c>
      <c r="F143" s="72">
        <v>1</v>
      </c>
      <c r="G143" s="73">
        <f t="shared" si="25"/>
        <v>3</v>
      </c>
      <c r="H143" s="73">
        <f t="shared" si="23"/>
        <v>3</v>
      </c>
      <c r="I143" s="73">
        <f t="shared" si="24"/>
        <v>3</v>
      </c>
      <c r="J143" s="72" t="s">
        <v>83</v>
      </c>
      <c r="K143" s="74"/>
      <c r="M143" s="99" t="s">
        <v>779</v>
      </c>
      <c r="N143" s="80">
        <f t="shared" si="26"/>
        <v>0.30000000000000004</v>
      </c>
      <c r="O143" s="76">
        <f>N143*F143</f>
        <v>0.30000000000000004</v>
      </c>
      <c r="P143" s="100" t="s">
        <v>56</v>
      </c>
      <c r="AA143" s="92"/>
    </row>
    <row r="144" spans="1:27" x14ac:dyDescent="0.25">
      <c r="A144" s="95">
        <v>45554</v>
      </c>
      <c r="B144" s="72" t="s">
        <v>518</v>
      </c>
      <c r="C144" s="72" t="s">
        <v>8</v>
      </c>
      <c r="D144" s="72" t="s">
        <v>17</v>
      </c>
      <c r="E144" s="72" t="s">
        <v>82</v>
      </c>
      <c r="F144" s="72">
        <v>1</v>
      </c>
      <c r="G144" s="73">
        <f t="shared" si="25"/>
        <v>50</v>
      </c>
      <c r="H144" s="73">
        <f t="shared" si="23"/>
        <v>50</v>
      </c>
      <c r="I144" s="73">
        <f t="shared" si="24"/>
        <v>47.505000000000003</v>
      </c>
      <c r="J144" s="72" t="s">
        <v>86</v>
      </c>
      <c r="K144" s="74"/>
      <c r="M144" s="99"/>
      <c r="N144" s="80" t="e">
        <f t="shared" si="26"/>
        <v>#N/A</v>
      </c>
      <c r="O144" s="76"/>
      <c r="P144" s="100"/>
      <c r="AA144" s="92"/>
    </row>
    <row r="145" spans="1:27" x14ac:dyDescent="0.25">
      <c r="A145" s="95">
        <v>45554</v>
      </c>
      <c r="B145" s="72" t="s">
        <v>518</v>
      </c>
      <c r="C145" s="72" t="s">
        <v>8</v>
      </c>
      <c r="D145" s="72" t="s">
        <v>777</v>
      </c>
      <c r="E145" s="72" t="s">
        <v>82</v>
      </c>
      <c r="F145" s="72">
        <v>1</v>
      </c>
      <c r="G145" s="73">
        <f t="shared" si="25"/>
        <v>4</v>
      </c>
      <c r="H145" s="73">
        <f t="shared" si="23"/>
        <v>4</v>
      </c>
      <c r="I145" s="73">
        <f t="shared" si="24"/>
        <v>4</v>
      </c>
      <c r="J145" s="72" t="s">
        <v>83</v>
      </c>
      <c r="K145" s="74"/>
      <c r="M145" s="99"/>
      <c r="N145" s="80" t="e">
        <f t="shared" si="26"/>
        <v>#N/A</v>
      </c>
      <c r="O145" s="76"/>
      <c r="P145" s="100"/>
      <c r="AA145" s="92"/>
    </row>
    <row r="146" spans="1:27" x14ac:dyDescent="0.25">
      <c r="A146" s="95">
        <v>45554</v>
      </c>
      <c r="B146" s="72" t="s">
        <v>220</v>
      </c>
      <c r="C146" s="72" t="s">
        <v>8</v>
      </c>
      <c r="D146" s="72" t="s">
        <v>17</v>
      </c>
      <c r="E146" s="72" t="s">
        <v>82</v>
      </c>
      <c r="F146" s="72">
        <v>1</v>
      </c>
      <c r="G146" s="73">
        <f t="shared" si="25"/>
        <v>50</v>
      </c>
      <c r="H146" s="73">
        <f t="shared" si="23"/>
        <v>50</v>
      </c>
      <c r="I146" s="73">
        <f t="shared" si="24"/>
        <v>50</v>
      </c>
      <c r="J146" s="72" t="s">
        <v>83</v>
      </c>
      <c r="K146" s="74"/>
      <c r="M146" s="99"/>
      <c r="N146" s="80" t="e">
        <f t="shared" si="26"/>
        <v>#N/A</v>
      </c>
      <c r="O146" s="76"/>
      <c r="P146" s="100"/>
      <c r="AA146" s="92"/>
    </row>
    <row r="147" spans="1:27" x14ac:dyDescent="0.25">
      <c r="A147" s="95">
        <v>45555</v>
      </c>
      <c r="B147" s="72" t="s">
        <v>798</v>
      </c>
      <c r="C147" s="72" t="s">
        <v>8</v>
      </c>
      <c r="D147" s="72" t="s">
        <v>19</v>
      </c>
      <c r="E147" s="72" t="s">
        <v>56</v>
      </c>
      <c r="F147" s="72">
        <v>1</v>
      </c>
      <c r="G147" s="73">
        <f t="shared" si="25"/>
        <v>40</v>
      </c>
      <c r="H147" s="73">
        <f t="shared" si="23"/>
        <v>40</v>
      </c>
      <c r="I147" s="73">
        <f t="shared" si="24"/>
        <v>40</v>
      </c>
      <c r="J147" s="72" t="s">
        <v>83</v>
      </c>
      <c r="K147" s="74"/>
      <c r="M147" s="99" t="s">
        <v>18</v>
      </c>
      <c r="N147" s="80">
        <f t="shared" si="26"/>
        <v>16</v>
      </c>
      <c r="O147" s="76">
        <f>N147*F147</f>
        <v>16</v>
      </c>
      <c r="P147" s="100" t="s">
        <v>56</v>
      </c>
      <c r="Q147" s="106"/>
      <c r="AA147" s="92"/>
    </row>
    <row r="148" spans="1:27" x14ac:dyDescent="0.25">
      <c r="A148" s="95">
        <v>45555</v>
      </c>
      <c r="B148" s="72" t="s">
        <v>182</v>
      </c>
      <c r="C148" s="72" t="s">
        <v>8</v>
      </c>
      <c r="D148" s="72" t="s">
        <v>40</v>
      </c>
      <c r="E148" s="72" t="s">
        <v>82</v>
      </c>
      <c r="F148" s="72">
        <v>1</v>
      </c>
      <c r="G148" s="73">
        <f t="shared" si="25"/>
        <v>45</v>
      </c>
      <c r="H148" s="73">
        <f t="shared" si="23"/>
        <v>45</v>
      </c>
      <c r="I148" s="73">
        <f t="shared" si="24"/>
        <v>45</v>
      </c>
      <c r="J148" s="72" t="s">
        <v>79</v>
      </c>
      <c r="K148" s="74"/>
      <c r="M148" s="99"/>
      <c r="N148" s="80" t="e">
        <f t="shared" si="26"/>
        <v>#N/A</v>
      </c>
      <c r="O148" s="76"/>
      <c r="P148" s="100"/>
      <c r="Y148" s="91" t="s">
        <v>309</v>
      </c>
      <c r="Z148" s="92">
        <v>6.8327</v>
      </c>
      <c r="AA148" s="92">
        <f t="shared" ref="AA148:AA189" si="27">Z148*0.1</f>
        <v>0.68327000000000004</v>
      </c>
    </row>
    <row r="149" spans="1:27" x14ac:dyDescent="0.25">
      <c r="A149" s="95">
        <v>45555</v>
      </c>
      <c r="B149" s="72" t="s">
        <v>705</v>
      </c>
      <c r="C149" s="72" t="s">
        <v>8</v>
      </c>
      <c r="D149" s="72" t="s">
        <v>18</v>
      </c>
      <c r="E149" s="72" t="s">
        <v>82</v>
      </c>
      <c r="F149" s="72">
        <v>1</v>
      </c>
      <c r="G149" s="73">
        <f t="shared" si="25"/>
        <v>40</v>
      </c>
      <c r="H149" s="73">
        <f t="shared" si="23"/>
        <v>40</v>
      </c>
      <c r="I149" s="73">
        <f t="shared" si="24"/>
        <v>40</v>
      </c>
      <c r="J149" s="72" t="s">
        <v>83</v>
      </c>
      <c r="K149" s="74"/>
      <c r="M149" s="99"/>
      <c r="N149" s="80" t="e">
        <f t="shared" si="26"/>
        <v>#N/A</v>
      </c>
      <c r="O149" s="76"/>
      <c r="P149" s="100"/>
      <c r="Y149" s="91" t="s">
        <v>311</v>
      </c>
      <c r="Z149" s="92">
        <v>6.6506999999999996</v>
      </c>
      <c r="AA149" s="92">
        <f t="shared" si="27"/>
        <v>0.66507000000000005</v>
      </c>
    </row>
    <row r="150" spans="1:27" x14ac:dyDescent="0.25">
      <c r="A150" s="95">
        <v>45555</v>
      </c>
      <c r="B150" s="72" t="s">
        <v>799</v>
      </c>
      <c r="C150" s="72" t="s">
        <v>8</v>
      </c>
      <c r="D150" s="72" t="s">
        <v>17</v>
      </c>
      <c r="E150" s="72" t="s">
        <v>82</v>
      </c>
      <c r="F150" s="72">
        <v>1</v>
      </c>
      <c r="G150" s="73">
        <f t="shared" si="25"/>
        <v>50</v>
      </c>
      <c r="H150" s="73">
        <f t="shared" si="23"/>
        <v>50</v>
      </c>
      <c r="I150" s="73">
        <f t="shared" si="24"/>
        <v>50</v>
      </c>
      <c r="J150" s="72" t="s">
        <v>79</v>
      </c>
      <c r="K150" s="74"/>
      <c r="M150" s="99"/>
      <c r="N150" s="80" t="e">
        <f t="shared" si="26"/>
        <v>#N/A</v>
      </c>
      <c r="O150" s="76"/>
      <c r="P150" s="100"/>
      <c r="Q150" s="106"/>
      <c r="Y150" s="91" t="s">
        <v>313</v>
      </c>
      <c r="Z150" s="92">
        <v>5</v>
      </c>
      <c r="AA150" s="92">
        <f t="shared" si="27"/>
        <v>0.5</v>
      </c>
    </row>
    <row r="151" spans="1:27" x14ac:dyDescent="0.25">
      <c r="A151" s="95">
        <v>45555</v>
      </c>
      <c r="B151" s="72" t="s">
        <v>800</v>
      </c>
      <c r="C151" s="72" t="s">
        <v>9</v>
      </c>
      <c r="D151" s="72" t="s">
        <v>22</v>
      </c>
      <c r="E151" s="72" t="s">
        <v>56</v>
      </c>
      <c r="F151" s="72">
        <v>1</v>
      </c>
      <c r="G151" s="73">
        <f t="shared" si="25"/>
        <v>30</v>
      </c>
      <c r="H151" s="73">
        <f t="shared" si="23"/>
        <v>30</v>
      </c>
      <c r="I151" s="73">
        <f t="shared" si="24"/>
        <v>30</v>
      </c>
      <c r="J151" s="72" t="s">
        <v>79</v>
      </c>
      <c r="K151" s="74"/>
      <c r="M151" s="99" t="s">
        <v>22</v>
      </c>
      <c r="N151" s="80">
        <f t="shared" si="26"/>
        <v>12</v>
      </c>
      <c r="O151" s="76">
        <f>N151*F151</f>
        <v>12</v>
      </c>
      <c r="P151" s="100" t="s">
        <v>56</v>
      </c>
      <c r="Y151" s="91" t="s">
        <v>316</v>
      </c>
      <c r="Z151" s="92">
        <v>5</v>
      </c>
      <c r="AA151" s="92">
        <f t="shared" si="27"/>
        <v>0.5</v>
      </c>
    </row>
    <row r="152" spans="1:27" x14ac:dyDescent="0.25">
      <c r="A152" s="95">
        <v>45555</v>
      </c>
      <c r="B152" s="72" t="s">
        <v>800</v>
      </c>
      <c r="C152" s="72" t="s">
        <v>9</v>
      </c>
      <c r="D152" s="72" t="s">
        <v>13</v>
      </c>
      <c r="E152" s="72" t="s">
        <v>56</v>
      </c>
      <c r="F152" s="72">
        <v>1</v>
      </c>
      <c r="G152" s="73">
        <f t="shared" si="25"/>
        <v>30</v>
      </c>
      <c r="H152" s="73">
        <f t="shared" ref="H152:H183" si="28">F152*G152</f>
        <v>30</v>
      </c>
      <c r="I152" s="73">
        <f t="shared" si="24"/>
        <v>30</v>
      </c>
      <c r="J152" s="72" t="s">
        <v>79</v>
      </c>
      <c r="K152" s="74"/>
      <c r="M152" s="99" t="s">
        <v>13</v>
      </c>
      <c r="N152" s="80">
        <f t="shared" si="26"/>
        <v>12</v>
      </c>
      <c r="O152" s="76">
        <f>N152*F152</f>
        <v>12</v>
      </c>
      <c r="P152" s="100" t="s">
        <v>56</v>
      </c>
      <c r="Y152" s="91" t="s">
        <v>318</v>
      </c>
      <c r="Z152" s="92">
        <v>4.8804999999999996</v>
      </c>
      <c r="AA152" s="92">
        <f t="shared" si="27"/>
        <v>0.48804999999999998</v>
      </c>
    </row>
    <row r="153" spans="1:27" x14ac:dyDescent="0.25">
      <c r="A153" s="95">
        <v>45555</v>
      </c>
      <c r="B153" s="72" t="s">
        <v>627</v>
      </c>
      <c r="C153" s="72" t="s">
        <v>8</v>
      </c>
      <c r="D153" s="72" t="s">
        <v>18</v>
      </c>
      <c r="E153" s="72" t="s">
        <v>56</v>
      </c>
      <c r="F153" s="72">
        <v>1</v>
      </c>
      <c r="G153" s="73">
        <f t="shared" si="25"/>
        <v>40</v>
      </c>
      <c r="H153" s="73">
        <f t="shared" si="28"/>
        <v>40</v>
      </c>
      <c r="I153" s="73">
        <f t="shared" si="24"/>
        <v>39.043999999999997</v>
      </c>
      <c r="J153" s="72" t="s">
        <v>78</v>
      </c>
      <c r="K153" s="74"/>
      <c r="M153" s="99" t="s">
        <v>18</v>
      </c>
      <c r="N153" s="80">
        <f t="shared" si="26"/>
        <v>16</v>
      </c>
      <c r="O153" s="76">
        <f>N153*F153</f>
        <v>16</v>
      </c>
      <c r="P153" s="100" t="s">
        <v>56</v>
      </c>
      <c r="Y153" s="91" t="s">
        <v>320</v>
      </c>
      <c r="Z153" s="92">
        <v>4.7504999999999997</v>
      </c>
      <c r="AA153" s="92">
        <f t="shared" si="27"/>
        <v>0.47504999999999997</v>
      </c>
    </row>
    <row r="154" spans="1:27" x14ac:dyDescent="0.25">
      <c r="A154" s="95">
        <v>45555</v>
      </c>
      <c r="B154" s="72" t="s">
        <v>801</v>
      </c>
      <c r="C154" s="72" t="s">
        <v>8</v>
      </c>
      <c r="D154" s="72" t="s">
        <v>18</v>
      </c>
      <c r="E154" s="72" t="s">
        <v>82</v>
      </c>
      <c r="F154" s="72">
        <v>1</v>
      </c>
      <c r="G154" s="73">
        <f t="shared" si="25"/>
        <v>40</v>
      </c>
      <c r="H154" s="73">
        <f t="shared" si="28"/>
        <v>40</v>
      </c>
      <c r="I154" s="73">
        <f t="shared" si="24"/>
        <v>38.003999999999998</v>
      </c>
      <c r="J154" s="72" t="s">
        <v>86</v>
      </c>
      <c r="K154" s="74"/>
      <c r="M154" s="99"/>
      <c r="N154" s="80" t="e">
        <f t="shared" si="26"/>
        <v>#N/A</v>
      </c>
      <c r="O154" s="76"/>
      <c r="P154" s="100"/>
      <c r="Y154" s="91" t="s">
        <v>321</v>
      </c>
      <c r="Z154" s="92">
        <v>10</v>
      </c>
      <c r="AA154" s="92">
        <f t="shared" si="27"/>
        <v>1</v>
      </c>
    </row>
    <row r="155" spans="1:27" x14ac:dyDescent="0.25">
      <c r="A155" s="95">
        <v>45555</v>
      </c>
      <c r="B155" s="72" t="s">
        <v>308</v>
      </c>
      <c r="C155" s="72" t="s">
        <v>8</v>
      </c>
      <c r="D155" s="72" t="s">
        <v>18</v>
      </c>
      <c r="E155" s="72" t="s">
        <v>82</v>
      </c>
      <c r="F155" s="72">
        <v>1</v>
      </c>
      <c r="G155" s="73">
        <f t="shared" si="25"/>
        <v>40</v>
      </c>
      <c r="H155" s="73">
        <f t="shared" si="28"/>
        <v>40</v>
      </c>
      <c r="I155" s="73">
        <f t="shared" si="24"/>
        <v>38.003999999999998</v>
      </c>
      <c r="J155" s="72" t="s">
        <v>86</v>
      </c>
      <c r="K155" s="74"/>
      <c r="M155" s="99"/>
      <c r="N155" s="80" t="e">
        <f t="shared" si="26"/>
        <v>#N/A</v>
      </c>
      <c r="O155" s="76"/>
      <c r="P155" s="100"/>
      <c r="Y155" s="91" t="s">
        <v>323</v>
      </c>
      <c r="Z155" s="92">
        <v>10</v>
      </c>
      <c r="AA155" s="92">
        <f t="shared" si="27"/>
        <v>1</v>
      </c>
    </row>
    <row r="156" spans="1:27" x14ac:dyDescent="0.25">
      <c r="A156" s="95">
        <v>45555</v>
      </c>
      <c r="B156" s="72" t="s">
        <v>308</v>
      </c>
      <c r="C156" s="72" t="s">
        <v>8</v>
      </c>
      <c r="D156" s="72" t="s">
        <v>774</v>
      </c>
      <c r="E156" s="72" t="s">
        <v>82</v>
      </c>
      <c r="F156" s="72">
        <v>1</v>
      </c>
      <c r="G156" s="73">
        <f t="shared" si="25"/>
        <v>4.5</v>
      </c>
      <c r="H156" s="73">
        <f t="shared" si="28"/>
        <v>4.5</v>
      </c>
      <c r="I156" s="73">
        <f t="shared" si="24"/>
        <v>4.2754500000000002</v>
      </c>
      <c r="J156" s="72" t="s">
        <v>86</v>
      </c>
      <c r="K156" s="74"/>
      <c r="M156" s="99"/>
      <c r="N156" s="80" t="e">
        <f t="shared" si="26"/>
        <v>#N/A</v>
      </c>
      <c r="O156" s="76"/>
      <c r="P156" s="100"/>
      <c r="Y156" s="91" t="s">
        <v>325</v>
      </c>
      <c r="Z156" s="92">
        <v>9.7609999999999992</v>
      </c>
      <c r="AA156" s="92">
        <f t="shared" si="27"/>
        <v>0.97609999999999997</v>
      </c>
    </row>
    <row r="157" spans="1:27" x14ac:dyDescent="0.25">
      <c r="A157" s="95">
        <v>45556</v>
      </c>
      <c r="B157" s="72" t="s">
        <v>708</v>
      </c>
      <c r="C157" s="72" t="s">
        <v>8</v>
      </c>
      <c r="D157" s="72" t="s">
        <v>17</v>
      </c>
      <c r="E157" s="72" t="s">
        <v>82</v>
      </c>
      <c r="F157" s="72">
        <v>1</v>
      </c>
      <c r="G157" s="73">
        <v>45</v>
      </c>
      <c r="H157" s="73">
        <f t="shared" si="28"/>
        <v>45</v>
      </c>
      <c r="I157" s="73">
        <f t="shared" si="24"/>
        <v>45</v>
      </c>
      <c r="J157" s="72" t="s">
        <v>83</v>
      </c>
      <c r="K157" s="74"/>
      <c r="M157" s="99"/>
      <c r="N157" s="80" t="e">
        <f t="shared" si="26"/>
        <v>#N/A</v>
      </c>
      <c r="O157" s="76"/>
      <c r="P157" s="100"/>
      <c r="Y157" s="91" t="s">
        <v>326</v>
      </c>
      <c r="Z157" s="92">
        <v>9.5009999999999994</v>
      </c>
      <c r="AA157" s="92">
        <f t="shared" si="27"/>
        <v>0.95009999999999994</v>
      </c>
    </row>
    <row r="158" spans="1:27" x14ac:dyDescent="0.25">
      <c r="A158" s="95">
        <v>45556</v>
      </c>
      <c r="B158" s="72" t="s">
        <v>708</v>
      </c>
      <c r="C158" s="72" t="s">
        <v>8</v>
      </c>
      <c r="D158" s="72" t="s">
        <v>61</v>
      </c>
      <c r="E158" s="72" t="s">
        <v>82</v>
      </c>
      <c r="F158" s="72">
        <v>1</v>
      </c>
      <c r="G158" s="73">
        <f t="shared" ref="G158:G188" si="29">VLOOKUP(D158,$S$3:$T$69,2,0)</f>
        <v>35</v>
      </c>
      <c r="H158" s="73">
        <f t="shared" si="28"/>
        <v>35</v>
      </c>
      <c r="I158" s="73">
        <f t="shared" si="24"/>
        <v>35</v>
      </c>
      <c r="J158" s="72" t="s">
        <v>83</v>
      </c>
      <c r="K158" s="74"/>
      <c r="M158" s="99"/>
      <c r="N158" s="80" t="e">
        <f t="shared" si="26"/>
        <v>#N/A</v>
      </c>
      <c r="O158" s="76"/>
      <c r="P158" s="100"/>
      <c r="Q158" s="106"/>
      <c r="Y158" s="91" t="s">
        <v>327</v>
      </c>
      <c r="Z158" s="92">
        <v>5</v>
      </c>
      <c r="AA158" s="92">
        <f t="shared" si="27"/>
        <v>0.5</v>
      </c>
    </row>
    <row r="159" spans="1:27" x14ac:dyDescent="0.25">
      <c r="A159" s="95">
        <v>45556</v>
      </c>
      <c r="B159" s="72" t="s">
        <v>297</v>
      </c>
      <c r="C159" s="72" t="s">
        <v>8</v>
      </c>
      <c r="D159" s="72" t="s">
        <v>22</v>
      </c>
      <c r="E159" s="72" t="s">
        <v>82</v>
      </c>
      <c r="F159" s="72">
        <v>1</v>
      </c>
      <c r="G159" s="73">
        <f t="shared" si="29"/>
        <v>30</v>
      </c>
      <c r="H159" s="73">
        <f t="shared" si="28"/>
        <v>30</v>
      </c>
      <c r="I159" s="73">
        <f t="shared" si="24"/>
        <v>28.503</v>
      </c>
      <c r="J159" s="72" t="s">
        <v>86</v>
      </c>
      <c r="K159" s="74"/>
      <c r="M159" s="99"/>
      <c r="N159" s="80" t="e">
        <f t="shared" si="26"/>
        <v>#N/A</v>
      </c>
      <c r="O159" s="76"/>
      <c r="P159" s="100"/>
      <c r="Y159" s="91" t="s">
        <v>329</v>
      </c>
      <c r="Z159" s="92">
        <v>5</v>
      </c>
      <c r="AA159" s="92">
        <f t="shared" si="27"/>
        <v>0.5</v>
      </c>
    </row>
    <row r="160" spans="1:27" x14ac:dyDescent="0.25">
      <c r="A160" s="95">
        <v>45556</v>
      </c>
      <c r="B160" s="72" t="s">
        <v>297</v>
      </c>
      <c r="C160" s="72" t="s">
        <v>8</v>
      </c>
      <c r="D160" s="72" t="s">
        <v>13</v>
      </c>
      <c r="E160" s="72" t="s">
        <v>82</v>
      </c>
      <c r="F160" s="72">
        <v>1</v>
      </c>
      <c r="G160" s="73">
        <f t="shared" si="29"/>
        <v>30</v>
      </c>
      <c r="H160" s="73">
        <f t="shared" si="28"/>
        <v>30</v>
      </c>
      <c r="I160" s="73">
        <f t="shared" si="24"/>
        <v>28.503</v>
      </c>
      <c r="J160" s="72" t="s">
        <v>86</v>
      </c>
      <c r="K160" s="74"/>
      <c r="M160" s="99"/>
      <c r="N160" s="80" t="e">
        <f t="shared" si="26"/>
        <v>#N/A</v>
      </c>
      <c r="O160" s="76"/>
      <c r="P160" s="100"/>
      <c r="Y160" s="91" t="s">
        <v>330</v>
      </c>
      <c r="Z160" s="92">
        <v>4.8804999999999996</v>
      </c>
      <c r="AA160" s="92">
        <f t="shared" si="27"/>
        <v>0.48804999999999998</v>
      </c>
    </row>
    <row r="161" spans="1:27" x14ac:dyDescent="0.25">
      <c r="A161" s="95">
        <v>45556</v>
      </c>
      <c r="B161" s="72" t="s">
        <v>488</v>
      </c>
      <c r="C161" s="72" t="s">
        <v>8</v>
      </c>
      <c r="D161" s="72" t="s">
        <v>15</v>
      </c>
      <c r="E161" s="72" t="s">
        <v>56</v>
      </c>
      <c r="F161" s="72">
        <v>1</v>
      </c>
      <c r="G161" s="73">
        <f t="shared" si="29"/>
        <v>70</v>
      </c>
      <c r="H161" s="73">
        <f t="shared" si="28"/>
        <v>70</v>
      </c>
      <c r="I161" s="73">
        <f t="shared" si="24"/>
        <v>68.326999999999998</v>
      </c>
      <c r="J161" s="72" t="s">
        <v>78</v>
      </c>
      <c r="K161" s="74"/>
      <c r="M161" s="99" t="s">
        <v>15</v>
      </c>
      <c r="N161" s="80">
        <f t="shared" si="26"/>
        <v>28</v>
      </c>
      <c r="O161" s="76">
        <f>N161*F161</f>
        <v>28</v>
      </c>
      <c r="P161" s="100" t="s">
        <v>56</v>
      </c>
      <c r="Y161" s="91" t="s">
        <v>331</v>
      </c>
      <c r="Z161" s="92">
        <v>4.7504999999999997</v>
      </c>
      <c r="AA161" s="92">
        <f t="shared" si="27"/>
        <v>0.47504999999999997</v>
      </c>
    </row>
    <row r="162" spans="1:27" x14ac:dyDescent="0.25">
      <c r="A162" s="95">
        <v>45556</v>
      </c>
      <c r="B162" s="72" t="s">
        <v>531</v>
      </c>
      <c r="C162" s="72" t="s">
        <v>8</v>
      </c>
      <c r="D162" s="72" t="s">
        <v>17</v>
      </c>
      <c r="E162" s="72" t="s">
        <v>56</v>
      </c>
      <c r="F162" s="72">
        <v>1</v>
      </c>
      <c r="G162" s="73">
        <f t="shared" si="29"/>
        <v>50</v>
      </c>
      <c r="H162" s="73">
        <f t="shared" si="28"/>
        <v>50</v>
      </c>
      <c r="I162" s="73">
        <f t="shared" si="24"/>
        <v>50</v>
      </c>
      <c r="J162" s="72" t="s">
        <v>83</v>
      </c>
      <c r="K162" s="74"/>
      <c r="M162" s="99" t="s">
        <v>17</v>
      </c>
      <c r="N162" s="80">
        <f t="shared" si="26"/>
        <v>20</v>
      </c>
      <c r="O162" s="76">
        <f>N162*F162</f>
        <v>20</v>
      </c>
      <c r="P162" s="100" t="s">
        <v>56</v>
      </c>
      <c r="Y162" s="91" t="s">
        <v>334</v>
      </c>
      <c r="Z162" s="92">
        <v>7</v>
      </c>
      <c r="AA162" s="92">
        <f t="shared" si="27"/>
        <v>0.70000000000000007</v>
      </c>
    </row>
    <row r="163" spans="1:27" x14ac:dyDescent="0.25">
      <c r="A163" s="95">
        <v>45556</v>
      </c>
      <c r="B163" s="72" t="s">
        <v>802</v>
      </c>
      <c r="C163" s="72" t="s">
        <v>8</v>
      </c>
      <c r="D163" s="72" t="s">
        <v>19</v>
      </c>
      <c r="E163" s="72" t="s">
        <v>56</v>
      </c>
      <c r="F163" s="72">
        <v>1</v>
      </c>
      <c r="G163" s="73">
        <f t="shared" si="29"/>
        <v>40</v>
      </c>
      <c r="H163" s="73">
        <f t="shared" si="28"/>
        <v>40</v>
      </c>
      <c r="I163" s="73">
        <f t="shared" si="24"/>
        <v>38.003999999999998</v>
      </c>
      <c r="J163" s="72" t="s">
        <v>86</v>
      </c>
      <c r="K163" s="74"/>
      <c r="M163" s="99" t="s">
        <v>19</v>
      </c>
      <c r="N163" s="80">
        <f t="shared" si="26"/>
        <v>16</v>
      </c>
      <c r="O163" s="76">
        <f>N163*F163</f>
        <v>16</v>
      </c>
      <c r="P163" s="100" t="s">
        <v>56</v>
      </c>
      <c r="Y163" s="91" t="s">
        <v>335</v>
      </c>
      <c r="Z163" s="92">
        <v>7</v>
      </c>
      <c r="AA163" s="92">
        <f t="shared" si="27"/>
        <v>0.70000000000000007</v>
      </c>
    </row>
    <row r="164" spans="1:27" x14ac:dyDescent="0.25">
      <c r="A164" s="95">
        <v>45556</v>
      </c>
      <c r="B164" s="72" t="s">
        <v>802</v>
      </c>
      <c r="C164" s="72" t="s">
        <v>8</v>
      </c>
      <c r="D164" s="72" t="s">
        <v>34</v>
      </c>
      <c r="E164" s="72" t="s">
        <v>56</v>
      </c>
      <c r="F164" s="72">
        <v>1</v>
      </c>
      <c r="G164" s="73">
        <f t="shared" si="29"/>
        <v>10</v>
      </c>
      <c r="H164" s="73">
        <f t="shared" si="28"/>
        <v>10</v>
      </c>
      <c r="I164" s="73">
        <f t="shared" si="24"/>
        <v>9.5009999999999994</v>
      </c>
      <c r="J164" s="72" t="s">
        <v>86</v>
      </c>
      <c r="K164" s="74"/>
      <c r="M164" s="99" t="s">
        <v>34</v>
      </c>
      <c r="N164" s="80">
        <f t="shared" si="26"/>
        <v>1</v>
      </c>
      <c r="O164" s="76">
        <f>N164*F164</f>
        <v>1</v>
      </c>
      <c r="P164" s="100" t="s">
        <v>56</v>
      </c>
      <c r="Y164" s="91" t="s">
        <v>337</v>
      </c>
      <c r="Z164" s="92">
        <v>6.8327</v>
      </c>
      <c r="AA164" s="92">
        <f t="shared" si="27"/>
        <v>0.68327000000000004</v>
      </c>
    </row>
    <row r="165" spans="1:27" x14ac:dyDescent="0.25">
      <c r="A165" s="95">
        <v>45556</v>
      </c>
      <c r="B165" s="72" t="s">
        <v>734</v>
      </c>
      <c r="C165" s="72" t="s">
        <v>8</v>
      </c>
      <c r="D165" s="72" t="s">
        <v>17</v>
      </c>
      <c r="E165" s="72" t="s">
        <v>82</v>
      </c>
      <c r="F165" s="72">
        <v>1</v>
      </c>
      <c r="G165" s="73">
        <f t="shared" si="29"/>
        <v>50</v>
      </c>
      <c r="H165" s="73">
        <f t="shared" si="28"/>
        <v>50</v>
      </c>
      <c r="I165" s="73">
        <f t="shared" si="24"/>
        <v>47.505000000000003</v>
      </c>
      <c r="J165" s="72" t="s">
        <v>86</v>
      </c>
      <c r="K165" s="74"/>
      <c r="M165" s="99"/>
      <c r="N165" s="80" t="e">
        <f t="shared" si="26"/>
        <v>#N/A</v>
      </c>
      <c r="O165" s="76"/>
      <c r="P165" s="100"/>
      <c r="Y165" s="91" t="s">
        <v>339</v>
      </c>
      <c r="Z165" s="92">
        <v>6.6506999999999996</v>
      </c>
      <c r="AA165" s="92">
        <f t="shared" si="27"/>
        <v>0.66507000000000005</v>
      </c>
    </row>
    <row r="166" spans="1:27" x14ac:dyDescent="0.25">
      <c r="A166" s="95">
        <v>45556</v>
      </c>
      <c r="B166" s="72" t="s">
        <v>576</v>
      </c>
      <c r="C166" s="72" t="s">
        <v>8</v>
      </c>
      <c r="D166" s="72" t="s">
        <v>15</v>
      </c>
      <c r="E166" s="72" t="s">
        <v>56</v>
      </c>
      <c r="F166" s="72">
        <v>1</v>
      </c>
      <c r="G166" s="73">
        <f t="shared" si="29"/>
        <v>70</v>
      </c>
      <c r="H166" s="73">
        <f t="shared" si="28"/>
        <v>70</v>
      </c>
      <c r="I166" s="73">
        <f t="shared" si="24"/>
        <v>66.507000000000005</v>
      </c>
      <c r="J166" s="72" t="s">
        <v>86</v>
      </c>
      <c r="K166" s="74"/>
      <c r="M166" s="99" t="s">
        <v>15</v>
      </c>
      <c r="N166" s="80">
        <f t="shared" si="26"/>
        <v>28</v>
      </c>
      <c r="O166" s="76">
        <f>N166*F166</f>
        <v>28</v>
      </c>
      <c r="P166" s="100" t="s">
        <v>56</v>
      </c>
      <c r="Y166" s="91" t="s">
        <v>341</v>
      </c>
      <c r="Z166" s="92">
        <v>3.5</v>
      </c>
      <c r="AA166" s="92">
        <f t="shared" si="27"/>
        <v>0.35000000000000003</v>
      </c>
    </row>
    <row r="167" spans="1:27" x14ac:dyDescent="0.25">
      <c r="A167" s="95">
        <v>45556</v>
      </c>
      <c r="B167" s="72" t="s">
        <v>803</v>
      </c>
      <c r="C167" s="72" t="s">
        <v>8</v>
      </c>
      <c r="D167" s="72" t="s">
        <v>15</v>
      </c>
      <c r="E167" s="72" t="s">
        <v>56</v>
      </c>
      <c r="F167" s="72">
        <v>1</v>
      </c>
      <c r="G167" s="73">
        <f t="shared" si="29"/>
        <v>70</v>
      </c>
      <c r="H167" s="73">
        <f t="shared" si="28"/>
        <v>70</v>
      </c>
      <c r="I167" s="73">
        <f t="shared" si="24"/>
        <v>68.326999999999998</v>
      </c>
      <c r="J167" s="72" t="s">
        <v>78</v>
      </c>
      <c r="K167" s="74"/>
      <c r="M167" s="99" t="s">
        <v>15</v>
      </c>
      <c r="N167" s="80">
        <f t="shared" si="26"/>
        <v>28</v>
      </c>
      <c r="O167" s="76">
        <f>N167*F167</f>
        <v>28</v>
      </c>
      <c r="P167" s="100" t="s">
        <v>56</v>
      </c>
      <c r="Y167" s="91" t="s">
        <v>343</v>
      </c>
      <c r="Z167" s="92">
        <v>3.5</v>
      </c>
      <c r="AA167" s="92">
        <f t="shared" si="27"/>
        <v>0.35000000000000003</v>
      </c>
    </row>
    <row r="168" spans="1:27" x14ac:dyDescent="0.25">
      <c r="A168" s="95">
        <v>45556</v>
      </c>
      <c r="B168" s="72" t="s">
        <v>775</v>
      </c>
      <c r="C168" s="72" t="s">
        <v>8</v>
      </c>
      <c r="D168" s="72" t="s">
        <v>18</v>
      </c>
      <c r="E168" s="72" t="s">
        <v>82</v>
      </c>
      <c r="F168" s="72">
        <v>1</v>
      </c>
      <c r="G168" s="73">
        <f t="shared" si="29"/>
        <v>40</v>
      </c>
      <c r="H168" s="73">
        <f t="shared" si="28"/>
        <v>40</v>
      </c>
      <c r="I168" s="73">
        <f t="shared" si="24"/>
        <v>40</v>
      </c>
      <c r="J168" s="72" t="s">
        <v>83</v>
      </c>
      <c r="K168" s="74"/>
      <c r="M168" s="99"/>
      <c r="N168" s="80" t="e">
        <f t="shared" si="26"/>
        <v>#N/A</v>
      </c>
      <c r="O168" s="76"/>
      <c r="P168" s="100"/>
      <c r="Y168" s="91" t="s">
        <v>345</v>
      </c>
      <c r="Z168" s="92">
        <v>3.41635</v>
      </c>
      <c r="AA168" s="92">
        <f t="shared" si="27"/>
        <v>0.34163500000000002</v>
      </c>
    </row>
    <row r="169" spans="1:27" x14ac:dyDescent="0.25">
      <c r="A169" s="95">
        <v>45556</v>
      </c>
      <c r="B169" s="72" t="s">
        <v>804</v>
      </c>
      <c r="C169" s="72" t="s">
        <v>8</v>
      </c>
      <c r="D169" s="72" t="s">
        <v>17</v>
      </c>
      <c r="E169" s="72" t="s">
        <v>82</v>
      </c>
      <c r="F169" s="72">
        <v>1</v>
      </c>
      <c r="G169" s="73">
        <f t="shared" si="29"/>
        <v>50</v>
      </c>
      <c r="H169" s="73">
        <f t="shared" si="28"/>
        <v>50</v>
      </c>
      <c r="I169" s="73">
        <f t="shared" si="24"/>
        <v>50</v>
      </c>
      <c r="J169" s="72" t="s">
        <v>79</v>
      </c>
      <c r="K169" s="74"/>
      <c r="M169" s="99"/>
      <c r="N169" s="80" t="e">
        <f t="shared" si="26"/>
        <v>#N/A</v>
      </c>
      <c r="O169" s="76"/>
      <c r="P169" s="100"/>
      <c r="Y169" s="91" t="s">
        <v>347</v>
      </c>
      <c r="Z169" s="92">
        <v>3.3253499999999998</v>
      </c>
      <c r="AA169" s="92">
        <f t="shared" si="27"/>
        <v>0.33253500000000003</v>
      </c>
    </row>
    <row r="170" spans="1:27" x14ac:dyDescent="0.25">
      <c r="A170" s="95">
        <v>45556</v>
      </c>
      <c r="B170" s="72" t="s">
        <v>251</v>
      </c>
      <c r="C170" s="72" t="s">
        <v>8</v>
      </c>
      <c r="D170" s="72" t="s">
        <v>17</v>
      </c>
      <c r="E170" s="72" t="s">
        <v>82</v>
      </c>
      <c r="F170" s="72">
        <v>1</v>
      </c>
      <c r="G170" s="73">
        <f t="shared" si="29"/>
        <v>50</v>
      </c>
      <c r="H170" s="73">
        <f t="shared" si="28"/>
        <v>50</v>
      </c>
      <c r="I170" s="73">
        <f t="shared" si="24"/>
        <v>50</v>
      </c>
      <c r="J170" s="72" t="s">
        <v>79</v>
      </c>
      <c r="K170" s="74"/>
      <c r="M170" s="99"/>
      <c r="N170" s="80" t="e">
        <f t="shared" si="26"/>
        <v>#N/A</v>
      </c>
      <c r="O170" s="76"/>
      <c r="P170" s="100"/>
      <c r="Y170" s="91" t="s">
        <v>348</v>
      </c>
      <c r="Z170" s="92">
        <v>5</v>
      </c>
      <c r="AA170" s="92">
        <f t="shared" si="27"/>
        <v>0.5</v>
      </c>
    </row>
    <row r="171" spans="1:27" x14ac:dyDescent="0.25">
      <c r="A171" s="95">
        <v>45556</v>
      </c>
      <c r="B171" s="72" t="s">
        <v>479</v>
      </c>
      <c r="C171" s="72" t="s">
        <v>8</v>
      </c>
      <c r="D171" s="72" t="s">
        <v>17</v>
      </c>
      <c r="E171" s="72" t="s">
        <v>82</v>
      </c>
      <c r="F171" s="72">
        <v>1</v>
      </c>
      <c r="G171" s="73">
        <f t="shared" si="29"/>
        <v>50</v>
      </c>
      <c r="H171" s="73">
        <f t="shared" si="28"/>
        <v>50</v>
      </c>
      <c r="I171" s="73">
        <f t="shared" si="24"/>
        <v>48.805</v>
      </c>
      <c r="J171" s="72" t="s">
        <v>78</v>
      </c>
      <c r="K171" s="74"/>
      <c r="M171" s="99"/>
      <c r="N171" s="80" t="e">
        <f t="shared" si="26"/>
        <v>#N/A</v>
      </c>
      <c r="O171" s="76"/>
      <c r="P171" s="100"/>
      <c r="Y171" s="91" t="s">
        <v>349</v>
      </c>
      <c r="Z171" s="92">
        <v>5</v>
      </c>
      <c r="AA171" s="92">
        <f t="shared" si="27"/>
        <v>0.5</v>
      </c>
    </row>
    <row r="172" spans="1:27" x14ac:dyDescent="0.25">
      <c r="A172" s="95">
        <v>45556</v>
      </c>
      <c r="B172" s="72" t="s">
        <v>805</v>
      </c>
      <c r="C172" s="72" t="s">
        <v>8</v>
      </c>
      <c r="D172" s="72" t="s">
        <v>13</v>
      </c>
      <c r="E172" s="72" t="s">
        <v>82</v>
      </c>
      <c r="F172" s="72">
        <v>1</v>
      </c>
      <c r="G172" s="73">
        <f t="shared" si="29"/>
        <v>30</v>
      </c>
      <c r="H172" s="73">
        <f t="shared" si="28"/>
        <v>30</v>
      </c>
      <c r="I172" s="73">
        <f t="shared" si="24"/>
        <v>30</v>
      </c>
      <c r="J172" s="72" t="s">
        <v>83</v>
      </c>
      <c r="K172" s="74"/>
      <c r="M172" s="99"/>
      <c r="N172" s="80" t="e">
        <f t="shared" si="26"/>
        <v>#N/A</v>
      </c>
      <c r="O172" s="76"/>
      <c r="P172" s="100"/>
      <c r="Y172" s="91" t="s">
        <v>351</v>
      </c>
      <c r="Z172" s="92">
        <v>4.8804999999999996</v>
      </c>
      <c r="AA172" s="92">
        <f t="shared" si="27"/>
        <v>0.48804999999999998</v>
      </c>
    </row>
    <row r="173" spans="1:27" x14ac:dyDescent="0.25">
      <c r="A173" s="95">
        <v>45556</v>
      </c>
      <c r="B173" s="72" t="s">
        <v>748</v>
      </c>
      <c r="C173" s="72" t="s">
        <v>8</v>
      </c>
      <c r="D173" s="72" t="s">
        <v>21</v>
      </c>
      <c r="E173" s="72" t="s">
        <v>82</v>
      </c>
      <c r="F173" s="72">
        <v>1</v>
      </c>
      <c r="G173" s="73">
        <f t="shared" si="29"/>
        <v>10</v>
      </c>
      <c r="H173" s="73">
        <f t="shared" si="28"/>
        <v>10</v>
      </c>
      <c r="I173" s="73">
        <f t="shared" si="24"/>
        <v>10</v>
      </c>
      <c r="J173" s="72" t="s">
        <v>83</v>
      </c>
      <c r="K173" s="74"/>
      <c r="M173" s="99"/>
      <c r="N173" s="80" t="e">
        <f t="shared" si="26"/>
        <v>#N/A</v>
      </c>
      <c r="O173" s="76"/>
      <c r="P173" s="100"/>
      <c r="Y173" s="91" t="s">
        <v>352</v>
      </c>
      <c r="Z173" s="92">
        <v>4.7504999999999997</v>
      </c>
      <c r="AA173" s="92">
        <f t="shared" si="27"/>
        <v>0.47504999999999997</v>
      </c>
    </row>
    <row r="174" spans="1:27" x14ac:dyDescent="0.25">
      <c r="A174" s="95">
        <v>45556</v>
      </c>
      <c r="B174" s="72" t="s">
        <v>806</v>
      </c>
      <c r="C174" s="72" t="s">
        <v>8</v>
      </c>
      <c r="D174" s="72" t="s">
        <v>18</v>
      </c>
      <c r="E174" s="72" t="s">
        <v>56</v>
      </c>
      <c r="F174" s="72">
        <v>1</v>
      </c>
      <c r="G174" s="73">
        <f t="shared" si="29"/>
        <v>40</v>
      </c>
      <c r="H174" s="73">
        <f t="shared" si="28"/>
        <v>40</v>
      </c>
      <c r="I174" s="73">
        <f t="shared" si="24"/>
        <v>40</v>
      </c>
      <c r="J174" s="72" t="s">
        <v>83</v>
      </c>
      <c r="K174" s="74"/>
      <c r="M174" s="99" t="s">
        <v>18</v>
      </c>
      <c r="N174" s="80">
        <f t="shared" ref="N174:N205" si="30">VLOOKUP(M174,$S$3:$U$69,3,0)</f>
        <v>16</v>
      </c>
      <c r="O174" s="76">
        <f>N174*F174</f>
        <v>16</v>
      </c>
      <c r="P174" s="100" t="s">
        <v>56</v>
      </c>
      <c r="Y174" s="91" t="s">
        <v>353</v>
      </c>
      <c r="Z174" s="92">
        <v>7</v>
      </c>
      <c r="AA174" s="92">
        <f t="shared" si="27"/>
        <v>0.70000000000000007</v>
      </c>
    </row>
    <row r="175" spans="1:27" x14ac:dyDescent="0.25">
      <c r="A175" s="95">
        <v>45556</v>
      </c>
      <c r="B175" s="72" t="s">
        <v>806</v>
      </c>
      <c r="C175" s="72" t="s">
        <v>8</v>
      </c>
      <c r="D175" s="72" t="s">
        <v>600</v>
      </c>
      <c r="E175" s="72" t="s">
        <v>82</v>
      </c>
      <c r="F175" s="72">
        <v>1</v>
      </c>
      <c r="G175" s="73">
        <f t="shared" si="29"/>
        <v>50</v>
      </c>
      <c r="H175" s="73">
        <f t="shared" si="28"/>
        <v>50</v>
      </c>
      <c r="I175" s="73">
        <f t="shared" si="24"/>
        <v>50</v>
      </c>
      <c r="J175" s="72" t="s">
        <v>83</v>
      </c>
      <c r="K175" s="74"/>
      <c r="M175" s="99"/>
      <c r="N175" s="80" t="e">
        <f t="shared" si="30"/>
        <v>#N/A</v>
      </c>
      <c r="O175" s="76"/>
      <c r="P175" s="100"/>
      <c r="Y175" s="91" t="s">
        <v>355</v>
      </c>
      <c r="Z175" s="92">
        <v>7</v>
      </c>
      <c r="AA175" s="92">
        <f t="shared" si="27"/>
        <v>0.70000000000000007</v>
      </c>
    </row>
    <row r="176" spans="1:27" x14ac:dyDescent="0.25">
      <c r="A176" s="95">
        <v>45556</v>
      </c>
      <c r="B176" s="72" t="s">
        <v>204</v>
      </c>
      <c r="C176" s="72" t="s">
        <v>8</v>
      </c>
      <c r="D176" s="72" t="s">
        <v>18</v>
      </c>
      <c r="E176" s="72" t="s">
        <v>56</v>
      </c>
      <c r="F176" s="72">
        <v>1</v>
      </c>
      <c r="G176" s="73">
        <f t="shared" si="29"/>
        <v>40</v>
      </c>
      <c r="H176" s="73">
        <f t="shared" si="28"/>
        <v>40</v>
      </c>
      <c r="I176" s="73">
        <f t="shared" si="24"/>
        <v>40</v>
      </c>
      <c r="J176" s="72" t="s">
        <v>83</v>
      </c>
      <c r="K176" s="74"/>
      <c r="M176" s="72" t="s">
        <v>18</v>
      </c>
      <c r="N176" s="80">
        <f t="shared" si="30"/>
        <v>16</v>
      </c>
      <c r="O176" s="76">
        <f>N176*F176</f>
        <v>16</v>
      </c>
      <c r="P176" s="100" t="s">
        <v>56</v>
      </c>
      <c r="Q176" s="106">
        <f>SUM(O161:O176)</f>
        <v>153</v>
      </c>
      <c r="Y176" s="91" t="s">
        <v>357</v>
      </c>
      <c r="Z176" s="92">
        <v>6.8327</v>
      </c>
      <c r="AA176" s="92">
        <f t="shared" si="27"/>
        <v>0.68327000000000004</v>
      </c>
    </row>
    <row r="177" spans="1:28" x14ac:dyDescent="0.25">
      <c r="A177" s="95">
        <v>45559</v>
      </c>
      <c r="B177" s="72" t="s">
        <v>264</v>
      </c>
      <c r="C177" s="72" t="s">
        <v>8</v>
      </c>
      <c r="D177" s="72" t="s">
        <v>19</v>
      </c>
      <c r="E177" s="72" t="s">
        <v>82</v>
      </c>
      <c r="F177" s="72">
        <v>1</v>
      </c>
      <c r="G177" s="73">
        <f t="shared" si="29"/>
        <v>40</v>
      </c>
      <c r="H177" s="73">
        <f t="shared" si="28"/>
        <v>40</v>
      </c>
      <c r="I177" s="73">
        <f t="shared" si="24"/>
        <v>40</v>
      </c>
      <c r="J177" s="72" t="s">
        <v>79</v>
      </c>
      <c r="K177" s="74"/>
      <c r="M177" s="72"/>
      <c r="N177" s="80" t="e">
        <f t="shared" si="30"/>
        <v>#N/A</v>
      </c>
      <c r="O177" s="76"/>
      <c r="P177" s="100"/>
      <c r="Y177" s="91" t="s">
        <v>359</v>
      </c>
      <c r="Z177" s="92">
        <v>6.6506999999999996</v>
      </c>
      <c r="AA177" s="92">
        <f t="shared" si="27"/>
        <v>0.66507000000000005</v>
      </c>
    </row>
    <row r="178" spans="1:28" x14ac:dyDescent="0.25">
      <c r="A178" s="95">
        <v>45559</v>
      </c>
      <c r="B178" s="72" t="s">
        <v>524</v>
      </c>
      <c r="C178" s="72" t="s">
        <v>8</v>
      </c>
      <c r="D178" s="72" t="s">
        <v>15</v>
      </c>
      <c r="E178" s="72" t="s">
        <v>56</v>
      </c>
      <c r="F178" s="72">
        <v>1</v>
      </c>
      <c r="G178" s="73">
        <f t="shared" si="29"/>
        <v>70</v>
      </c>
      <c r="H178" s="73">
        <f t="shared" si="28"/>
        <v>70</v>
      </c>
      <c r="I178" s="73">
        <f t="shared" si="24"/>
        <v>68.326999999999998</v>
      </c>
      <c r="J178" s="72" t="s">
        <v>78</v>
      </c>
      <c r="K178" s="74"/>
      <c r="M178" s="72" t="s">
        <v>15</v>
      </c>
      <c r="N178" s="80">
        <f t="shared" si="30"/>
        <v>28</v>
      </c>
      <c r="O178" s="76">
        <f>N178*F178</f>
        <v>28</v>
      </c>
      <c r="P178" s="100" t="s">
        <v>56</v>
      </c>
      <c r="Y178" s="91" t="s">
        <v>361</v>
      </c>
      <c r="Z178" s="92">
        <v>7</v>
      </c>
      <c r="AA178" s="92">
        <f t="shared" si="27"/>
        <v>0.70000000000000007</v>
      </c>
    </row>
    <row r="179" spans="1:28" x14ac:dyDescent="0.25">
      <c r="A179" s="95">
        <v>45559</v>
      </c>
      <c r="B179" s="72" t="s">
        <v>483</v>
      </c>
      <c r="C179" s="72" t="s">
        <v>8</v>
      </c>
      <c r="D179" s="72" t="s">
        <v>15</v>
      </c>
      <c r="E179" s="72" t="s">
        <v>56</v>
      </c>
      <c r="F179" s="72">
        <v>1</v>
      </c>
      <c r="G179" s="73">
        <f t="shared" si="29"/>
        <v>70</v>
      </c>
      <c r="H179" s="73">
        <f t="shared" si="28"/>
        <v>70</v>
      </c>
      <c r="I179" s="73">
        <f t="shared" si="24"/>
        <v>70</v>
      </c>
      <c r="J179" s="72" t="s">
        <v>83</v>
      </c>
      <c r="K179" s="74"/>
      <c r="M179" s="99" t="s">
        <v>15</v>
      </c>
      <c r="N179" s="80">
        <f t="shared" si="30"/>
        <v>28</v>
      </c>
      <c r="O179" s="76">
        <f>N179*F179</f>
        <v>28</v>
      </c>
      <c r="P179" s="100" t="s">
        <v>56</v>
      </c>
      <c r="Y179" s="91" t="s">
        <v>363</v>
      </c>
      <c r="Z179" s="92">
        <v>7</v>
      </c>
      <c r="AA179" s="92">
        <f t="shared" si="27"/>
        <v>0.70000000000000007</v>
      </c>
    </row>
    <row r="180" spans="1:28" x14ac:dyDescent="0.25">
      <c r="A180" s="95">
        <v>45559</v>
      </c>
      <c r="B180" s="72" t="s">
        <v>308</v>
      </c>
      <c r="C180" s="72" t="s">
        <v>8</v>
      </c>
      <c r="D180" s="72" t="s">
        <v>18</v>
      </c>
      <c r="E180" s="72" t="s">
        <v>82</v>
      </c>
      <c r="F180" s="72">
        <v>1</v>
      </c>
      <c r="G180" s="73">
        <f t="shared" si="29"/>
        <v>40</v>
      </c>
      <c r="H180" s="73">
        <f t="shared" si="28"/>
        <v>40</v>
      </c>
      <c r="I180" s="73">
        <f t="shared" si="24"/>
        <v>38.003999999999998</v>
      </c>
      <c r="J180" s="72" t="s">
        <v>86</v>
      </c>
      <c r="K180" s="74"/>
      <c r="M180" s="99"/>
      <c r="N180" s="80" t="e">
        <f t="shared" si="30"/>
        <v>#N/A</v>
      </c>
      <c r="O180" s="76"/>
      <c r="P180" s="100"/>
      <c r="Y180" s="91" t="s">
        <v>365</v>
      </c>
      <c r="Z180" s="92">
        <v>6.8327</v>
      </c>
      <c r="AA180" s="92">
        <f t="shared" si="27"/>
        <v>0.68327000000000004</v>
      </c>
    </row>
    <row r="181" spans="1:28" x14ac:dyDescent="0.25">
      <c r="A181" s="95">
        <v>45559</v>
      </c>
      <c r="B181" s="72" t="s">
        <v>308</v>
      </c>
      <c r="C181" s="72" t="s">
        <v>8</v>
      </c>
      <c r="D181" s="72" t="s">
        <v>31</v>
      </c>
      <c r="E181" s="72" t="s">
        <v>82</v>
      </c>
      <c r="F181" s="72">
        <v>1</v>
      </c>
      <c r="G181" s="73">
        <f t="shared" si="29"/>
        <v>15</v>
      </c>
      <c r="H181" s="73">
        <f t="shared" si="28"/>
        <v>15</v>
      </c>
      <c r="I181" s="73">
        <f t="shared" si="24"/>
        <v>14.2515</v>
      </c>
      <c r="J181" s="72" t="s">
        <v>86</v>
      </c>
      <c r="K181" s="74"/>
      <c r="M181" s="99"/>
      <c r="N181" s="80" t="e">
        <f t="shared" si="30"/>
        <v>#N/A</v>
      </c>
      <c r="O181" s="76"/>
      <c r="P181" s="100"/>
      <c r="Y181" s="91" t="s">
        <v>367</v>
      </c>
      <c r="Z181" s="92">
        <v>6.6506999999999996</v>
      </c>
      <c r="AA181" s="92">
        <f t="shared" si="27"/>
        <v>0.66507000000000005</v>
      </c>
    </row>
    <row r="182" spans="1:28" x14ac:dyDescent="0.25">
      <c r="A182" s="95">
        <v>45559</v>
      </c>
      <c r="B182" s="72" t="s">
        <v>561</v>
      </c>
      <c r="C182" s="72" t="s">
        <v>8</v>
      </c>
      <c r="D182" s="72" t="s">
        <v>18</v>
      </c>
      <c r="E182" s="72" t="s">
        <v>82</v>
      </c>
      <c r="F182" s="72">
        <v>1</v>
      </c>
      <c r="G182" s="73">
        <f t="shared" si="29"/>
        <v>40</v>
      </c>
      <c r="H182" s="73">
        <f t="shared" si="28"/>
        <v>40</v>
      </c>
      <c r="I182" s="73">
        <f t="shared" si="24"/>
        <v>40</v>
      </c>
      <c r="J182" s="72" t="s">
        <v>83</v>
      </c>
      <c r="K182" s="74"/>
      <c r="M182" s="99"/>
      <c r="N182" s="80" t="e">
        <f t="shared" si="30"/>
        <v>#N/A</v>
      </c>
      <c r="O182" s="76"/>
      <c r="P182" s="100"/>
      <c r="Y182" s="91" t="s">
        <v>368</v>
      </c>
      <c r="Z182" s="92">
        <v>3.5</v>
      </c>
      <c r="AA182" s="92">
        <f t="shared" si="27"/>
        <v>0.35000000000000003</v>
      </c>
      <c r="AB182" s="92"/>
    </row>
    <row r="183" spans="1:28" x14ac:dyDescent="0.25">
      <c r="A183" s="95">
        <v>45559</v>
      </c>
      <c r="B183" s="72" t="s">
        <v>533</v>
      </c>
      <c r="C183" s="72" t="s">
        <v>8</v>
      </c>
      <c r="D183" s="72" t="s">
        <v>18</v>
      </c>
      <c r="E183" s="72" t="s">
        <v>82</v>
      </c>
      <c r="F183" s="72">
        <v>1</v>
      </c>
      <c r="G183" s="73">
        <f t="shared" si="29"/>
        <v>40</v>
      </c>
      <c r="H183" s="73">
        <f t="shared" si="28"/>
        <v>40</v>
      </c>
      <c r="I183" s="73">
        <f t="shared" si="24"/>
        <v>40</v>
      </c>
      <c r="J183" s="72" t="s">
        <v>79</v>
      </c>
      <c r="K183" s="74"/>
      <c r="M183" s="99"/>
      <c r="N183" s="80" t="e">
        <f t="shared" si="30"/>
        <v>#N/A</v>
      </c>
      <c r="O183" s="76"/>
      <c r="P183" s="100"/>
      <c r="Y183" s="91" t="s">
        <v>370</v>
      </c>
      <c r="Z183" s="92">
        <v>3.5</v>
      </c>
      <c r="AA183" s="92">
        <f t="shared" si="27"/>
        <v>0.35000000000000003</v>
      </c>
    </row>
    <row r="184" spans="1:28" x14ac:dyDescent="0.25">
      <c r="A184" s="95">
        <v>45559</v>
      </c>
      <c r="B184" s="72" t="s">
        <v>807</v>
      </c>
      <c r="C184" s="72" t="s">
        <v>8</v>
      </c>
      <c r="D184" s="72" t="s">
        <v>18</v>
      </c>
      <c r="E184" s="72" t="s">
        <v>56</v>
      </c>
      <c r="F184" s="72">
        <v>1</v>
      </c>
      <c r="G184" s="73">
        <f t="shared" si="29"/>
        <v>40</v>
      </c>
      <c r="H184" s="73">
        <f t="shared" ref="H184:H195" si="31">F184*G184</f>
        <v>40</v>
      </c>
      <c r="I184" s="73">
        <f t="shared" si="24"/>
        <v>40</v>
      </c>
      <c r="J184" s="72" t="s">
        <v>83</v>
      </c>
      <c r="K184" s="74"/>
      <c r="M184" s="99" t="s">
        <v>18</v>
      </c>
      <c r="N184" s="80">
        <f t="shared" si="30"/>
        <v>16</v>
      </c>
      <c r="O184" s="76">
        <f>N184*F184</f>
        <v>16</v>
      </c>
      <c r="P184" s="100" t="s">
        <v>56</v>
      </c>
      <c r="Y184" s="91" t="s">
        <v>372</v>
      </c>
      <c r="Z184" s="92">
        <v>3.41635</v>
      </c>
      <c r="AA184" s="92">
        <f t="shared" si="27"/>
        <v>0.34163500000000002</v>
      </c>
    </row>
    <row r="185" spans="1:28" x14ac:dyDescent="0.25">
      <c r="A185" s="95">
        <v>45560</v>
      </c>
      <c r="B185" s="72" t="s">
        <v>516</v>
      </c>
      <c r="C185" s="72" t="s">
        <v>8</v>
      </c>
      <c r="D185" s="72" t="s">
        <v>16</v>
      </c>
      <c r="E185" s="72" t="s">
        <v>82</v>
      </c>
      <c r="F185" s="72">
        <v>1</v>
      </c>
      <c r="G185" s="73">
        <f t="shared" si="29"/>
        <v>80</v>
      </c>
      <c r="H185" s="73">
        <f t="shared" si="31"/>
        <v>80</v>
      </c>
      <c r="I185" s="73">
        <f t="shared" si="24"/>
        <v>80</v>
      </c>
      <c r="J185" s="72" t="s">
        <v>83</v>
      </c>
      <c r="K185" s="74"/>
      <c r="M185" s="99"/>
      <c r="N185" s="80" t="e">
        <f t="shared" si="30"/>
        <v>#N/A</v>
      </c>
      <c r="O185" s="76"/>
      <c r="P185" s="100"/>
      <c r="Y185" s="91" t="s">
        <v>374</v>
      </c>
      <c r="Z185" s="92">
        <v>3.3253499999999998</v>
      </c>
      <c r="AA185" s="92">
        <f t="shared" si="27"/>
        <v>0.33253500000000003</v>
      </c>
    </row>
    <row r="186" spans="1:28" x14ac:dyDescent="0.25">
      <c r="A186" s="95">
        <v>45560</v>
      </c>
      <c r="B186" s="72" t="s">
        <v>322</v>
      </c>
      <c r="C186" s="72" t="s">
        <v>8</v>
      </c>
      <c r="D186" s="72" t="s">
        <v>18</v>
      </c>
      <c r="E186" s="72" t="s">
        <v>82</v>
      </c>
      <c r="F186" s="72">
        <v>1</v>
      </c>
      <c r="G186" s="73">
        <f t="shared" si="29"/>
        <v>40</v>
      </c>
      <c r="H186" s="73">
        <f t="shared" si="31"/>
        <v>40</v>
      </c>
      <c r="I186" s="73">
        <f t="shared" si="24"/>
        <v>40</v>
      </c>
      <c r="J186" s="72" t="s">
        <v>79</v>
      </c>
      <c r="K186" s="74"/>
      <c r="M186" s="99"/>
      <c r="N186" s="80" t="e">
        <f t="shared" si="30"/>
        <v>#N/A</v>
      </c>
      <c r="O186" s="76"/>
      <c r="P186" s="100"/>
      <c r="Y186" s="91" t="s">
        <v>375</v>
      </c>
      <c r="Z186" s="92">
        <v>3.5</v>
      </c>
      <c r="AA186" s="92">
        <f t="shared" si="27"/>
        <v>0.35000000000000003</v>
      </c>
    </row>
    <row r="187" spans="1:28" x14ac:dyDescent="0.25">
      <c r="A187" s="95">
        <v>45560</v>
      </c>
      <c r="B187" s="72" t="s">
        <v>692</v>
      </c>
      <c r="C187" s="72" t="s">
        <v>8</v>
      </c>
      <c r="D187" s="72" t="s">
        <v>18</v>
      </c>
      <c r="E187" s="72" t="s">
        <v>56</v>
      </c>
      <c r="F187" s="72">
        <v>1</v>
      </c>
      <c r="G187" s="73">
        <f t="shared" si="29"/>
        <v>40</v>
      </c>
      <c r="H187" s="73">
        <f t="shared" si="31"/>
        <v>40</v>
      </c>
      <c r="I187" s="73">
        <f t="shared" si="24"/>
        <v>38.003999999999998</v>
      </c>
      <c r="J187" s="72" t="s">
        <v>86</v>
      </c>
      <c r="K187" s="74"/>
      <c r="M187" s="99" t="s">
        <v>18</v>
      </c>
      <c r="N187" s="80">
        <f t="shared" si="30"/>
        <v>16</v>
      </c>
      <c r="O187" s="76">
        <f>N187*F187</f>
        <v>16</v>
      </c>
      <c r="P187" s="100" t="s">
        <v>56</v>
      </c>
      <c r="Y187" s="91" t="s">
        <v>376</v>
      </c>
      <c r="Z187" s="92">
        <v>3.5</v>
      </c>
      <c r="AA187" s="92">
        <f t="shared" si="27"/>
        <v>0.35000000000000003</v>
      </c>
    </row>
    <row r="188" spans="1:28" x14ac:dyDescent="0.25">
      <c r="A188" s="95">
        <v>45560</v>
      </c>
      <c r="B188" s="72" t="s">
        <v>204</v>
      </c>
      <c r="C188" s="72" t="s">
        <v>8</v>
      </c>
      <c r="D188" s="72" t="s">
        <v>16</v>
      </c>
      <c r="E188" s="72" t="s">
        <v>82</v>
      </c>
      <c r="F188" s="72">
        <v>1</v>
      </c>
      <c r="G188" s="73">
        <f t="shared" si="29"/>
        <v>80</v>
      </c>
      <c r="H188" s="73">
        <f t="shared" si="31"/>
        <v>80</v>
      </c>
      <c r="I188" s="73">
        <f t="shared" si="24"/>
        <v>80</v>
      </c>
      <c r="J188" s="72" t="s">
        <v>83</v>
      </c>
      <c r="K188" s="74"/>
      <c r="M188" s="99"/>
      <c r="N188" s="80" t="e">
        <f t="shared" si="30"/>
        <v>#N/A</v>
      </c>
      <c r="O188" s="76"/>
      <c r="P188" s="100"/>
      <c r="Y188" s="91" t="s">
        <v>378</v>
      </c>
      <c r="Z188" s="92">
        <v>3.41635</v>
      </c>
      <c r="AA188" s="92">
        <f t="shared" si="27"/>
        <v>0.34163500000000002</v>
      </c>
    </row>
    <row r="189" spans="1:28" x14ac:dyDescent="0.25">
      <c r="A189" s="95">
        <v>45560</v>
      </c>
      <c r="B189" s="72" t="s">
        <v>264</v>
      </c>
      <c r="C189" s="72" t="s">
        <v>8</v>
      </c>
      <c r="D189" s="72" t="s">
        <v>18</v>
      </c>
      <c r="E189" s="72" t="s">
        <v>82</v>
      </c>
      <c r="F189" s="72">
        <v>1</v>
      </c>
      <c r="G189" s="73">
        <v>35</v>
      </c>
      <c r="H189" s="73">
        <f t="shared" si="31"/>
        <v>35</v>
      </c>
      <c r="I189" s="73">
        <f t="shared" si="24"/>
        <v>35</v>
      </c>
      <c r="J189" s="72" t="s">
        <v>83</v>
      </c>
      <c r="K189" s="74"/>
      <c r="M189" s="99"/>
      <c r="N189" s="80" t="e">
        <f t="shared" si="30"/>
        <v>#N/A</v>
      </c>
      <c r="O189" s="76"/>
      <c r="P189" s="100"/>
      <c r="Y189" s="91" t="s">
        <v>380</v>
      </c>
      <c r="Z189" s="92">
        <v>3.3253499999999998</v>
      </c>
      <c r="AA189" s="92">
        <f t="shared" si="27"/>
        <v>0.33253500000000003</v>
      </c>
    </row>
    <row r="190" spans="1:28" x14ac:dyDescent="0.25">
      <c r="A190" s="95">
        <v>45560</v>
      </c>
      <c r="B190" s="72" t="s">
        <v>247</v>
      </c>
      <c r="C190" s="72" t="s">
        <v>8</v>
      </c>
      <c r="D190" s="72" t="s">
        <v>774</v>
      </c>
      <c r="E190" s="72" t="s">
        <v>82</v>
      </c>
      <c r="F190" s="72">
        <v>1</v>
      </c>
      <c r="G190" s="73">
        <f>VLOOKUP(D190,$S$3:$T$69,2,0)</f>
        <v>4.5</v>
      </c>
      <c r="H190" s="73">
        <f t="shared" si="31"/>
        <v>4.5</v>
      </c>
      <c r="I190" s="73">
        <f t="shared" si="24"/>
        <v>4.5</v>
      </c>
      <c r="J190" s="72" t="s">
        <v>83</v>
      </c>
      <c r="K190" s="74"/>
      <c r="M190" s="99"/>
      <c r="N190" s="80" t="e">
        <f t="shared" si="30"/>
        <v>#N/A</v>
      </c>
      <c r="O190" s="76"/>
      <c r="P190" s="100"/>
    </row>
    <row r="191" spans="1:28" x14ac:dyDescent="0.25">
      <c r="A191" s="95">
        <v>45560</v>
      </c>
      <c r="B191" s="72" t="s">
        <v>247</v>
      </c>
      <c r="C191" s="72" t="s">
        <v>8</v>
      </c>
      <c r="D191" s="72" t="s">
        <v>37</v>
      </c>
      <c r="E191" s="72" t="s">
        <v>82</v>
      </c>
      <c r="F191" s="72">
        <v>1</v>
      </c>
      <c r="G191" s="73">
        <f>VLOOKUP(D191,$S$3:$T$69,2,0)</f>
        <v>7</v>
      </c>
      <c r="H191" s="73">
        <f t="shared" si="31"/>
        <v>7</v>
      </c>
      <c r="I191" s="73">
        <f t="shared" si="24"/>
        <v>7</v>
      </c>
      <c r="J191" s="72" t="s">
        <v>83</v>
      </c>
      <c r="K191" s="74"/>
      <c r="M191" s="99"/>
      <c r="N191" s="80" t="e">
        <f t="shared" si="30"/>
        <v>#N/A</v>
      </c>
      <c r="O191" s="76"/>
      <c r="P191" s="100"/>
    </row>
    <row r="192" spans="1:28" x14ac:dyDescent="0.25">
      <c r="A192" s="95">
        <v>45560</v>
      </c>
      <c r="B192" s="72" t="s">
        <v>324</v>
      </c>
      <c r="C192" s="72" t="s">
        <v>8</v>
      </c>
      <c r="D192" s="72" t="s">
        <v>17</v>
      </c>
      <c r="E192" s="72" t="s">
        <v>82</v>
      </c>
      <c r="F192" s="72">
        <v>1</v>
      </c>
      <c r="G192" s="73">
        <f>VLOOKUP(D192,$S$3:$T$69,2,0)</f>
        <v>50</v>
      </c>
      <c r="H192" s="73">
        <f t="shared" si="31"/>
        <v>50</v>
      </c>
      <c r="I192" s="73">
        <f t="shared" si="24"/>
        <v>50</v>
      </c>
      <c r="J192" s="72" t="s">
        <v>83</v>
      </c>
      <c r="K192" s="74"/>
      <c r="M192" s="99"/>
      <c r="N192" s="80" t="e">
        <f t="shared" si="30"/>
        <v>#N/A</v>
      </c>
      <c r="O192" s="76"/>
      <c r="P192" s="100"/>
    </row>
    <row r="193" spans="1:17" x14ac:dyDescent="0.25">
      <c r="A193" s="95">
        <v>45560</v>
      </c>
      <c r="B193" s="72" t="s">
        <v>324</v>
      </c>
      <c r="C193" s="72" t="s">
        <v>8</v>
      </c>
      <c r="D193" s="72" t="s">
        <v>183</v>
      </c>
      <c r="E193" s="72" t="s">
        <v>82</v>
      </c>
      <c r="F193" s="72">
        <v>1</v>
      </c>
      <c r="G193" s="73">
        <v>5</v>
      </c>
      <c r="H193" s="73">
        <f t="shared" si="31"/>
        <v>5</v>
      </c>
      <c r="I193" s="73">
        <f t="shared" si="24"/>
        <v>5</v>
      </c>
      <c r="J193" s="72" t="s">
        <v>83</v>
      </c>
      <c r="K193" s="74"/>
      <c r="M193" s="99"/>
      <c r="N193" s="80" t="e">
        <f t="shared" si="30"/>
        <v>#N/A</v>
      </c>
      <c r="O193" s="76"/>
      <c r="P193" s="100"/>
    </row>
    <row r="194" spans="1:17" x14ac:dyDescent="0.25">
      <c r="A194" s="95">
        <v>45560</v>
      </c>
      <c r="B194" s="72" t="s">
        <v>536</v>
      </c>
      <c r="C194" s="72" t="s">
        <v>8</v>
      </c>
      <c r="D194" s="72" t="s">
        <v>18</v>
      </c>
      <c r="E194" s="72" t="s">
        <v>82</v>
      </c>
      <c r="F194" s="72">
        <v>1</v>
      </c>
      <c r="G194" s="73">
        <f t="shared" ref="G194:G209" si="32">VLOOKUP(D194,$S$3:$T$69,2,0)</f>
        <v>40</v>
      </c>
      <c r="H194" s="73">
        <f t="shared" si="31"/>
        <v>40</v>
      </c>
      <c r="I194" s="73">
        <f t="shared" si="24"/>
        <v>40</v>
      </c>
      <c r="J194" s="72" t="s">
        <v>83</v>
      </c>
      <c r="K194" s="74"/>
      <c r="M194" s="99"/>
      <c r="N194" s="80" t="e">
        <f t="shared" si="30"/>
        <v>#N/A</v>
      </c>
      <c r="O194" s="76"/>
      <c r="P194" s="100"/>
    </row>
    <row r="195" spans="1:17" x14ac:dyDescent="0.25">
      <c r="A195" s="95">
        <v>45560</v>
      </c>
      <c r="B195" s="72" t="s">
        <v>808</v>
      </c>
      <c r="C195" s="72" t="s">
        <v>8</v>
      </c>
      <c r="D195" s="72" t="s">
        <v>18</v>
      </c>
      <c r="E195" s="72" t="s">
        <v>56</v>
      </c>
      <c r="F195" s="72">
        <v>1</v>
      </c>
      <c r="G195" s="73">
        <f t="shared" si="32"/>
        <v>40</v>
      </c>
      <c r="H195" s="73">
        <f t="shared" si="31"/>
        <v>40</v>
      </c>
      <c r="I195" s="73">
        <f t="shared" ref="I195:I258" si="33">IF(J195="Cartão de Debito",H195-(H195*$AC$5),IF(J195="Cartão de Credito",H195-(H195*$AC$6), IF(J195="Pix",H195-(H195*$AC$7), IF(J195="Dinheiro (R$)", H195-(H195*$AC$8)))))</f>
        <v>38.003999999999998</v>
      </c>
      <c r="J195" s="72" t="s">
        <v>86</v>
      </c>
      <c r="K195" s="74"/>
      <c r="M195" s="99" t="s">
        <v>18</v>
      </c>
      <c r="N195" s="80">
        <f t="shared" si="30"/>
        <v>16</v>
      </c>
      <c r="O195" s="76">
        <f>N195*F195</f>
        <v>16</v>
      </c>
      <c r="P195" s="100" t="s">
        <v>56</v>
      </c>
    </row>
    <row r="196" spans="1:17" x14ac:dyDescent="0.25">
      <c r="A196" s="95">
        <v>45560</v>
      </c>
      <c r="B196" s="72" t="s">
        <v>204</v>
      </c>
      <c r="C196" s="72" t="s">
        <v>8</v>
      </c>
      <c r="D196" s="72" t="s">
        <v>17</v>
      </c>
      <c r="E196" s="72" t="s">
        <v>82</v>
      </c>
      <c r="F196" s="72">
        <v>4</v>
      </c>
      <c r="G196" s="73">
        <f t="shared" si="32"/>
        <v>50</v>
      </c>
      <c r="H196" s="73">
        <v>170</v>
      </c>
      <c r="I196" s="73">
        <f t="shared" si="33"/>
        <v>170</v>
      </c>
      <c r="J196" s="72" t="s">
        <v>83</v>
      </c>
      <c r="K196" s="74"/>
      <c r="M196" s="99"/>
      <c r="N196" s="80" t="e">
        <f t="shared" si="30"/>
        <v>#N/A</v>
      </c>
      <c r="O196" s="76"/>
      <c r="P196" s="100"/>
    </row>
    <row r="197" spans="1:17" x14ac:dyDescent="0.25">
      <c r="A197" s="95">
        <v>45561</v>
      </c>
      <c r="B197" s="72" t="s">
        <v>528</v>
      </c>
      <c r="C197" s="72" t="s">
        <v>8</v>
      </c>
      <c r="D197" s="72" t="s">
        <v>18</v>
      </c>
      <c r="E197" s="72" t="s">
        <v>56</v>
      </c>
      <c r="F197" s="72">
        <v>1</v>
      </c>
      <c r="G197" s="73">
        <f t="shared" si="32"/>
        <v>40</v>
      </c>
      <c r="H197" s="73">
        <f t="shared" ref="H197:H228" si="34">F197*G197</f>
        <v>40</v>
      </c>
      <c r="I197" s="73">
        <f t="shared" si="33"/>
        <v>39.043999999999997</v>
      </c>
      <c r="J197" s="72" t="s">
        <v>78</v>
      </c>
      <c r="K197" s="74"/>
      <c r="M197" s="99" t="s">
        <v>18</v>
      </c>
      <c r="N197" s="80">
        <f t="shared" si="30"/>
        <v>16</v>
      </c>
      <c r="O197" s="76">
        <f>N197*F197</f>
        <v>16</v>
      </c>
      <c r="P197" s="100" t="s">
        <v>56</v>
      </c>
    </row>
    <row r="198" spans="1:17" x14ac:dyDescent="0.25">
      <c r="A198" s="95">
        <v>45561</v>
      </c>
      <c r="B198" s="72" t="s">
        <v>247</v>
      </c>
      <c r="C198" s="72" t="s">
        <v>8</v>
      </c>
      <c r="D198" s="72" t="s">
        <v>15</v>
      </c>
      <c r="E198" s="72" t="s">
        <v>82</v>
      </c>
      <c r="F198" s="72">
        <v>1</v>
      </c>
      <c r="G198" s="73">
        <f t="shared" si="32"/>
        <v>70</v>
      </c>
      <c r="H198" s="73">
        <f t="shared" si="34"/>
        <v>70</v>
      </c>
      <c r="I198" s="73">
        <f t="shared" si="33"/>
        <v>70</v>
      </c>
      <c r="J198" s="72" t="s">
        <v>83</v>
      </c>
      <c r="K198" s="74"/>
      <c r="M198" s="99"/>
      <c r="N198" s="80" t="e">
        <f t="shared" si="30"/>
        <v>#N/A</v>
      </c>
      <c r="O198" s="76"/>
      <c r="P198" s="100"/>
    </row>
    <row r="199" spans="1:17" x14ac:dyDescent="0.25">
      <c r="A199" s="95">
        <v>45561</v>
      </c>
      <c r="B199" s="72" t="s">
        <v>586</v>
      </c>
      <c r="C199" s="72" t="s">
        <v>8</v>
      </c>
      <c r="D199" s="72" t="s">
        <v>17</v>
      </c>
      <c r="E199" s="72" t="s">
        <v>82</v>
      </c>
      <c r="F199" s="72">
        <v>1</v>
      </c>
      <c r="G199" s="73">
        <f t="shared" si="32"/>
        <v>50</v>
      </c>
      <c r="H199" s="73">
        <f t="shared" si="34"/>
        <v>50</v>
      </c>
      <c r="I199" s="73">
        <f t="shared" si="33"/>
        <v>47.505000000000003</v>
      </c>
      <c r="J199" s="72" t="s">
        <v>86</v>
      </c>
      <c r="K199" s="74"/>
      <c r="M199" s="99"/>
      <c r="N199" s="80" t="e">
        <f t="shared" si="30"/>
        <v>#N/A</v>
      </c>
      <c r="O199" s="76"/>
      <c r="P199" s="100"/>
    </row>
    <row r="200" spans="1:17" x14ac:dyDescent="0.25">
      <c r="A200" s="95">
        <v>45561</v>
      </c>
      <c r="B200" s="72" t="s">
        <v>194</v>
      </c>
      <c r="C200" s="72" t="s">
        <v>8</v>
      </c>
      <c r="D200" s="72" t="s">
        <v>18</v>
      </c>
      <c r="E200" s="72" t="s">
        <v>82</v>
      </c>
      <c r="F200" s="72">
        <v>1</v>
      </c>
      <c r="G200" s="73">
        <f t="shared" si="32"/>
        <v>40</v>
      </c>
      <c r="H200" s="73">
        <f t="shared" si="34"/>
        <v>40</v>
      </c>
      <c r="I200" s="73">
        <f t="shared" si="33"/>
        <v>40</v>
      </c>
      <c r="J200" s="72" t="s">
        <v>83</v>
      </c>
      <c r="K200" s="74"/>
      <c r="M200" s="99"/>
      <c r="N200" s="80" t="e">
        <f t="shared" si="30"/>
        <v>#N/A</v>
      </c>
      <c r="O200" s="76"/>
      <c r="P200" s="100"/>
    </row>
    <row r="201" spans="1:17" x14ac:dyDescent="0.25">
      <c r="A201" s="95">
        <v>45561</v>
      </c>
      <c r="B201" s="72" t="s">
        <v>301</v>
      </c>
      <c r="C201" s="72" t="s">
        <v>8</v>
      </c>
      <c r="D201" s="72" t="s">
        <v>18</v>
      </c>
      <c r="E201" s="72" t="s">
        <v>56</v>
      </c>
      <c r="F201" s="72">
        <v>1</v>
      </c>
      <c r="G201" s="73">
        <f t="shared" si="32"/>
        <v>40</v>
      </c>
      <c r="H201" s="73">
        <f t="shared" si="34"/>
        <v>40</v>
      </c>
      <c r="I201" s="73">
        <f t="shared" si="33"/>
        <v>39.043999999999997</v>
      </c>
      <c r="J201" s="72" t="s">
        <v>78</v>
      </c>
      <c r="K201" s="74"/>
      <c r="M201" s="99" t="s">
        <v>18</v>
      </c>
      <c r="N201" s="80">
        <f t="shared" si="30"/>
        <v>16</v>
      </c>
      <c r="O201" s="76">
        <f>N201*F201</f>
        <v>16</v>
      </c>
      <c r="P201" s="100" t="s">
        <v>56</v>
      </c>
      <c r="Q201" s="106"/>
    </row>
    <row r="202" spans="1:17" x14ac:dyDescent="0.25">
      <c r="A202" s="95">
        <v>45561</v>
      </c>
      <c r="B202" s="72" t="s">
        <v>206</v>
      </c>
      <c r="C202" s="72" t="s">
        <v>8</v>
      </c>
      <c r="D202" s="72" t="s">
        <v>17</v>
      </c>
      <c r="E202" s="72" t="s">
        <v>56</v>
      </c>
      <c r="F202" s="72">
        <v>1</v>
      </c>
      <c r="G202" s="73">
        <f t="shared" si="32"/>
        <v>50</v>
      </c>
      <c r="H202" s="73">
        <f t="shared" si="34"/>
        <v>50</v>
      </c>
      <c r="I202" s="73">
        <f t="shared" si="33"/>
        <v>48.805</v>
      </c>
      <c r="J202" s="72" t="s">
        <v>78</v>
      </c>
      <c r="K202" s="74"/>
      <c r="M202" s="99" t="s">
        <v>17</v>
      </c>
      <c r="N202" s="80">
        <f t="shared" si="30"/>
        <v>20</v>
      </c>
      <c r="O202" s="76">
        <f>N202*F202</f>
        <v>20</v>
      </c>
      <c r="P202" s="100" t="s">
        <v>56</v>
      </c>
    </row>
    <row r="203" spans="1:17" x14ac:dyDescent="0.25">
      <c r="A203" s="95">
        <v>45561</v>
      </c>
      <c r="B203" s="72" t="s">
        <v>574</v>
      </c>
      <c r="C203" s="72" t="s">
        <v>8</v>
      </c>
      <c r="D203" s="72" t="s">
        <v>17</v>
      </c>
      <c r="E203" s="72" t="s">
        <v>82</v>
      </c>
      <c r="F203" s="72">
        <v>1</v>
      </c>
      <c r="G203" s="73">
        <f t="shared" si="32"/>
        <v>50</v>
      </c>
      <c r="H203" s="73">
        <f t="shared" si="34"/>
        <v>50</v>
      </c>
      <c r="I203" s="73">
        <f t="shared" si="33"/>
        <v>50</v>
      </c>
      <c r="J203" s="72" t="s">
        <v>83</v>
      </c>
      <c r="K203" s="74"/>
      <c r="M203" s="99"/>
      <c r="N203" s="80" t="e">
        <f t="shared" si="30"/>
        <v>#N/A</v>
      </c>
      <c r="O203" s="76"/>
      <c r="P203" s="100"/>
    </row>
    <row r="204" spans="1:17" x14ac:dyDescent="0.25">
      <c r="A204" s="95">
        <v>45561</v>
      </c>
      <c r="B204" s="72" t="s">
        <v>574</v>
      </c>
      <c r="C204" s="72" t="s">
        <v>8</v>
      </c>
      <c r="D204" s="72" t="s">
        <v>23</v>
      </c>
      <c r="E204" s="72" t="s">
        <v>82</v>
      </c>
      <c r="F204" s="72">
        <v>1</v>
      </c>
      <c r="G204" s="73">
        <f t="shared" si="32"/>
        <v>5</v>
      </c>
      <c r="H204" s="73">
        <f t="shared" si="34"/>
        <v>5</v>
      </c>
      <c r="I204" s="73">
        <f t="shared" si="33"/>
        <v>5</v>
      </c>
      <c r="J204" s="72" t="s">
        <v>83</v>
      </c>
      <c r="K204" s="74"/>
      <c r="M204" s="99"/>
      <c r="N204" s="80" t="e">
        <f t="shared" si="30"/>
        <v>#N/A</v>
      </c>
      <c r="O204" s="76"/>
      <c r="P204" s="100"/>
    </row>
    <row r="205" spans="1:17" x14ac:dyDescent="0.25">
      <c r="A205" s="95">
        <v>45561</v>
      </c>
      <c r="B205" s="72" t="s">
        <v>346</v>
      </c>
      <c r="C205" s="72" t="s">
        <v>8</v>
      </c>
      <c r="D205" s="72" t="s">
        <v>17</v>
      </c>
      <c r="E205" s="72" t="s">
        <v>82</v>
      </c>
      <c r="F205" s="72">
        <v>1</v>
      </c>
      <c r="G205" s="73">
        <f t="shared" si="32"/>
        <v>50</v>
      </c>
      <c r="H205" s="73">
        <f t="shared" si="34"/>
        <v>50</v>
      </c>
      <c r="I205" s="73">
        <f t="shared" si="33"/>
        <v>47.505000000000003</v>
      </c>
      <c r="J205" s="72" t="s">
        <v>86</v>
      </c>
      <c r="K205" s="74"/>
      <c r="M205" s="99"/>
      <c r="N205" s="80" t="e">
        <f t="shared" si="30"/>
        <v>#N/A</v>
      </c>
      <c r="O205" s="76"/>
      <c r="P205" s="100"/>
    </row>
    <row r="206" spans="1:17" x14ac:dyDescent="0.25">
      <c r="A206" s="95">
        <v>45561</v>
      </c>
      <c r="B206" s="72" t="s">
        <v>809</v>
      </c>
      <c r="C206" s="72" t="s">
        <v>8</v>
      </c>
      <c r="D206" s="72" t="s">
        <v>18</v>
      </c>
      <c r="E206" s="72" t="s">
        <v>82</v>
      </c>
      <c r="F206" s="72">
        <v>1</v>
      </c>
      <c r="G206" s="73">
        <f t="shared" si="32"/>
        <v>40</v>
      </c>
      <c r="H206" s="73">
        <f t="shared" si="34"/>
        <v>40</v>
      </c>
      <c r="I206" s="73">
        <f t="shared" si="33"/>
        <v>40</v>
      </c>
      <c r="J206" s="72" t="s">
        <v>83</v>
      </c>
      <c r="K206" s="74"/>
      <c r="M206" s="99"/>
      <c r="N206" s="80" t="e">
        <f t="shared" ref="N206:N209" si="35">VLOOKUP(M206,$S$3:$U$69,3,0)</f>
        <v>#N/A</v>
      </c>
      <c r="O206" s="76"/>
      <c r="P206" s="100"/>
      <c r="Q206" s="106"/>
    </row>
    <row r="207" spans="1:17" x14ac:dyDescent="0.25">
      <c r="A207" s="95">
        <v>45561</v>
      </c>
      <c r="B207" s="72" t="s">
        <v>723</v>
      </c>
      <c r="C207" s="72" t="s">
        <v>8</v>
      </c>
      <c r="D207" s="72" t="s">
        <v>15</v>
      </c>
      <c r="E207" s="72" t="s">
        <v>82</v>
      </c>
      <c r="F207" s="72">
        <v>1</v>
      </c>
      <c r="G207" s="73">
        <f t="shared" si="32"/>
        <v>70</v>
      </c>
      <c r="H207" s="73">
        <f t="shared" si="34"/>
        <v>70</v>
      </c>
      <c r="I207" s="73">
        <f t="shared" si="33"/>
        <v>66.507000000000005</v>
      </c>
      <c r="J207" s="72" t="s">
        <v>86</v>
      </c>
      <c r="K207" s="74"/>
      <c r="M207" s="99"/>
      <c r="N207" s="80" t="e">
        <f t="shared" si="35"/>
        <v>#N/A</v>
      </c>
      <c r="O207" s="76"/>
      <c r="P207" s="100"/>
    </row>
    <row r="208" spans="1:17" x14ac:dyDescent="0.25">
      <c r="A208" s="95">
        <v>45562</v>
      </c>
      <c r="B208" s="72" t="s">
        <v>244</v>
      </c>
      <c r="C208" s="72" t="s">
        <v>8</v>
      </c>
      <c r="D208" s="72" t="s">
        <v>22</v>
      </c>
      <c r="E208" s="72" t="s">
        <v>82</v>
      </c>
      <c r="F208" s="72">
        <v>1</v>
      </c>
      <c r="G208" s="73">
        <f t="shared" si="32"/>
        <v>30</v>
      </c>
      <c r="H208" s="73">
        <f t="shared" si="34"/>
        <v>30</v>
      </c>
      <c r="I208" s="73">
        <f t="shared" si="33"/>
        <v>30</v>
      </c>
      <c r="J208" s="72" t="s">
        <v>83</v>
      </c>
      <c r="K208" s="74"/>
      <c r="M208" s="99"/>
      <c r="N208" s="80" t="e">
        <f t="shared" si="35"/>
        <v>#N/A</v>
      </c>
      <c r="O208" s="76"/>
      <c r="P208" s="100"/>
    </row>
    <row r="209" spans="1:17" x14ac:dyDescent="0.25">
      <c r="A209" s="95">
        <v>45562</v>
      </c>
      <c r="B209" s="72" t="s">
        <v>637</v>
      </c>
      <c r="C209" s="72" t="s">
        <v>96</v>
      </c>
      <c r="D209" s="72" t="s">
        <v>18</v>
      </c>
      <c r="E209" s="72" t="s">
        <v>82</v>
      </c>
      <c r="F209" s="72">
        <v>1</v>
      </c>
      <c r="G209" s="73">
        <f t="shared" si="32"/>
        <v>40</v>
      </c>
      <c r="H209" s="73">
        <f t="shared" si="34"/>
        <v>40</v>
      </c>
      <c r="I209" s="73">
        <f t="shared" si="33"/>
        <v>40</v>
      </c>
      <c r="J209" s="72" t="s">
        <v>83</v>
      </c>
      <c r="K209" s="74"/>
      <c r="M209" s="99"/>
      <c r="N209" s="80" t="e">
        <f t="shared" si="35"/>
        <v>#N/A</v>
      </c>
      <c r="O209" s="76"/>
      <c r="P209" s="100"/>
    </row>
    <row r="210" spans="1:17" x14ac:dyDescent="0.25">
      <c r="A210" s="95">
        <v>45562</v>
      </c>
      <c r="B210" s="72" t="s">
        <v>210</v>
      </c>
      <c r="C210" s="72" t="s">
        <v>8</v>
      </c>
      <c r="D210" s="72" t="s">
        <v>17</v>
      </c>
      <c r="E210" s="72" t="s">
        <v>56</v>
      </c>
      <c r="F210" s="72">
        <v>1</v>
      </c>
      <c r="G210" s="73">
        <v>44</v>
      </c>
      <c r="H210" s="73">
        <f t="shared" si="34"/>
        <v>44</v>
      </c>
      <c r="I210" s="73">
        <f t="shared" si="33"/>
        <v>42.948399999999999</v>
      </c>
      <c r="J210" s="72" t="s">
        <v>78</v>
      </c>
      <c r="K210" s="74" t="s">
        <v>810</v>
      </c>
      <c r="M210" s="99" t="s">
        <v>17</v>
      </c>
      <c r="N210" s="80">
        <f>H210*0.4</f>
        <v>17.600000000000001</v>
      </c>
      <c r="O210" s="76">
        <f>N210*F210</f>
        <v>17.600000000000001</v>
      </c>
      <c r="P210" s="100" t="s">
        <v>56</v>
      </c>
    </row>
    <row r="211" spans="1:17" x14ac:dyDescent="0.25">
      <c r="A211" s="95">
        <v>45562</v>
      </c>
      <c r="B211" s="72" t="s">
        <v>561</v>
      </c>
      <c r="C211" s="72" t="s">
        <v>8</v>
      </c>
      <c r="D211" s="72" t="s">
        <v>18</v>
      </c>
      <c r="E211" s="72" t="s">
        <v>56</v>
      </c>
      <c r="F211" s="72">
        <v>1</v>
      </c>
      <c r="G211" s="73">
        <f>VLOOKUP(D211,$S$3:$T$69,2,0)</f>
        <v>40</v>
      </c>
      <c r="H211" s="73">
        <f t="shared" si="34"/>
        <v>40</v>
      </c>
      <c r="I211" s="73">
        <f t="shared" si="33"/>
        <v>40</v>
      </c>
      <c r="J211" s="72" t="s">
        <v>83</v>
      </c>
      <c r="K211" s="74"/>
      <c r="M211" s="99" t="s">
        <v>18</v>
      </c>
      <c r="N211" s="80">
        <f t="shared" ref="N211:N242" si="36">VLOOKUP(M211,$S$3:$U$69,3,0)</f>
        <v>16</v>
      </c>
      <c r="O211" s="76">
        <f>N211*F211</f>
        <v>16</v>
      </c>
      <c r="P211" s="100" t="s">
        <v>56</v>
      </c>
    </row>
    <row r="212" spans="1:17" x14ac:dyDescent="0.25">
      <c r="A212" s="95">
        <v>45562</v>
      </c>
      <c r="B212" s="72" t="s">
        <v>569</v>
      </c>
      <c r="C212" s="72" t="s">
        <v>8</v>
      </c>
      <c r="D212" s="72" t="s">
        <v>19</v>
      </c>
      <c r="E212" s="72" t="s">
        <v>82</v>
      </c>
      <c r="F212" s="72">
        <v>1</v>
      </c>
      <c r="G212" s="73">
        <v>30</v>
      </c>
      <c r="H212" s="73">
        <f t="shared" si="34"/>
        <v>30</v>
      </c>
      <c r="I212" s="73">
        <f t="shared" si="33"/>
        <v>30</v>
      </c>
      <c r="J212" s="72" t="s">
        <v>83</v>
      </c>
      <c r="K212" s="74"/>
      <c r="M212" s="99"/>
      <c r="N212" s="80" t="e">
        <f t="shared" si="36"/>
        <v>#N/A</v>
      </c>
      <c r="O212" s="76"/>
      <c r="P212" s="100"/>
    </row>
    <row r="213" spans="1:17" x14ac:dyDescent="0.25">
      <c r="A213" s="95">
        <v>45562</v>
      </c>
      <c r="B213" s="72" t="s">
        <v>479</v>
      </c>
      <c r="C213" s="72" t="s">
        <v>10</v>
      </c>
      <c r="D213" s="72" t="s">
        <v>18</v>
      </c>
      <c r="E213" s="72" t="s">
        <v>56</v>
      </c>
      <c r="F213" s="72">
        <v>1</v>
      </c>
      <c r="G213" s="73">
        <f t="shared" ref="G213:G225" si="37">VLOOKUP(D213,$S$3:$T$69,2,0)</f>
        <v>40</v>
      </c>
      <c r="H213" s="73">
        <f t="shared" si="34"/>
        <v>40</v>
      </c>
      <c r="I213" s="73">
        <f t="shared" si="33"/>
        <v>40</v>
      </c>
      <c r="J213" s="72" t="s">
        <v>83</v>
      </c>
      <c r="K213" s="74"/>
      <c r="M213" s="99" t="s">
        <v>18</v>
      </c>
      <c r="N213" s="80">
        <f t="shared" si="36"/>
        <v>16</v>
      </c>
      <c r="O213" s="76">
        <f>N213*F213</f>
        <v>16</v>
      </c>
      <c r="P213" s="100" t="s">
        <v>56</v>
      </c>
    </row>
    <row r="214" spans="1:17" x14ac:dyDescent="0.25">
      <c r="A214" s="95">
        <v>45563</v>
      </c>
      <c r="B214" s="72" t="s">
        <v>264</v>
      </c>
      <c r="C214" s="72" t="s">
        <v>8</v>
      </c>
      <c r="D214" s="72" t="s">
        <v>18</v>
      </c>
      <c r="E214" s="72" t="s">
        <v>56</v>
      </c>
      <c r="F214" s="72">
        <v>1</v>
      </c>
      <c r="G214" s="73">
        <f t="shared" si="37"/>
        <v>40</v>
      </c>
      <c r="H214" s="73">
        <f t="shared" si="34"/>
        <v>40</v>
      </c>
      <c r="I214" s="73">
        <f t="shared" si="33"/>
        <v>40</v>
      </c>
      <c r="J214" s="72" t="s">
        <v>83</v>
      </c>
      <c r="K214" s="74"/>
      <c r="M214" s="99" t="s">
        <v>18</v>
      </c>
      <c r="N214" s="80">
        <f t="shared" si="36"/>
        <v>16</v>
      </c>
      <c r="O214" s="76">
        <f>N214*F214</f>
        <v>16</v>
      </c>
      <c r="P214" s="100" t="s">
        <v>56</v>
      </c>
    </row>
    <row r="215" spans="1:17" x14ac:dyDescent="0.25">
      <c r="A215" s="95">
        <v>45563</v>
      </c>
      <c r="B215" s="72" t="s">
        <v>811</v>
      </c>
      <c r="C215" s="72" t="s">
        <v>8</v>
      </c>
      <c r="D215" s="72" t="s">
        <v>19</v>
      </c>
      <c r="E215" s="72" t="s">
        <v>56</v>
      </c>
      <c r="F215" s="72">
        <v>1</v>
      </c>
      <c r="G215" s="73">
        <f t="shared" si="37"/>
        <v>40</v>
      </c>
      <c r="H215" s="73">
        <f t="shared" si="34"/>
        <v>40</v>
      </c>
      <c r="I215" s="73">
        <f t="shared" si="33"/>
        <v>39.043999999999997</v>
      </c>
      <c r="J215" s="72" t="s">
        <v>78</v>
      </c>
      <c r="K215" s="74"/>
      <c r="M215" s="99" t="s">
        <v>19</v>
      </c>
      <c r="N215" s="80">
        <f t="shared" si="36"/>
        <v>16</v>
      </c>
      <c r="O215" s="76">
        <f>N215*F215</f>
        <v>16</v>
      </c>
      <c r="P215" s="100" t="s">
        <v>56</v>
      </c>
    </row>
    <row r="216" spans="1:17" x14ac:dyDescent="0.25">
      <c r="A216" s="95">
        <v>45563</v>
      </c>
      <c r="B216" s="72" t="s">
        <v>775</v>
      </c>
      <c r="C216" s="72" t="s">
        <v>8</v>
      </c>
      <c r="D216" s="72" t="s">
        <v>21</v>
      </c>
      <c r="E216" s="72" t="s">
        <v>82</v>
      </c>
      <c r="F216" s="72">
        <v>1</v>
      </c>
      <c r="G216" s="73">
        <f t="shared" si="37"/>
        <v>10</v>
      </c>
      <c r="H216" s="73">
        <f t="shared" si="34"/>
        <v>10</v>
      </c>
      <c r="I216" s="73">
        <f t="shared" si="33"/>
        <v>10</v>
      </c>
      <c r="J216" s="72" t="s">
        <v>83</v>
      </c>
      <c r="K216" s="74"/>
      <c r="M216" s="99"/>
      <c r="N216" s="80" t="e">
        <f t="shared" si="36"/>
        <v>#N/A</v>
      </c>
      <c r="O216" s="76"/>
      <c r="P216" s="100"/>
    </row>
    <row r="217" spans="1:17" x14ac:dyDescent="0.25">
      <c r="A217" s="95">
        <v>45563</v>
      </c>
      <c r="B217" s="72" t="s">
        <v>324</v>
      </c>
      <c r="C217" s="72" t="s">
        <v>8</v>
      </c>
      <c r="D217" s="72" t="s">
        <v>40</v>
      </c>
      <c r="E217" s="72" t="s">
        <v>82</v>
      </c>
      <c r="F217" s="72">
        <v>1</v>
      </c>
      <c r="G217" s="73">
        <f t="shared" si="37"/>
        <v>45</v>
      </c>
      <c r="H217" s="73">
        <f t="shared" si="34"/>
        <v>45</v>
      </c>
      <c r="I217" s="73">
        <f t="shared" si="33"/>
        <v>43.924500000000002</v>
      </c>
      <c r="J217" s="72" t="s">
        <v>78</v>
      </c>
      <c r="K217" s="74"/>
      <c r="M217" s="99"/>
      <c r="N217" s="80" t="e">
        <f t="shared" si="36"/>
        <v>#N/A</v>
      </c>
      <c r="O217" s="76"/>
      <c r="P217" s="100"/>
    </row>
    <row r="218" spans="1:17" x14ac:dyDescent="0.25">
      <c r="A218" s="95">
        <v>45563</v>
      </c>
      <c r="B218" s="72" t="s">
        <v>217</v>
      </c>
      <c r="C218" s="72" t="s">
        <v>8</v>
      </c>
      <c r="D218" s="72" t="s">
        <v>18</v>
      </c>
      <c r="E218" s="72" t="s">
        <v>82</v>
      </c>
      <c r="F218" s="72">
        <v>2</v>
      </c>
      <c r="G218" s="73">
        <f t="shared" si="37"/>
        <v>40</v>
      </c>
      <c r="H218" s="73">
        <f t="shared" si="34"/>
        <v>80</v>
      </c>
      <c r="I218" s="73">
        <f t="shared" si="33"/>
        <v>80</v>
      </c>
      <c r="J218" s="72" t="s">
        <v>79</v>
      </c>
      <c r="K218" s="74"/>
      <c r="M218" s="99"/>
      <c r="N218" s="80" t="e">
        <f t="shared" si="36"/>
        <v>#N/A</v>
      </c>
      <c r="O218" s="76"/>
      <c r="P218" s="100"/>
    </row>
    <row r="219" spans="1:17" x14ac:dyDescent="0.25">
      <c r="A219" s="95">
        <v>45563</v>
      </c>
      <c r="B219" s="72" t="s">
        <v>217</v>
      </c>
      <c r="C219" s="72" t="s">
        <v>8</v>
      </c>
      <c r="D219" s="72" t="s">
        <v>23</v>
      </c>
      <c r="E219" s="72" t="s">
        <v>82</v>
      </c>
      <c r="F219" s="72">
        <v>1</v>
      </c>
      <c r="G219" s="73">
        <f t="shared" si="37"/>
        <v>5</v>
      </c>
      <c r="H219" s="73">
        <f t="shared" si="34"/>
        <v>5</v>
      </c>
      <c r="I219" s="73">
        <f t="shared" si="33"/>
        <v>5</v>
      </c>
      <c r="J219" s="72" t="s">
        <v>79</v>
      </c>
      <c r="K219" s="74"/>
      <c r="M219" s="99"/>
      <c r="N219" s="80" t="e">
        <f t="shared" si="36"/>
        <v>#N/A</v>
      </c>
      <c r="O219" s="76"/>
      <c r="P219" s="100"/>
    </row>
    <row r="220" spans="1:17" x14ac:dyDescent="0.25">
      <c r="A220" s="95">
        <v>45563</v>
      </c>
      <c r="B220" s="72" t="s">
        <v>773</v>
      </c>
      <c r="C220" s="72" t="s">
        <v>8</v>
      </c>
      <c r="D220" s="72" t="s">
        <v>18</v>
      </c>
      <c r="E220" s="72" t="s">
        <v>56</v>
      </c>
      <c r="F220" s="72">
        <v>1</v>
      </c>
      <c r="G220" s="73">
        <f t="shared" si="37"/>
        <v>40</v>
      </c>
      <c r="H220" s="73">
        <f t="shared" si="34"/>
        <v>40</v>
      </c>
      <c r="I220" s="73">
        <f t="shared" si="33"/>
        <v>40</v>
      </c>
      <c r="J220" s="72" t="s">
        <v>83</v>
      </c>
      <c r="K220" s="74"/>
      <c r="M220" s="72" t="s">
        <v>18</v>
      </c>
      <c r="N220" s="80">
        <f t="shared" si="36"/>
        <v>16</v>
      </c>
      <c r="O220" s="76">
        <f>N220*F220</f>
        <v>16</v>
      </c>
      <c r="P220" s="100"/>
    </row>
    <row r="221" spans="1:17" x14ac:dyDescent="0.25">
      <c r="A221" s="95">
        <v>45563</v>
      </c>
      <c r="B221" s="72" t="s">
        <v>773</v>
      </c>
      <c r="C221" s="72" t="s">
        <v>8</v>
      </c>
      <c r="D221" s="72" t="s">
        <v>45</v>
      </c>
      <c r="E221" s="72" t="s">
        <v>56</v>
      </c>
      <c r="F221" s="72">
        <v>1</v>
      </c>
      <c r="G221" s="73">
        <f t="shared" si="37"/>
        <v>3.5</v>
      </c>
      <c r="H221" s="73">
        <f t="shared" si="34"/>
        <v>3.5</v>
      </c>
      <c r="I221" s="73">
        <f t="shared" si="33"/>
        <v>3.5</v>
      </c>
      <c r="J221" s="72" t="s">
        <v>83</v>
      </c>
      <c r="K221" s="74"/>
      <c r="M221" s="72" t="s">
        <v>45</v>
      </c>
      <c r="N221" s="80">
        <f t="shared" si="36"/>
        <v>0.35000000000000003</v>
      </c>
      <c r="O221" s="76">
        <f>N221*F221</f>
        <v>0.35000000000000003</v>
      </c>
      <c r="P221" s="100"/>
      <c r="Q221" s="106"/>
    </row>
    <row r="222" spans="1:17" x14ac:dyDescent="0.25">
      <c r="A222" s="95">
        <v>45563</v>
      </c>
      <c r="B222" s="72" t="s">
        <v>572</v>
      </c>
      <c r="C222" s="72" t="s">
        <v>8</v>
      </c>
      <c r="D222" s="72" t="s">
        <v>17</v>
      </c>
      <c r="E222" s="72" t="s">
        <v>82</v>
      </c>
      <c r="F222" s="72">
        <v>1</v>
      </c>
      <c r="G222" s="73">
        <f t="shared" si="37"/>
        <v>50</v>
      </c>
      <c r="H222" s="73">
        <f t="shared" si="34"/>
        <v>50</v>
      </c>
      <c r="I222" s="73">
        <f t="shared" si="33"/>
        <v>50</v>
      </c>
      <c r="J222" s="72" t="s">
        <v>79</v>
      </c>
      <c r="K222" s="74"/>
      <c r="M222" s="99"/>
      <c r="N222" s="80" t="e">
        <f t="shared" si="36"/>
        <v>#N/A</v>
      </c>
      <c r="O222" s="76"/>
      <c r="P222" s="100"/>
    </row>
    <row r="223" spans="1:17" x14ac:dyDescent="0.25">
      <c r="A223" s="95">
        <v>45563</v>
      </c>
      <c r="B223" s="72" t="s">
        <v>498</v>
      </c>
      <c r="C223" s="72" t="s">
        <v>8</v>
      </c>
      <c r="D223" s="72" t="s">
        <v>17</v>
      </c>
      <c r="E223" s="72" t="s">
        <v>82</v>
      </c>
      <c r="F223" s="72">
        <v>1</v>
      </c>
      <c r="G223" s="73">
        <f t="shared" si="37"/>
        <v>50</v>
      </c>
      <c r="H223" s="73">
        <f t="shared" si="34"/>
        <v>50</v>
      </c>
      <c r="I223" s="73">
        <f t="shared" si="33"/>
        <v>50</v>
      </c>
      <c r="J223" s="72" t="s">
        <v>79</v>
      </c>
      <c r="K223" s="74"/>
      <c r="M223" s="99"/>
      <c r="N223" s="80" t="e">
        <f t="shared" si="36"/>
        <v>#N/A</v>
      </c>
      <c r="O223" s="76"/>
      <c r="P223" s="100"/>
    </row>
    <row r="224" spans="1:17" x14ac:dyDescent="0.25">
      <c r="A224" s="95">
        <v>45563</v>
      </c>
      <c r="B224" s="72" t="s">
        <v>812</v>
      </c>
      <c r="C224" s="72" t="s">
        <v>8</v>
      </c>
      <c r="D224" s="72" t="s">
        <v>15</v>
      </c>
      <c r="E224" s="72" t="s">
        <v>82</v>
      </c>
      <c r="F224" s="72">
        <v>1</v>
      </c>
      <c r="G224" s="73">
        <f t="shared" si="37"/>
        <v>70</v>
      </c>
      <c r="H224" s="73">
        <f t="shared" si="34"/>
        <v>70</v>
      </c>
      <c r="I224" s="73">
        <f t="shared" si="33"/>
        <v>70</v>
      </c>
      <c r="J224" s="72" t="s">
        <v>83</v>
      </c>
      <c r="K224" s="74"/>
      <c r="M224" s="99"/>
      <c r="N224" s="80" t="e">
        <f t="shared" si="36"/>
        <v>#N/A</v>
      </c>
      <c r="O224" s="76"/>
      <c r="P224" s="100"/>
    </row>
    <row r="225" spans="1:17" x14ac:dyDescent="0.25">
      <c r="A225" s="95">
        <v>45563</v>
      </c>
      <c r="B225" s="72" t="s">
        <v>256</v>
      </c>
      <c r="C225" s="72" t="s">
        <v>8</v>
      </c>
      <c r="D225" s="72" t="s">
        <v>15</v>
      </c>
      <c r="E225" s="72" t="s">
        <v>82</v>
      </c>
      <c r="F225" s="72">
        <v>1</v>
      </c>
      <c r="G225" s="73">
        <f t="shared" si="37"/>
        <v>70</v>
      </c>
      <c r="H225" s="73">
        <f t="shared" si="34"/>
        <v>70</v>
      </c>
      <c r="I225" s="73">
        <f t="shared" si="33"/>
        <v>66.507000000000005</v>
      </c>
      <c r="J225" s="72" t="s">
        <v>86</v>
      </c>
      <c r="K225" s="74"/>
      <c r="M225" s="99"/>
      <c r="N225" s="80" t="e">
        <f t="shared" si="36"/>
        <v>#N/A</v>
      </c>
      <c r="O225" s="76"/>
      <c r="P225" s="100"/>
    </row>
    <row r="226" spans="1:17" x14ac:dyDescent="0.25">
      <c r="A226" s="95">
        <v>45563</v>
      </c>
      <c r="B226" s="72" t="s">
        <v>256</v>
      </c>
      <c r="C226" s="72" t="s">
        <v>8</v>
      </c>
      <c r="D226" s="72" t="s">
        <v>59</v>
      </c>
      <c r="E226" s="72" t="s">
        <v>82</v>
      </c>
      <c r="F226" s="72">
        <v>1</v>
      </c>
      <c r="G226" s="73">
        <v>14</v>
      </c>
      <c r="H226" s="73">
        <f t="shared" si="34"/>
        <v>14</v>
      </c>
      <c r="I226" s="73">
        <f t="shared" si="33"/>
        <v>13.301399999999999</v>
      </c>
      <c r="J226" s="72" t="s">
        <v>86</v>
      </c>
      <c r="K226" s="74"/>
      <c r="M226" s="99"/>
      <c r="N226" s="80" t="e">
        <f t="shared" si="36"/>
        <v>#N/A</v>
      </c>
      <c r="O226" s="76"/>
      <c r="P226" s="100"/>
      <c r="Q226" s="106"/>
    </row>
    <row r="227" spans="1:17" x14ac:dyDescent="0.25">
      <c r="A227" s="95">
        <v>45563</v>
      </c>
      <c r="B227" s="72" t="s">
        <v>813</v>
      </c>
      <c r="C227" s="72" t="s">
        <v>8</v>
      </c>
      <c r="D227" s="72" t="s">
        <v>40</v>
      </c>
      <c r="E227" s="72" t="s">
        <v>82</v>
      </c>
      <c r="F227" s="72">
        <v>1</v>
      </c>
      <c r="G227" s="73">
        <f>VLOOKUP(D227,$S$3:$T$69,2,0)</f>
        <v>45</v>
      </c>
      <c r="H227" s="73">
        <f t="shared" si="34"/>
        <v>45</v>
      </c>
      <c r="I227" s="73">
        <f t="shared" si="33"/>
        <v>43.924500000000002</v>
      </c>
      <c r="J227" s="72" t="s">
        <v>78</v>
      </c>
      <c r="K227" s="74"/>
      <c r="M227" s="99"/>
      <c r="N227" s="80" t="e">
        <f t="shared" si="36"/>
        <v>#N/A</v>
      </c>
      <c r="O227" s="76"/>
      <c r="P227" s="100"/>
    </row>
    <row r="228" spans="1:17" x14ac:dyDescent="0.25">
      <c r="A228" s="95">
        <v>45563</v>
      </c>
      <c r="B228" s="72" t="s">
        <v>783</v>
      </c>
      <c r="C228" s="72" t="s">
        <v>8</v>
      </c>
      <c r="D228" s="72" t="s">
        <v>18</v>
      </c>
      <c r="E228" s="72" t="s">
        <v>82</v>
      </c>
      <c r="F228" s="72">
        <v>1</v>
      </c>
      <c r="G228" s="73">
        <v>35</v>
      </c>
      <c r="H228" s="73">
        <f t="shared" si="34"/>
        <v>35</v>
      </c>
      <c r="I228" s="73">
        <f t="shared" si="33"/>
        <v>34.163499999999999</v>
      </c>
      <c r="J228" s="72" t="s">
        <v>78</v>
      </c>
      <c r="K228" s="74"/>
      <c r="M228" s="99"/>
      <c r="N228" s="80" t="e">
        <f t="shared" si="36"/>
        <v>#N/A</v>
      </c>
      <c r="O228" s="76"/>
      <c r="P228" s="100"/>
    </row>
    <row r="229" spans="1:17" x14ac:dyDescent="0.25">
      <c r="A229" s="95">
        <v>45563</v>
      </c>
      <c r="B229" s="72" t="s">
        <v>602</v>
      </c>
      <c r="C229" s="72" t="s">
        <v>8</v>
      </c>
      <c r="D229" s="72" t="s">
        <v>16</v>
      </c>
      <c r="E229" s="72" t="s">
        <v>56</v>
      </c>
      <c r="F229" s="72">
        <v>1</v>
      </c>
      <c r="G229" s="73">
        <f t="shared" ref="G229:G260" si="38">VLOOKUP(D229,$S$3:$T$69,2,0)</f>
        <v>80</v>
      </c>
      <c r="H229" s="73">
        <f t="shared" ref="H229:H260" si="39">F229*G229</f>
        <v>80</v>
      </c>
      <c r="I229" s="73">
        <f t="shared" si="33"/>
        <v>80</v>
      </c>
      <c r="J229" s="72" t="s">
        <v>83</v>
      </c>
      <c r="K229" s="74"/>
      <c r="M229" s="99" t="s">
        <v>16</v>
      </c>
      <c r="N229" s="80">
        <f t="shared" si="36"/>
        <v>32</v>
      </c>
      <c r="O229" s="76">
        <f t="shared" ref="O229:O260" si="40">N229*F229</f>
        <v>32</v>
      </c>
      <c r="P229" s="100" t="s">
        <v>56</v>
      </c>
    </row>
    <row r="230" spans="1:17" x14ac:dyDescent="0.25">
      <c r="A230" s="95">
        <v>45563</v>
      </c>
      <c r="B230" s="72" t="s">
        <v>814</v>
      </c>
      <c r="C230" s="72" t="s">
        <v>8</v>
      </c>
      <c r="D230" s="72" t="s">
        <v>18</v>
      </c>
      <c r="E230" s="72" t="s">
        <v>56</v>
      </c>
      <c r="F230" s="72">
        <v>2</v>
      </c>
      <c r="G230" s="73">
        <f t="shared" si="38"/>
        <v>40</v>
      </c>
      <c r="H230" s="73">
        <f t="shared" si="39"/>
        <v>80</v>
      </c>
      <c r="I230" s="73">
        <f t="shared" si="33"/>
        <v>80</v>
      </c>
      <c r="J230" s="72" t="s">
        <v>83</v>
      </c>
      <c r="K230" s="74"/>
      <c r="M230" s="99" t="s">
        <v>18</v>
      </c>
      <c r="N230" s="80">
        <f t="shared" si="36"/>
        <v>16</v>
      </c>
      <c r="O230" s="76">
        <f t="shared" si="40"/>
        <v>32</v>
      </c>
      <c r="P230" s="100" t="s">
        <v>56</v>
      </c>
    </row>
    <row r="231" spans="1:17" x14ac:dyDescent="0.25">
      <c r="A231" s="95">
        <v>45563</v>
      </c>
      <c r="B231" s="72" t="s">
        <v>204</v>
      </c>
      <c r="C231" s="72" t="s">
        <v>8</v>
      </c>
      <c r="D231" s="72" t="s">
        <v>18</v>
      </c>
      <c r="E231" s="72" t="s">
        <v>56</v>
      </c>
      <c r="F231" s="72">
        <v>1</v>
      </c>
      <c r="G231" s="73">
        <f t="shared" si="38"/>
        <v>40</v>
      </c>
      <c r="H231" s="73">
        <f t="shared" si="39"/>
        <v>40</v>
      </c>
      <c r="I231" s="73">
        <f t="shared" si="33"/>
        <v>40</v>
      </c>
      <c r="J231" s="72" t="s">
        <v>83</v>
      </c>
      <c r="K231" s="74"/>
      <c r="M231" s="99" t="s">
        <v>18</v>
      </c>
      <c r="N231" s="80">
        <f t="shared" si="36"/>
        <v>16</v>
      </c>
      <c r="O231" s="76">
        <f t="shared" si="40"/>
        <v>16</v>
      </c>
      <c r="P231" s="100" t="s">
        <v>56</v>
      </c>
      <c r="Q231" s="106">
        <f>SUM(O154:O231)</f>
        <v>486.95000000000005</v>
      </c>
    </row>
    <row r="232" spans="1:17" x14ac:dyDescent="0.25">
      <c r="A232" s="95">
        <v>45563</v>
      </c>
      <c r="B232" s="72"/>
      <c r="C232" s="72"/>
      <c r="D232" s="72"/>
      <c r="E232" s="72"/>
      <c r="F232" s="72"/>
      <c r="G232" s="73" t="e">
        <f t="shared" si="38"/>
        <v>#N/A</v>
      </c>
      <c r="H232" s="73" t="e">
        <f t="shared" si="39"/>
        <v>#N/A</v>
      </c>
      <c r="I232" s="73" t="b">
        <f t="shared" si="33"/>
        <v>0</v>
      </c>
      <c r="J232" s="72"/>
      <c r="K232" s="74"/>
      <c r="M232" s="99"/>
      <c r="N232" s="80" t="e">
        <f t="shared" si="36"/>
        <v>#N/A</v>
      </c>
      <c r="O232" s="76" t="e">
        <f t="shared" si="40"/>
        <v>#N/A</v>
      </c>
      <c r="P232" s="103"/>
    </row>
    <row r="233" spans="1:17" x14ac:dyDescent="0.25">
      <c r="A233" s="95">
        <v>45563</v>
      </c>
      <c r="B233" s="72"/>
      <c r="C233" s="72"/>
      <c r="D233" s="72"/>
      <c r="E233" s="72"/>
      <c r="F233" s="72"/>
      <c r="G233" s="73" t="e">
        <f t="shared" si="38"/>
        <v>#N/A</v>
      </c>
      <c r="H233" s="73" t="e">
        <f t="shared" si="39"/>
        <v>#N/A</v>
      </c>
      <c r="I233" s="73" t="b">
        <f t="shared" si="33"/>
        <v>0</v>
      </c>
      <c r="J233" s="72"/>
      <c r="K233" s="74"/>
      <c r="M233" s="99"/>
      <c r="N233" s="80" t="e">
        <f t="shared" si="36"/>
        <v>#N/A</v>
      </c>
      <c r="O233" s="76" t="e">
        <f t="shared" si="40"/>
        <v>#N/A</v>
      </c>
      <c r="P233" s="103"/>
    </row>
    <row r="234" spans="1:17" x14ac:dyDescent="0.25">
      <c r="A234" s="95">
        <v>45563</v>
      </c>
      <c r="B234" s="72"/>
      <c r="C234" s="72"/>
      <c r="D234" s="72"/>
      <c r="E234" s="72"/>
      <c r="F234" s="72"/>
      <c r="G234" s="73" t="e">
        <f t="shared" si="38"/>
        <v>#N/A</v>
      </c>
      <c r="H234" s="73" t="e">
        <f t="shared" si="39"/>
        <v>#N/A</v>
      </c>
      <c r="I234" s="73" t="b">
        <f t="shared" si="33"/>
        <v>0</v>
      </c>
      <c r="J234" s="72"/>
      <c r="K234" s="74"/>
      <c r="M234" s="99"/>
      <c r="N234" s="80" t="e">
        <f t="shared" si="36"/>
        <v>#N/A</v>
      </c>
      <c r="O234" s="76" t="e">
        <f t="shared" si="40"/>
        <v>#N/A</v>
      </c>
      <c r="P234" s="103"/>
    </row>
    <row r="235" spans="1:17" x14ac:dyDescent="0.25">
      <c r="A235" s="95"/>
      <c r="B235" s="72"/>
      <c r="C235" s="72"/>
      <c r="D235" s="72"/>
      <c r="E235" s="72"/>
      <c r="F235" s="72"/>
      <c r="G235" s="73" t="e">
        <f t="shared" si="38"/>
        <v>#N/A</v>
      </c>
      <c r="H235" s="73" t="e">
        <f t="shared" si="39"/>
        <v>#N/A</v>
      </c>
      <c r="I235" s="73" t="b">
        <f t="shared" si="33"/>
        <v>0</v>
      </c>
      <c r="J235" s="72"/>
      <c r="K235" s="74"/>
      <c r="M235" s="99"/>
      <c r="N235" s="80" t="e">
        <f t="shared" si="36"/>
        <v>#N/A</v>
      </c>
      <c r="O235" s="76" t="e">
        <f t="shared" si="40"/>
        <v>#N/A</v>
      </c>
      <c r="P235" s="103"/>
    </row>
    <row r="236" spans="1:17" x14ac:dyDescent="0.25">
      <c r="A236" s="95"/>
      <c r="B236" s="72"/>
      <c r="C236" s="72"/>
      <c r="D236" s="72"/>
      <c r="E236" s="72"/>
      <c r="F236" s="72"/>
      <c r="G236" s="73" t="e">
        <f t="shared" si="38"/>
        <v>#N/A</v>
      </c>
      <c r="H236" s="73" t="e">
        <f t="shared" si="39"/>
        <v>#N/A</v>
      </c>
      <c r="I236" s="73" t="b">
        <f t="shared" si="33"/>
        <v>0</v>
      </c>
      <c r="J236" s="72"/>
      <c r="K236" s="74"/>
      <c r="M236" s="99"/>
      <c r="N236" s="80" t="e">
        <f t="shared" si="36"/>
        <v>#N/A</v>
      </c>
      <c r="O236" s="76" t="e">
        <f t="shared" si="40"/>
        <v>#N/A</v>
      </c>
      <c r="P236" s="103"/>
    </row>
    <row r="237" spans="1:17" x14ac:dyDescent="0.25">
      <c r="A237" s="95"/>
      <c r="B237" s="72"/>
      <c r="C237" s="72"/>
      <c r="D237" s="72"/>
      <c r="E237" s="72"/>
      <c r="F237" s="72"/>
      <c r="G237" s="73" t="e">
        <f t="shared" si="38"/>
        <v>#N/A</v>
      </c>
      <c r="H237" s="73" t="e">
        <f t="shared" si="39"/>
        <v>#N/A</v>
      </c>
      <c r="I237" s="73" t="b">
        <f t="shared" si="33"/>
        <v>0</v>
      </c>
      <c r="J237" s="72"/>
      <c r="K237" s="74"/>
      <c r="M237" s="99"/>
      <c r="N237" s="80" t="e">
        <f t="shared" si="36"/>
        <v>#N/A</v>
      </c>
      <c r="O237" s="76" t="e">
        <f t="shared" si="40"/>
        <v>#N/A</v>
      </c>
      <c r="P237" s="103"/>
    </row>
    <row r="238" spans="1:17" x14ac:dyDescent="0.25">
      <c r="A238" s="95"/>
      <c r="B238" s="72"/>
      <c r="C238" s="72"/>
      <c r="D238" s="72"/>
      <c r="E238" s="72"/>
      <c r="F238" s="72"/>
      <c r="G238" s="73" t="e">
        <f t="shared" si="38"/>
        <v>#N/A</v>
      </c>
      <c r="H238" s="73" t="e">
        <f t="shared" si="39"/>
        <v>#N/A</v>
      </c>
      <c r="I238" s="73" t="b">
        <f t="shared" si="33"/>
        <v>0</v>
      </c>
      <c r="J238" s="72"/>
      <c r="K238" s="74"/>
      <c r="M238" s="99"/>
      <c r="N238" s="80" t="e">
        <f t="shared" si="36"/>
        <v>#N/A</v>
      </c>
      <c r="O238" s="76" t="e">
        <f t="shared" si="40"/>
        <v>#N/A</v>
      </c>
      <c r="P238" s="103"/>
    </row>
    <row r="239" spans="1:17" x14ac:dyDescent="0.25">
      <c r="A239" s="95"/>
      <c r="B239" s="72"/>
      <c r="C239" s="72"/>
      <c r="D239" s="72"/>
      <c r="E239" s="72"/>
      <c r="F239" s="72"/>
      <c r="G239" s="73" t="e">
        <f t="shared" si="38"/>
        <v>#N/A</v>
      </c>
      <c r="H239" s="73" t="e">
        <f t="shared" si="39"/>
        <v>#N/A</v>
      </c>
      <c r="I239" s="73" t="b">
        <f t="shared" si="33"/>
        <v>0</v>
      </c>
      <c r="J239" s="72"/>
      <c r="K239" s="74"/>
      <c r="M239" s="99"/>
      <c r="N239" s="80" t="e">
        <f t="shared" si="36"/>
        <v>#N/A</v>
      </c>
      <c r="O239" s="76" t="e">
        <f t="shared" si="40"/>
        <v>#N/A</v>
      </c>
      <c r="P239" s="103"/>
    </row>
    <row r="240" spans="1:17" x14ac:dyDescent="0.25">
      <c r="A240" s="95"/>
      <c r="B240" s="72"/>
      <c r="C240" s="72"/>
      <c r="D240" s="72"/>
      <c r="E240" s="72"/>
      <c r="F240" s="72"/>
      <c r="G240" s="73" t="e">
        <f t="shared" si="38"/>
        <v>#N/A</v>
      </c>
      <c r="H240" s="73" t="e">
        <f t="shared" si="39"/>
        <v>#N/A</v>
      </c>
      <c r="I240" s="73" t="b">
        <f t="shared" si="33"/>
        <v>0</v>
      </c>
      <c r="J240" s="72"/>
      <c r="K240" s="74"/>
      <c r="M240" s="99"/>
      <c r="N240" s="80" t="e">
        <f t="shared" si="36"/>
        <v>#N/A</v>
      </c>
      <c r="O240" s="76" t="e">
        <f t="shared" si="40"/>
        <v>#N/A</v>
      </c>
      <c r="P240" s="103"/>
    </row>
    <row r="241" spans="1:17" x14ac:dyDescent="0.25">
      <c r="A241" s="95"/>
      <c r="B241" s="72"/>
      <c r="C241" s="72"/>
      <c r="D241" s="72"/>
      <c r="E241" s="72"/>
      <c r="F241" s="72"/>
      <c r="G241" s="73" t="e">
        <f t="shared" si="38"/>
        <v>#N/A</v>
      </c>
      <c r="H241" s="73" t="e">
        <f t="shared" si="39"/>
        <v>#N/A</v>
      </c>
      <c r="I241" s="73" t="b">
        <f t="shared" si="33"/>
        <v>0</v>
      </c>
      <c r="J241" s="72"/>
      <c r="K241" s="74"/>
      <c r="M241" s="99"/>
      <c r="N241" s="80" t="e">
        <f t="shared" si="36"/>
        <v>#N/A</v>
      </c>
      <c r="O241" s="76" t="e">
        <f t="shared" si="40"/>
        <v>#N/A</v>
      </c>
      <c r="P241" s="103"/>
    </row>
    <row r="242" spans="1:17" x14ac:dyDescent="0.25">
      <c r="A242" s="95"/>
      <c r="B242" s="72"/>
      <c r="C242" s="72"/>
      <c r="D242" s="72"/>
      <c r="E242" s="72"/>
      <c r="F242" s="72"/>
      <c r="G242" s="73" t="e">
        <f t="shared" si="38"/>
        <v>#N/A</v>
      </c>
      <c r="H242" s="73" t="e">
        <f t="shared" si="39"/>
        <v>#N/A</v>
      </c>
      <c r="I242" s="73" t="b">
        <f t="shared" si="33"/>
        <v>0</v>
      </c>
      <c r="J242" s="72"/>
      <c r="K242" s="74"/>
      <c r="M242" s="99"/>
      <c r="N242" s="80" t="e">
        <f t="shared" si="36"/>
        <v>#N/A</v>
      </c>
      <c r="O242" s="76" t="e">
        <f t="shared" si="40"/>
        <v>#N/A</v>
      </c>
      <c r="P242" s="103"/>
    </row>
    <row r="243" spans="1:17" x14ac:dyDescent="0.25">
      <c r="A243" s="95"/>
      <c r="B243" s="72"/>
      <c r="C243" s="72"/>
      <c r="D243" s="72"/>
      <c r="E243" s="72"/>
      <c r="F243" s="72"/>
      <c r="G243" s="73" t="e">
        <f t="shared" si="38"/>
        <v>#N/A</v>
      </c>
      <c r="H243" s="73" t="e">
        <f t="shared" si="39"/>
        <v>#N/A</v>
      </c>
      <c r="I243" s="73" t="b">
        <f t="shared" si="33"/>
        <v>0</v>
      </c>
      <c r="J243" s="72"/>
      <c r="K243" s="74"/>
      <c r="M243" s="99"/>
      <c r="N243" s="80" t="e">
        <f t="shared" ref="N243:N274" si="41">VLOOKUP(M243,$S$3:$U$69,3,0)</f>
        <v>#N/A</v>
      </c>
      <c r="O243" s="76" t="e">
        <f t="shared" si="40"/>
        <v>#N/A</v>
      </c>
      <c r="P243" s="103"/>
    </row>
    <row r="244" spans="1:17" x14ac:dyDescent="0.25">
      <c r="A244" s="95"/>
      <c r="B244" s="72"/>
      <c r="C244" s="72"/>
      <c r="D244" s="72"/>
      <c r="E244" s="72"/>
      <c r="F244" s="72"/>
      <c r="G244" s="73" t="e">
        <f t="shared" si="38"/>
        <v>#N/A</v>
      </c>
      <c r="H244" s="73" t="e">
        <f t="shared" si="39"/>
        <v>#N/A</v>
      </c>
      <c r="I244" s="73" t="b">
        <f t="shared" si="33"/>
        <v>0</v>
      </c>
      <c r="J244" s="72"/>
      <c r="K244" s="74"/>
      <c r="M244" s="99"/>
      <c r="N244" s="80" t="e">
        <f t="shared" si="41"/>
        <v>#N/A</v>
      </c>
      <c r="O244" s="76" t="e">
        <f t="shared" si="40"/>
        <v>#N/A</v>
      </c>
      <c r="P244" s="103"/>
    </row>
    <row r="245" spans="1:17" x14ac:dyDescent="0.25">
      <c r="A245" s="95"/>
      <c r="B245" s="72"/>
      <c r="C245" s="72"/>
      <c r="D245" s="72"/>
      <c r="E245" s="72"/>
      <c r="F245" s="72"/>
      <c r="G245" s="73" t="e">
        <f t="shared" si="38"/>
        <v>#N/A</v>
      </c>
      <c r="H245" s="73" t="e">
        <f t="shared" si="39"/>
        <v>#N/A</v>
      </c>
      <c r="I245" s="73" t="b">
        <f t="shared" si="33"/>
        <v>0</v>
      </c>
      <c r="J245" s="72"/>
      <c r="K245" s="74"/>
      <c r="M245" s="99"/>
      <c r="N245" s="80" t="e">
        <f t="shared" si="41"/>
        <v>#N/A</v>
      </c>
      <c r="O245" s="76" t="e">
        <f t="shared" si="40"/>
        <v>#N/A</v>
      </c>
      <c r="P245" s="103"/>
    </row>
    <row r="246" spans="1:17" x14ac:dyDescent="0.25">
      <c r="A246" s="95"/>
      <c r="B246" s="72"/>
      <c r="C246" s="72"/>
      <c r="D246" s="72"/>
      <c r="E246" s="72"/>
      <c r="F246" s="72"/>
      <c r="G246" s="73" t="e">
        <f t="shared" si="38"/>
        <v>#N/A</v>
      </c>
      <c r="H246" s="73" t="e">
        <f t="shared" si="39"/>
        <v>#N/A</v>
      </c>
      <c r="I246" s="73" t="b">
        <f t="shared" si="33"/>
        <v>0</v>
      </c>
      <c r="J246" s="72"/>
      <c r="K246" s="74"/>
      <c r="M246" s="99"/>
      <c r="N246" s="80" t="e">
        <f t="shared" si="41"/>
        <v>#N/A</v>
      </c>
      <c r="O246" s="76" t="e">
        <f t="shared" si="40"/>
        <v>#N/A</v>
      </c>
      <c r="P246" s="103"/>
    </row>
    <row r="247" spans="1:17" x14ac:dyDescent="0.25">
      <c r="A247" s="95"/>
      <c r="B247" s="72"/>
      <c r="C247" s="72"/>
      <c r="D247" s="72"/>
      <c r="E247" s="72"/>
      <c r="F247" s="72"/>
      <c r="G247" s="73" t="e">
        <f t="shared" si="38"/>
        <v>#N/A</v>
      </c>
      <c r="H247" s="73" t="e">
        <f t="shared" si="39"/>
        <v>#N/A</v>
      </c>
      <c r="I247" s="73" t="b">
        <f t="shared" si="33"/>
        <v>0</v>
      </c>
      <c r="J247" s="72"/>
      <c r="K247" s="74"/>
      <c r="M247" s="99"/>
      <c r="N247" s="80" t="e">
        <f t="shared" si="41"/>
        <v>#N/A</v>
      </c>
      <c r="O247" s="76" t="e">
        <f t="shared" si="40"/>
        <v>#N/A</v>
      </c>
      <c r="P247" s="103"/>
      <c r="Q247" s="106"/>
    </row>
    <row r="248" spans="1:17" x14ac:dyDescent="0.25">
      <c r="A248" s="95"/>
      <c r="B248" s="72"/>
      <c r="C248" s="72"/>
      <c r="D248" s="72"/>
      <c r="E248" s="72"/>
      <c r="F248" s="72"/>
      <c r="G248" s="73" t="e">
        <f t="shared" si="38"/>
        <v>#N/A</v>
      </c>
      <c r="H248" s="73" t="e">
        <f t="shared" si="39"/>
        <v>#N/A</v>
      </c>
      <c r="I248" s="73" t="b">
        <f t="shared" si="33"/>
        <v>0</v>
      </c>
      <c r="J248" s="72"/>
      <c r="K248" s="74"/>
      <c r="M248" s="99"/>
      <c r="N248" s="80" t="e">
        <f t="shared" si="41"/>
        <v>#N/A</v>
      </c>
      <c r="O248" s="76" t="e">
        <f t="shared" si="40"/>
        <v>#N/A</v>
      </c>
      <c r="P248" s="103"/>
    </row>
    <row r="249" spans="1:17" x14ac:dyDescent="0.25">
      <c r="A249" s="95"/>
      <c r="B249" s="72"/>
      <c r="C249" s="72"/>
      <c r="D249" s="72"/>
      <c r="E249" s="72"/>
      <c r="F249" s="72"/>
      <c r="G249" s="73" t="e">
        <f t="shared" si="38"/>
        <v>#N/A</v>
      </c>
      <c r="H249" s="73" t="e">
        <f t="shared" si="39"/>
        <v>#N/A</v>
      </c>
      <c r="I249" s="73" t="b">
        <f t="shared" si="33"/>
        <v>0</v>
      </c>
      <c r="J249" s="72"/>
      <c r="K249" s="74"/>
      <c r="M249" s="99"/>
      <c r="N249" s="80" t="e">
        <f t="shared" si="41"/>
        <v>#N/A</v>
      </c>
      <c r="O249" s="76" t="e">
        <f t="shared" si="40"/>
        <v>#N/A</v>
      </c>
      <c r="P249" s="103"/>
    </row>
    <row r="250" spans="1:17" x14ac:dyDescent="0.25">
      <c r="A250" s="95"/>
      <c r="B250" s="72"/>
      <c r="C250" s="72"/>
      <c r="D250" s="72"/>
      <c r="E250" s="72"/>
      <c r="F250" s="72"/>
      <c r="G250" s="73" t="e">
        <f t="shared" si="38"/>
        <v>#N/A</v>
      </c>
      <c r="H250" s="73" t="e">
        <f t="shared" si="39"/>
        <v>#N/A</v>
      </c>
      <c r="I250" s="73" t="b">
        <f t="shared" si="33"/>
        <v>0</v>
      </c>
      <c r="J250" s="72"/>
      <c r="K250" s="74"/>
      <c r="M250" s="99"/>
      <c r="N250" s="80" t="e">
        <f t="shared" si="41"/>
        <v>#N/A</v>
      </c>
      <c r="O250" s="76" t="e">
        <f t="shared" si="40"/>
        <v>#N/A</v>
      </c>
      <c r="P250" s="103"/>
    </row>
    <row r="251" spans="1:17" x14ac:dyDescent="0.25">
      <c r="A251" s="95"/>
      <c r="B251" s="72"/>
      <c r="C251" s="72"/>
      <c r="D251" s="72"/>
      <c r="E251" s="72"/>
      <c r="F251" s="72"/>
      <c r="G251" s="73" t="e">
        <f t="shared" si="38"/>
        <v>#N/A</v>
      </c>
      <c r="H251" s="73" t="e">
        <f t="shared" si="39"/>
        <v>#N/A</v>
      </c>
      <c r="I251" s="73" t="b">
        <f t="shared" si="33"/>
        <v>0</v>
      </c>
      <c r="J251" s="72"/>
      <c r="K251" s="74"/>
      <c r="M251" s="99"/>
      <c r="N251" s="80" t="e">
        <f t="shared" si="41"/>
        <v>#N/A</v>
      </c>
      <c r="O251" s="76" t="e">
        <f t="shared" si="40"/>
        <v>#N/A</v>
      </c>
      <c r="P251" s="103"/>
    </row>
    <row r="252" spans="1:17" x14ac:dyDescent="0.25">
      <c r="A252" s="95"/>
      <c r="B252" s="72"/>
      <c r="C252" s="72"/>
      <c r="D252" s="72"/>
      <c r="E252" s="72"/>
      <c r="F252" s="72"/>
      <c r="G252" s="73" t="e">
        <f t="shared" si="38"/>
        <v>#N/A</v>
      </c>
      <c r="H252" s="73" t="e">
        <f t="shared" si="39"/>
        <v>#N/A</v>
      </c>
      <c r="I252" s="73" t="b">
        <f t="shared" si="33"/>
        <v>0</v>
      </c>
      <c r="J252" s="72"/>
      <c r="K252" s="74"/>
      <c r="M252" s="99"/>
      <c r="N252" s="80" t="e">
        <f t="shared" si="41"/>
        <v>#N/A</v>
      </c>
      <c r="O252" s="76" t="e">
        <f t="shared" si="40"/>
        <v>#N/A</v>
      </c>
      <c r="P252" s="103"/>
    </row>
    <row r="253" spans="1:17" x14ac:dyDescent="0.25">
      <c r="A253" s="95"/>
      <c r="B253" s="72"/>
      <c r="C253" s="72"/>
      <c r="D253" s="72"/>
      <c r="E253" s="72"/>
      <c r="F253" s="72"/>
      <c r="G253" s="73" t="e">
        <f t="shared" si="38"/>
        <v>#N/A</v>
      </c>
      <c r="H253" s="73" t="e">
        <f t="shared" si="39"/>
        <v>#N/A</v>
      </c>
      <c r="I253" s="73" t="b">
        <f t="shared" si="33"/>
        <v>0</v>
      </c>
      <c r="J253" s="72"/>
      <c r="K253" s="74"/>
      <c r="M253" s="99"/>
      <c r="N253" s="80" t="e">
        <f t="shared" si="41"/>
        <v>#N/A</v>
      </c>
      <c r="O253" s="76" t="e">
        <f t="shared" si="40"/>
        <v>#N/A</v>
      </c>
      <c r="P253" s="103"/>
    </row>
    <row r="254" spans="1:17" x14ac:dyDescent="0.25">
      <c r="A254" s="95"/>
      <c r="B254" s="72"/>
      <c r="C254" s="72"/>
      <c r="D254" s="72"/>
      <c r="E254" s="72"/>
      <c r="F254" s="72"/>
      <c r="G254" s="73" t="e">
        <f t="shared" si="38"/>
        <v>#N/A</v>
      </c>
      <c r="H254" s="73" t="e">
        <f t="shared" si="39"/>
        <v>#N/A</v>
      </c>
      <c r="I254" s="73" t="b">
        <f t="shared" si="33"/>
        <v>0</v>
      </c>
      <c r="J254" s="72"/>
      <c r="K254" s="74"/>
      <c r="M254" s="99"/>
      <c r="N254" s="80" t="e">
        <f t="shared" si="41"/>
        <v>#N/A</v>
      </c>
      <c r="O254" s="76" t="e">
        <f t="shared" si="40"/>
        <v>#N/A</v>
      </c>
      <c r="P254" s="103"/>
    </row>
    <row r="255" spans="1:17" x14ac:dyDescent="0.25">
      <c r="A255" s="95"/>
      <c r="B255" s="72"/>
      <c r="C255" s="72"/>
      <c r="D255" s="72"/>
      <c r="E255" s="72"/>
      <c r="F255" s="72"/>
      <c r="G255" s="73" t="e">
        <f t="shared" si="38"/>
        <v>#N/A</v>
      </c>
      <c r="H255" s="73" t="e">
        <f t="shared" si="39"/>
        <v>#N/A</v>
      </c>
      <c r="I255" s="73" t="b">
        <f t="shared" si="33"/>
        <v>0</v>
      </c>
      <c r="J255" s="72"/>
      <c r="K255" s="74"/>
      <c r="M255" s="99"/>
      <c r="N255" s="80" t="e">
        <f t="shared" si="41"/>
        <v>#N/A</v>
      </c>
      <c r="O255" s="76" t="e">
        <f t="shared" si="40"/>
        <v>#N/A</v>
      </c>
      <c r="P255" s="103"/>
    </row>
    <row r="256" spans="1:17" x14ac:dyDescent="0.25">
      <c r="A256" s="95"/>
      <c r="B256" s="72"/>
      <c r="C256" s="72"/>
      <c r="D256" s="72"/>
      <c r="E256" s="72"/>
      <c r="F256" s="72"/>
      <c r="G256" s="73" t="e">
        <f t="shared" si="38"/>
        <v>#N/A</v>
      </c>
      <c r="H256" s="73" t="e">
        <f t="shared" si="39"/>
        <v>#N/A</v>
      </c>
      <c r="I256" s="73" t="b">
        <f t="shared" si="33"/>
        <v>0</v>
      </c>
      <c r="J256" s="72"/>
      <c r="K256" s="74"/>
      <c r="M256" s="99"/>
      <c r="N256" s="80" t="e">
        <f t="shared" si="41"/>
        <v>#N/A</v>
      </c>
      <c r="O256" s="76" t="e">
        <f t="shared" si="40"/>
        <v>#N/A</v>
      </c>
      <c r="P256" s="103"/>
    </row>
    <row r="257" spans="1:17" x14ac:dyDescent="0.25">
      <c r="A257" s="95"/>
      <c r="B257" s="72"/>
      <c r="C257" s="72"/>
      <c r="D257" s="72"/>
      <c r="E257" s="72"/>
      <c r="F257" s="72"/>
      <c r="G257" s="73" t="e">
        <f t="shared" si="38"/>
        <v>#N/A</v>
      </c>
      <c r="H257" s="73" t="e">
        <f t="shared" si="39"/>
        <v>#N/A</v>
      </c>
      <c r="I257" s="73" t="b">
        <f t="shared" si="33"/>
        <v>0</v>
      </c>
      <c r="J257" s="72"/>
      <c r="K257" s="74"/>
      <c r="M257" s="99"/>
      <c r="N257" s="80" t="e">
        <f t="shared" si="41"/>
        <v>#N/A</v>
      </c>
      <c r="O257" s="76" t="e">
        <f t="shared" si="40"/>
        <v>#N/A</v>
      </c>
      <c r="P257" s="103"/>
    </row>
    <row r="258" spans="1:17" x14ac:dyDescent="0.25">
      <c r="A258" s="95"/>
      <c r="B258" s="72"/>
      <c r="C258" s="72"/>
      <c r="D258" s="72"/>
      <c r="E258" s="72"/>
      <c r="F258" s="72"/>
      <c r="G258" s="73" t="e">
        <f t="shared" si="38"/>
        <v>#N/A</v>
      </c>
      <c r="H258" s="73" t="e">
        <f t="shared" si="39"/>
        <v>#N/A</v>
      </c>
      <c r="I258" s="73" t="b">
        <f t="shared" si="33"/>
        <v>0</v>
      </c>
      <c r="J258" s="72"/>
      <c r="K258" s="74"/>
      <c r="M258" s="99"/>
      <c r="N258" s="80" t="e">
        <f t="shared" si="41"/>
        <v>#N/A</v>
      </c>
      <c r="O258" s="76" t="e">
        <f t="shared" si="40"/>
        <v>#N/A</v>
      </c>
      <c r="P258" s="103"/>
    </row>
    <row r="259" spans="1:17" x14ac:dyDescent="0.25">
      <c r="A259" s="95"/>
      <c r="B259" s="72"/>
      <c r="C259" s="72"/>
      <c r="D259" s="72"/>
      <c r="E259" s="72"/>
      <c r="F259" s="72"/>
      <c r="G259" s="73" t="e">
        <f t="shared" si="38"/>
        <v>#N/A</v>
      </c>
      <c r="H259" s="73" t="e">
        <f t="shared" si="39"/>
        <v>#N/A</v>
      </c>
      <c r="I259" s="73" t="b">
        <f t="shared" ref="I259:I322" si="42">IF(J259="Cartão de Debito",H259-(H259*$AC$5),IF(J259="Cartão de Credito",H259-(H259*$AC$6), IF(J259="Pix",H259-(H259*$AC$7), IF(J259="Dinheiro (R$)", H259-(H259*$AC$8)))))</f>
        <v>0</v>
      </c>
      <c r="J259" s="72"/>
      <c r="K259" s="74"/>
      <c r="M259" s="99"/>
      <c r="N259" s="80" t="e">
        <f t="shared" si="41"/>
        <v>#N/A</v>
      </c>
      <c r="O259" s="76" t="e">
        <f t="shared" si="40"/>
        <v>#N/A</v>
      </c>
      <c r="P259" s="103"/>
    </row>
    <row r="260" spans="1:17" x14ac:dyDescent="0.25">
      <c r="A260" s="95"/>
      <c r="B260" s="72"/>
      <c r="C260" s="72"/>
      <c r="D260" s="72"/>
      <c r="E260" s="72"/>
      <c r="F260" s="72"/>
      <c r="G260" s="73" t="e">
        <f t="shared" si="38"/>
        <v>#N/A</v>
      </c>
      <c r="H260" s="73" t="e">
        <f t="shared" si="39"/>
        <v>#N/A</v>
      </c>
      <c r="I260" s="73" t="b">
        <f t="shared" si="42"/>
        <v>0</v>
      </c>
      <c r="J260" s="72"/>
      <c r="K260" s="74"/>
      <c r="M260" s="99"/>
      <c r="N260" s="80" t="e">
        <f t="shared" si="41"/>
        <v>#N/A</v>
      </c>
      <c r="O260" s="76" t="e">
        <f t="shared" si="40"/>
        <v>#N/A</v>
      </c>
      <c r="P260" s="103"/>
    </row>
    <row r="261" spans="1:17" x14ac:dyDescent="0.25">
      <c r="A261" s="95"/>
      <c r="B261" s="72"/>
      <c r="C261" s="72"/>
      <c r="D261" s="72"/>
      <c r="E261" s="72"/>
      <c r="F261" s="72"/>
      <c r="G261" s="73" t="e">
        <f t="shared" ref="G261:G292" si="43">VLOOKUP(D261,$S$3:$T$69,2,0)</f>
        <v>#N/A</v>
      </c>
      <c r="H261" s="73" t="e">
        <f t="shared" ref="H261:H292" si="44">F261*G261</f>
        <v>#N/A</v>
      </c>
      <c r="I261" s="73" t="b">
        <f t="shared" si="42"/>
        <v>0</v>
      </c>
      <c r="J261" s="72"/>
      <c r="K261" s="74"/>
      <c r="M261" s="99"/>
      <c r="N261" s="80" t="e">
        <f t="shared" si="41"/>
        <v>#N/A</v>
      </c>
      <c r="O261" s="76" t="e">
        <f t="shared" ref="O261:O292" si="45">N261*F261</f>
        <v>#N/A</v>
      </c>
      <c r="P261" s="103"/>
    </row>
    <row r="262" spans="1:17" x14ac:dyDescent="0.25">
      <c r="A262" s="95"/>
      <c r="B262" s="72"/>
      <c r="C262" s="72"/>
      <c r="D262" s="72"/>
      <c r="E262" s="72"/>
      <c r="F262" s="72"/>
      <c r="G262" s="73" t="e">
        <f t="shared" si="43"/>
        <v>#N/A</v>
      </c>
      <c r="H262" s="73" t="e">
        <f t="shared" si="44"/>
        <v>#N/A</v>
      </c>
      <c r="I262" s="73" t="b">
        <f t="shared" si="42"/>
        <v>0</v>
      </c>
      <c r="J262" s="72"/>
      <c r="K262" s="74"/>
      <c r="M262" s="99"/>
      <c r="N262" s="80" t="e">
        <f t="shared" si="41"/>
        <v>#N/A</v>
      </c>
      <c r="O262" s="76" t="e">
        <f t="shared" si="45"/>
        <v>#N/A</v>
      </c>
      <c r="P262" s="103"/>
    </row>
    <row r="263" spans="1:17" x14ac:dyDescent="0.25">
      <c r="A263" s="95"/>
      <c r="B263" s="72"/>
      <c r="C263" s="72"/>
      <c r="D263" s="72"/>
      <c r="E263" s="72"/>
      <c r="F263" s="72"/>
      <c r="G263" s="73" t="e">
        <f t="shared" si="43"/>
        <v>#N/A</v>
      </c>
      <c r="H263" s="73" t="e">
        <f t="shared" si="44"/>
        <v>#N/A</v>
      </c>
      <c r="I263" s="73" t="b">
        <f t="shared" si="42"/>
        <v>0</v>
      </c>
      <c r="J263" s="72"/>
      <c r="K263" s="74"/>
      <c r="M263" s="99"/>
      <c r="N263" s="80" t="e">
        <f t="shared" si="41"/>
        <v>#N/A</v>
      </c>
      <c r="O263" s="76" t="e">
        <f t="shared" si="45"/>
        <v>#N/A</v>
      </c>
      <c r="P263" s="103"/>
      <c r="Q263" s="106" t="e">
        <f>SUM(O203:O263)</f>
        <v>#N/A</v>
      </c>
    </row>
    <row r="264" spans="1:17" x14ac:dyDescent="0.25">
      <c r="A264" s="95"/>
      <c r="B264" s="72"/>
      <c r="C264" s="72"/>
      <c r="D264" s="72"/>
      <c r="E264" s="72"/>
      <c r="F264" s="72"/>
      <c r="G264" s="73" t="e">
        <f t="shared" si="43"/>
        <v>#N/A</v>
      </c>
      <c r="H264" s="73" t="e">
        <f t="shared" si="44"/>
        <v>#N/A</v>
      </c>
      <c r="I264" s="73" t="b">
        <f t="shared" si="42"/>
        <v>0</v>
      </c>
      <c r="J264" s="72"/>
      <c r="K264" s="74"/>
      <c r="M264" s="99"/>
      <c r="N264" s="80" t="e">
        <f t="shared" si="41"/>
        <v>#N/A</v>
      </c>
      <c r="O264" s="76" t="e">
        <f t="shared" si="45"/>
        <v>#N/A</v>
      </c>
      <c r="P264" s="103"/>
    </row>
    <row r="265" spans="1:17" x14ac:dyDescent="0.25">
      <c r="A265" s="95"/>
      <c r="B265" s="72"/>
      <c r="C265" s="72"/>
      <c r="D265" s="72"/>
      <c r="E265" s="72"/>
      <c r="F265" s="72"/>
      <c r="G265" s="73" t="e">
        <f t="shared" si="43"/>
        <v>#N/A</v>
      </c>
      <c r="H265" s="73" t="e">
        <f t="shared" si="44"/>
        <v>#N/A</v>
      </c>
      <c r="I265" s="73" t="b">
        <f t="shared" si="42"/>
        <v>0</v>
      </c>
      <c r="J265" s="72"/>
      <c r="K265" s="74"/>
      <c r="M265" s="99"/>
      <c r="N265" s="80" t="e">
        <f t="shared" si="41"/>
        <v>#N/A</v>
      </c>
      <c r="O265" s="76" t="e">
        <f t="shared" si="45"/>
        <v>#N/A</v>
      </c>
      <c r="P265" s="103"/>
    </row>
    <row r="266" spans="1:17" x14ac:dyDescent="0.25">
      <c r="A266" s="95"/>
      <c r="B266" s="72"/>
      <c r="C266" s="72"/>
      <c r="D266" s="72"/>
      <c r="E266" s="72"/>
      <c r="F266" s="72"/>
      <c r="G266" s="73" t="e">
        <f t="shared" si="43"/>
        <v>#N/A</v>
      </c>
      <c r="H266" s="73" t="e">
        <f t="shared" si="44"/>
        <v>#N/A</v>
      </c>
      <c r="I266" s="73" t="b">
        <f t="shared" si="42"/>
        <v>0</v>
      </c>
      <c r="J266" s="72"/>
      <c r="K266" s="74"/>
      <c r="M266" s="99"/>
      <c r="N266" s="80" t="e">
        <f t="shared" si="41"/>
        <v>#N/A</v>
      </c>
      <c r="O266" s="76" t="e">
        <f t="shared" si="45"/>
        <v>#N/A</v>
      </c>
      <c r="P266" s="103"/>
    </row>
    <row r="267" spans="1:17" x14ac:dyDescent="0.25">
      <c r="A267" s="95"/>
      <c r="B267" s="72"/>
      <c r="C267" s="72"/>
      <c r="D267" s="72"/>
      <c r="E267" s="72"/>
      <c r="F267" s="72"/>
      <c r="G267" s="73" t="e">
        <f t="shared" si="43"/>
        <v>#N/A</v>
      </c>
      <c r="H267" s="73" t="e">
        <f t="shared" si="44"/>
        <v>#N/A</v>
      </c>
      <c r="I267" s="73" t="b">
        <f t="shared" si="42"/>
        <v>0</v>
      </c>
      <c r="J267" s="72"/>
      <c r="K267" s="74"/>
      <c r="M267" s="99"/>
      <c r="N267" s="80" t="e">
        <f t="shared" si="41"/>
        <v>#N/A</v>
      </c>
      <c r="O267" s="76" t="e">
        <f t="shared" si="45"/>
        <v>#N/A</v>
      </c>
      <c r="P267" s="103"/>
    </row>
    <row r="268" spans="1:17" x14ac:dyDescent="0.25">
      <c r="A268" s="95"/>
      <c r="B268" s="72"/>
      <c r="C268" s="72"/>
      <c r="D268" s="72"/>
      <c r="E268" s="72"/>
      <c r="F268" s="72"/>
      <c r="G268" s="73" t="e">
        <f t="shared" si="43"/>
        <v>#N/A</v>
      </c>
      <c r="H268" s="73" t="e">
        <f t="shared" si="44"/>
        <v>#N/A</v>
      </c>
      <c r="I268" s="73" t="b">
        <f t="shared" si="42"/>
        <v>0</v>
      </c>
      <c r="J268" s="72"/>
      <c r="K268" s="74"/>
      <c r="M268" s="99"/>
      <c r="N268" s="80" t="e">
        <f t="shared" si="41"/>
        <v>#N/A</v>
      </c>
      <c r="O268" s="76" t="e">
        <f t="shared" si="45"/>
        <v>#N/A</v>
      </c>
      <c r="P268" s="103"/>
    </row>
    <row r="269" spans="1:17" x14ac:dyDescent="0.25">
      <c r="A269" s="95"/>
      <c r="B269" s="72"/>
      <c r="C269" s="72"/>
      <c r="D269" s="72"/>
      <c r="E269" s="72"/>
      <c r="F269" s="72"/>
      <c r="G269" s="73" t="e">
        <f t="shared" si="43"/>
        <v>#N/A</v>
      </c>
      <c r="H269" s="73" t="e">
        <f t="shared" si="44"/>
        <v>#N/A</v>
      </c>
      <c r="I269" s="73" t="b">
        <f t="shared" si="42"/>
        <v>0</v>
      </c>
      <c r="J269" s="72"/>
      <c r="K269" s="74"/>
      <c r="M269" s="99"/>
      <c r="N269" s="80" t="e">
        <f t="shared" si="41"/>
        <v>#N/A</v>
      </c>
      <c r="O269" s="76" t="e">
        <f t="shared" si="45"/>
        <v>#N/A</v>
      </c>
      <c r="P269" s="103"/>
    </row>
    <row r="270" spans="1:17" x14ac:dyDescent="0.25">
      <c r="A270" s="95"/>
      <c r="B270" s="72"/>
      <c r="C270" s="72"/>
      <c r="D270" s="72"/>
      <c r="E270" s="72"/>
      <c r="F270" s="72"/>
      <c r="G270" s="73" t="e">
        <f t="shared" si="43"/>
        <v>#N/A</v>
      </c>
      <c r="H270" s="73" t="e">
        <f t="shared" si="44"/>
        <v>#N/A</v>
      </c>
      <c r="I270" s="73" t="b">
        <f t="shared" si="42"/>
        <v>0</v>
      </c>
      <c r="J270" s="72"/>
      <c r="K270" s="74"/>
      <c r="M270" s="99"/>
      <c r="N270" s="80" t="e">
        <f t="shared" si="41"/>
        <v>#N/A</v>
      </c>
      <c r="O270" s="76" t="e">
        <f t="shared" si="45"/>
        <v>#N/A</v>
      </c>
      <c r="P270" s="103"/>
    </row>
    <row r="271" spans="1:17" x14ac:dyDescent="0.25">
      <c r="A271" s="95"/>
      <c r="B271" s="72"/>
      <c r="C271" s="72"/>
      <c r="D271" s="72"/>
      <c r="E271" s="72"/>
      <c r="F271" s="72"/>
      <c r="G271" s="73" t="e">
        <f t="shared" si="43"/>
        <v>#N/A</v>
      </c>
      <c r="H271" s="73" t="e">
        <f t="shared" si="44"/>
        <v>#N/A</v>
      </c>
      <c r="I271" s="73" t="b">
        <f t="shared" si="42"/>
        <v>0</v>
      </c>
      <c r="J271" s="72"/>
      <c r="K271" s="74"/>
      <c r="M271" s="99"/>
      <c r="N271" s="80" t="e">
        <f t="shared" si="41"/>
        <v>#N/A</v>
      </c>
      <c r="O271" s="76" t="e">
        <f t="shared" si="45"/>
        <v>#N/A</v>
      </c>
      <c r="P271" s="103"/>
    </row>
    <row r="272" spans="1:17" x14ac:dyDescent="0.25">
      <c r="A272" s="95"/>
      <c r="B272" s="72"/>
      <c r="C272" s="72"/>
      <c r="D272" s="72"/>
      <c r="E272" s="72"/>
      <c r="F272" s="72"/>
      <c r="G272" s="73" t="e">
        <f t="shared" si="43"/>
        <v>#N/A</v>
      </c>
      <c r="H272" s="73" t="e">
        <f t="shared" si="44"/>
        <v>#N/A</v>
      </c>
      <c r="I272" s="73" t="b">
        <f t="shared" si="42"/>
        <v>0</v>
      </c>
      <c r="J272" s="72"/>
      <c r="K272" s="74"/>
      <c r="M272" s="99"/>
      <c r="N272" s="80" t="e">
        <f t="shared" si="41"/>
        <v>#N/A</v>
      </c>
      <c r="O272" s="76" t="e">
        <f t="shared" si="45"/>
        <v>#N/A</v>
      </c>
      <c r="P272" s="103"/>
    </row>
    <row r="273" spans="1:16" x14ac:dyDescent="0.25">
      <c r="A273" s="95"/>
      <c r="B273" s="72"/>
      <c r="C273" s="72"/>
      <c r="D273" s="72"/>
      <c r="E273" s="72"/>
      <c r="F273" s="72"/>
      <c r="G273" s="73" t="e">
        <f t="shared" si="43"/>
        <v>#N/A</v>
      </c>
      <c r="H273" s="73" t="e">
        <f t="shared" si="44"/>
        <v>#N/A</v>
      </c>
      <c r="I273" s="73" t="b">
        <f t="shared" si="42"/>
        <v>0</v>
      </c>
      <c r="J273" s="72"/>
      <c r="K273" s="74"/>
      <c r="M273" s="99"/>
      <c r="N273" s="80" t="e">
        <f t="shared" si="41"/>
        <v>#N/A</v>
      </c>
      <c r="O273" s="76" t="e">
        <f t="shared" si="45"/>
        <v>#N/A</v>
      </c>
      <c r="P273" s="103"/>
    </row>
    <row r="274" spans="1:16" x14ac:dyDescent="0.25">
      <c r="A274" s="95"/>
      <c r="B274" s="72"/>
      <c r="C274" s="72"/>
      <c r="D274" s="72"/>
      <c r="E274" s="72"/>
      <c r="F274" s="72"/>
      <c r="G274" s="73" t="e">
        <f t="shared" si="43"/>
        <v>#N/A</v>
      </c>
      <c r="H274" s="73" t="e">
        <f t="shared" si="44"/>
        <v>#N/A</v>
      </c>
      <c r="I274" s="73" t="b">
        <f t="shared" si="42"/>
        <v>0</v>
      </c>
      <c r="J274" s="72"/>
      <c r="K274" s="74"/>
      <c r="M274" s="99"/>
      <c r="N274" s="80" t="e">
        <f t="shared" si="41"/>
        <v>#N/A</v>
      </c>
      <c r="O274" s="76" t="e">
        <f t="shared" si="45"/>
        <v>#N/A</v>
      </c>
      <c r="P274" s="103"/>
    </row>
    <row r="275" spans="1:16" x14ac:dyDescent="0.25">
      <c r="A275" s="95"/>
      <c r="B275" s="72"/>
      <c r="C275" s="72"/>
      <c r="D275" s="72"/>
      <c r="E275" s="72"/>
      <c r="F275" s="72"/>
      <c r="G275" s="73" t="e">
        <f t="shared" si="43"/>
        <v>#N/A</v>
      </c>
      <c r="H275" s="73" t="e">
        <f t="shared" si="44"/>
        <v>#N/A</v>
      </c>
      <c r="I275" s="73" t="b">
        <f t="shared" si="42"/>
        <v>0</v>
      </c>
      <c r="J275" s="72"/>
      <c r="K275" s="74"/>
      <c r="M275" s="99"/>
      <c r="N275" s="80" t="e">
        <f t="shared" ref="N275:N306" si="46">VLOOKUP(M275,$S$3:$U$69,3,0)</f>
        <v>#N/A</v>
      </c>
      <c r="O275" s="76" t="e">
        <f t="shared" si="45"/>
        <v>#N/A</v>
      </c>
      <c r="P275" s="103"/>
    </row>
    <row r="276" spans="1:16" x14ac:dyDescent="0.25">
      <c r="A276" s="95"/>
      <c r="B276" s="72"/>
      <c r="C276" s="72"/>
      <c r="D276" s="72"/>
      <c r="E276" s="72"/>
      <c r="F276" s="72"/>
      <c r="G276" s="73" t="e">
        <f t="shared" si="43"/>
        <v>#N/A</v>
      </c>
      <c r="H276" s="73" t="e">
        <f t="shared" si="44"/>
        <v>#N/A</v>
      </c>
      <c r="I276" s="73" t="b">
        <f t="shared" si="42"/>
        <v>0</v>
      </c>
      <c r="J276" s="72"/>
      <c r="K276" s="74"/>
      <c r="M276" s="99"/>
      <c r="N276" s="80" t="e">
        <f t="shared" si="46"/>
        <v>#N/A</v>
      </c>
      <c r="O276" s="76" t="e">
        <f t="shared" si="45"/>
        <v>#N/A</v>
      </c>
      <c r="P276" s="103"/>
    </row>
    <row r="277" spans="1:16" x14ac:dyDescent="0.25">
      <c r="A277" s="95"/>
      <c r="B277" s="72"/>
      <c r="C277" s="72"/>
      <c r="D277" s="72"/>
      <c r="E277" s="72"/>
      <c r="F277" s="72"/>
      <c r="G277" s="73" t="e">
        <f t="shared" si="43"/>
        <v>#N/A</v>
      </c>
      <c r="H277" s="73" t="e">
        <f t="shared" si="44"/>
        <v>#N/A</v>
      </c>
      <c r="I277" s="73" t="b">
        <f t="shared" si="42"/>
        <v>0</v>
      </c>
      <c r="J277" s="72"/>
      <c r="K277" s="74"/>
      <c r="M277" s="99"/>
      <c r="N277" s="80" t="e">
        <f t="shared" si="46"/>
        <v>#N/A</v>
      </c>
      <c r="O277" s="76" t="e">
        <f t="shared" si="45"/>
        <v>#N/A</v>
      </c>
      <c r="P277" s="103"/>
    </row>
    <row r="278" spans="1:16" x14ac:dyDescent="0.25">
      <c r="A278" s="95"/>
      <c r="B278" s="72"/>
      <c r="C278" s="72"/>
      <c r="D278" s="72"/>
      <c r="E278" s="72"/>
      <c r="F278" s="72"/>
      <c r="G278" s="73" t="e">
        <f t="shared" si="43"/>
        <v>#N/A</v>
      </c>
      <c r="H278" s="73" t="e">
        <f t="shared" si="44"/>
        <v>#N/A</v>
      </c>
      <c r="I278" s="73" t="b">
        <f t="shared" si="42"/>
        <v>0</v>
      </c>
      <c r="J278" s="72"/>
      <c r="K278" s="74"/>
      <c r="M278" s="99"/>
      <c r="N278" s="80" t="e">
        <f t="shared" si="46"/>
        <v>#N/A</v>
      </c>
      <c r="O278" s="76" t="e">
        <f t="shared" si="45"/>
        <v>#N/A</v>
      </c>
      <c r="P278" s="103"/>
    </row>
    <row r="279" spans="1:16" x14ac:dyDescent="0.25">
      <c r="A279" s="95"/>
      <c r="B279" s="72"/>
      <c r="C279" s="72"/>
      <c r="D279" s="72"/>
      <c r="E279" s="72"/>
      <c r="F279" s="72"/>
      <c r="G279" s="73" t="e">
        <f t="shared" si="43"/>
        <v>#N/A</v>
      </c>
      <c r="H279" s="73" t="e">
        <f t="shared" si="44"/>
        <v>#N/A</v>
      </c>
      <c r="I279" s="73" t="b">
        <f t="shared" si="42"/>
        <v>0</v>
      </c>
      <c r="J279" s="72"/>
      <c r="K279" s="74"/>
      <c r="M279" s="99"/>
      <c r="N279" s="80" t="e">
        <f t="shared" si="46"/>
        <v>#N/A</v>
      </c>
      <c r="O279" s="76" t="e">
        <f t="shared" si="45"/>
        <v>#N/A</v>
      </c>
      <c r="P279" s="103"/>
    </row>
    <row r="280" spans="1:16" x14ac:dyDescent="0.25">
      <c r="A280" s="95"/>
      <c r="B280" s="72"/>
      <c r="C280" s="72"/>
      <c r="D280" s="72"/>
      <c r="E280" s="72"/>
      <c r="F280" s="72"/>
      <c r="G280" s="73" t="e">
        <f t="shared" si="43"/>
        <v>#N/A</v>
      </c>
      <c r="H280" s="73" t="e">
        <f t="shared" si="44"/>
        <v>#N/A</v>
      </c>
      <c r="I280" s="73" t="b">
        <f t="shared" si="42"/>
        <v>0</v>
      </c>
      <c r="J280" s="72"/>
      <c r="K280" s="74"/>
      <c r="M280" s="99"/>
      <c r="N280" s="80" t="e">
        <f t="shared" si="46"/>
        <v>#N/A</v>
      </c>
      <c r="O280" s="76" t="e">
        <f t="shared" si="45"/>
        <v>#N/A</v>
      </c>
      <c r="P280" s="103"/>
    </row>
    <row r="281" spans="1:16" x14ac:dyDescent="0.25">
      <c r="A281" s="95"/>
      <c r="B281" s="72"/>
      <c r="C281" s="72"/>
      <c r="D281" s="72"/>
      <c r="E281" s="72"/>
      <c r="F281" s="72"/>
      <c r="G281" s="73" t="e">
        <f t="shared" si="43"/>
        <v>#N/A</v>
      </c>
      <c r="H281" s="73" t="e">
        <f t="shared" si="44"/>
        <v>#N/A</v>
      </c>
      <c r="I281" s="73" t="b">
        <f t="shared" si="42"/>
        <v>0</v>
      </c>
      <c r="J281" s="72"/>
      <c r="K281" s="74"/>
      <c r="M281" s="99"/>
      <c r="N281" s="80" t="e">
        <f t="shared" si="46"/>
        <v>#N/A</v>
      </c>
      <c r="O281" s="76" t="e">
        <f t="shared" si="45"/>
        <v>#N/A</v>
      </c>
      <c r="P281" s="103"/>
    </row>
    <row r="282" spans="1:16" x14ac:dyDescent="0.25">
      <c r="A282" s="95"/>
      <c r="B282" s="72"/>
      <c r="C282" s="72"/>
      <c r="D282" s="72"/>
      <c r="E282" s="72"/>
      <c r="F282" s="72"/>
      <c r="G282" s="73" t="e">
        <f t="shared" si="43"/>
        <v>#N/A</v>
      </c>
      <c r="H282" s="73" t="e">
        <f t="shared" si="44"/>
        <v>#N/A</v>
      </c>
      <c r="I282" s="73" t="b">
        <f t="shared" si="42"/>
        <v>0</v>
      </c>
      <c r="J282" s="72"/>
      <c r="K282" s="74"/>
      <c r="M282" s="99"/>
      <c r="N282" s="80" t="e">
        <f t="shared" si="46"/>
        <v>#N/A</v>
      </c>
      <c r="O282" s="76" t="e">
        <f t="shared" si="45"/>
        <v>#N/A</v>
      </c>
      <c r="P282" s="103"/>
    </row>
    <row r="283" spans="1:16" x14ac:dyDescent="0.25">
      <c r="A283" s="95"/>
      <c r="B283" s="72"/>
      <c r="C283" s="72"/>
      <c r="D283" s="72"/>
      <c r="E283" s="72"/>
      <c r="F283" s="72"/>
      <c r="G283" s="73" t="e">
        <f t="shared" si="43"/>
        <v>#N/A</v>
      </c>
      <c r="H283" s="73" t="e">
        <f t="shared" si="44"/>
        <v>#N/A</v>
      </c>
      <c r="I283" s="73" t="b">
        <f t="shared" si="42"/>
        <v>0</v>
      </c>
      <c r="J283" s="72"/>
      <c r="K283" s="74"/>
      <c r="M283" s="99"/>
      <c r="N283" s="80" t="e">
        <f t="shared" si="46"/>
        <v>#N/A</v>
      </c>
      <c r="O283" s="76" t="e">
        <f t="shared" si="45"/>
        <v>#N/A</v>
      </c>
      <c r="P283" s="103"/>
    </row>
    <row r="284" spans="1:16" x14ac:dyDescent="0.25">
      <c r="A284" s="95"/>
      <c r="B284" s="72"/>
      <c r="C284" s="72"/>
      <c r="D284" s="72"/>
      <c r="E284" s="72"/>
      <c r="F284" s="72"/>
      <c r="G284" s="73" t="e">
        <f t="shared" si="43"/>
        <v>#N/A</v>
      </c>
      <c r="H284" s="73" t="e">
        <f t="shared" si="44"/>
        <v>#N/A</v>
      </c>
      <c r="I284" s="73" t="b">
        <f t="shared" si="42"/>
        <v>0</v>
      </c>
      <c r="J284" s="72"/>
      <c r="K284" s="74"/>
      <c r="M284" s="99"/>
      <c r="N284" s="80" t="e">
        <f t="shared" si="46"/>
        <v>#N/A</v>
      </c>
      <c r="O284" s="76" t="e">
        <f t="shared" si="45"/>
        <v>#N/A</v>
      </c>
      <c r="P284" s="103"/>
    </row>
    <row r="285" spans="1:16" x14ac:dyDescent="0.25">
      <c r="A285" s="95"/>
      <c r="B285" s="72"/>
      <c r="C285" s="72"/>
      <c r="D285" s="72"/>
      <c r="E285" s="72"/>
      <c r="F285" s="72"/>
      <c r="G285" s="73" t="e">
        <f t="shared" si="43"/>
        <v>#N/A</v>
      </c>
      <c r="H285" s="73" t="e">
        <f t="shared" si="44"/>
        <v>#N/A</v>
      </c>
      <c r="I285" s="73" t="b">
        <f t="shared" si="42"/>
        <v>0</v>
      </c>
      <c r="J285" s="72"/>
      <c r="K285" s="74"/>
      <c r="M285" s="99"/>
      <c r="N285" s="80" t="e">
        <f t="shared" si="46"/>
        <v>#N/A</v>
      </c>
      <c r="O285" s="76" t="e">
        <f t="shared" si="45"/>
        <v>#N/A</v>
      </c>
      <c r="P285" s="103"/>
    </row>
    <row r="286" spans="1:16" x14ac:dyDescent="0.25">
      <c r="A286" s="95"/>
      <c r="B286" s="72"/>
      <c r="C286" s="72"/>
      <c r="D286" s="72"/>
      <c r="E286" s="72"/>
      <c r="F286" s="72"/>
      <c r="G286" s="73" t="e">
        <f t="shared" si="43"/>
        <v>#N/A</v>
      </c>
      <c r="H286" s="73" t="e">
        <f t="shared" si="44"/>
        <v>#N/A</v>
      </c>
      <c r="I286" s="73" t="b">
        <f t="shared" si="42"/>
        <v>0</v>
      </c>
      <c r="J286" s="72"/>
      <c r="K286" s="74"/>
      <c r="M286" s="99"/>
      <c r="N286" s="80" t="e">
        <f t="shared" si="46"/>
        <v>#N/A</v>
      </c>
      <c r="O286" s="76" t="e">
        <f t="shared" si="45"/>
        <v>#N/A</v>
      </c>
      <c r="P286" s="103"/>
    </row>
    <row r="287" spans="1:16" x14ac:dyDescent="0.25">
      <c r="A287" s="95"/>
      <c r="B287" s="72"/>
      <c r="C287" s="72"/>
      <c r="D287" s="72"/>
      <c r="E287" s="72"/>
      <c r="F287" s="72"/>
      <c r="G287" s="73" t="e">
        <f t="shared" si="43"/>
        <v>#N/A</v>
      </c>
      <c r="H287" s="73" t="e">
        <f t="shared" si="44"/>
        <v>#N/A</v>
      </c>
      <c r="I287" s="73" t="b">
        <f t="shared" si="42"/>
        <v>0</v>
      </c>
      <c r="J287" s="72"/>
      <c r="K287" s="74"/>
      <c r="M287" s="99"/>
      <c r="N287" s="80" t="e">
        <f t="shared" si="46"/>
        <v>#N/A</v>
      </c>
      <c r="O287" s="76" t="e">
        <f t="shared" si="45"/>
        <v>#N/A</v>
      </c>
      <c r="P287" s="103"/>
    </row>
    <row r="288" spans="1:16" x14ac:dyDescent="0.25">
      <c r="A288" s="95"/>
      <c r="B288" s="72"/>
      <c r="C288" s="72"/>
      <c r="D288" s="72"/>
      <c r="E288" s="72"/>
      <c r="F288" s="72"/>
      <c r="G288" s="73" t="e">
        <f t="shared" si="43"/>
        <v>#N/A</v>
      </c>
      <c r="H288" s="73" t="e">
        <f t="shared" si="44"/>
        <v>#N/A</v>
      </c>
      <c r="I288" s="73" t="b">
        <f t="shared" si="42"/>
        <v>0</v>
      </c>
      <c r="J288" s="72"/>
      <c r="K288" s="74"/>
      <c r="M288" s="99"/>
      <c r="N288" s="80" t="e">
        <f t="shared" si="46"/>
        <v>#N/A</v>
      </c>
      <c r="O288" s="76" t="e">
        <f t="shared" si="45"/>
        <v>#N/A</v>
      </c>
      <c r="P288" s="103"/>
    </row>
    <row r="289" spans="1:16" x14ac:dyDescent="0.25">
      <c r="A289" s="95"/>
      <c r="B289" s="72"/>
      <c r="C289" s="72"/>
      <c r="D289" s="72"/>
      <c r="E289" s="72"/>
      <c r="F289" s="72"/>
      <c r="G289" s="73" t="e">
        <f t="shared" si="43"/>
        <v>#N/A</v>
      </c>
      <c r="H289" s="73" t="e">
        <f t="shared" si="44"/>
        <v>#N/A</v>
      </c>
      <c r="I289" s="73" t="b">
        <f t="shared" si="42"/>
        <v>0</v>
      </c>
      <c r="J289" s="72"/>
      <c r="K289" s="74"/>
      <c r="M289" s="99"/>
      <c r="N289" s="80" t="e">
        <f t="shared" si="46"/>
        <v>#N/A</v>
      </c>
      <c r="O289" s="76" t="e">
        <f t="shared" si="45"/>
        <v>#N/A</v>
      </c>
      <c r="P289" s="103"/>
    </row>
    <row r="290" spans="1:16" x14ac:dyDescent="0.25">
      <c r="A290" s="95"/>
      <c r="B290" s="72"/>
      <c r="C290" s="72"/>
      <c r="D290" s="72"/>
      <c r="E290" s="72"/>
      <c r="F290" s="72"/>
      <c r="G290" s="73" t="e">
        <f t="shared" si="43"/>
        <v>#N/A</v>
      </c>
      <c r="H290" s="73" t="e">
        <f t="shared" si="44"/>
        <v>#N/A</v>
      </c>
      <c r="I290" s="73" t="b">
        <f t="shared" si="42"/>
        <v>0</v>
      </c>
      <c r="J290" s="72"/>
      <c r="K290" s="74"/>
      <c r="M290" s="99"/>
      <c r="N290" s="80" t="e">
        <f t="shared" si="46"/>
        <v>#N/A</v>
      </c>
      <c r="O290" s="76" t="e">
        <f t="shared" si="45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43"/>
        <v>#N/A</v>
      </c>
      <c r="H291" s="73" t="e">
        <f t="shared" si="44"/>
        <v>#N/A</v>
      </c>
      <c r="I291" s="73" t="b">
        <f t="shared" si="42"/>
        <v>0</v>
      </c>
      <c r="J291" s="72"/>
      <c r="K291" s="74"/>
      <c r="M291" s="99"/>
      <c r="N291" s="80" t="e">
        <f t="shared" si="46"/>
        <v>#N/A</v>
      </c>
      <c r="O291" s="76" t="e">
        <f t="shared" si="45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si="43"/>
        <v>#N/A</v>
      </c>
      <c r="H292" s="73" t="e">
        <f t="shared" si="44"/>
        <v>#N/A</v>
      </c>
      <c r="I292" s="73" t="b">
        <f t="shared" si="42"/>
        <v>0</v>
      </c>
      <c r="J292" s="72"/>
      <c r="K292" s="74"/>
      <c r="M292" s="99"/>
      <c r="N292" s="80" t="e">
        <f t="shared" si="46"/>
        <v>#N/A</v>
      </c>
      <c r="O292" s="76" t="e">
        <f t="shared" si="45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ref="G293:G324" si="47">VLOOKUP(D293,$S$3:$T$69,2,0)</f>
        <v>#N/A</v>
      </c>
      <c r="H293" s="73" t="e">
        <f t="shared" ref="H293:H324" si="48">F293*G293</f>
        <v>#N/A</v>
      </c>
      <c r="I293" s="73" t="b">
        <f t="shared" si="42"/>
        <v>0</v>
      </c>
      <c r="J293" s="72"/>
      <c r="K293" s="74"/>
      <c r="M293" s="99"/>
      <c r="N293" s="80" t="e">
        <f t="shared" si="46"/>
        <v>#N/A</v>
      </c>
      <c r="O293" s="76" t="e">
        <f t="shared" ref="O293:O324" si="49">N293*F293</f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47"/>
        <v>#N/A</v>
      </c>
      <c r="H294" s="73" t="e">
        <f t="shared" si="48"/>
        <v>#N/A</v>
      </c>
      <c r="I294" s="73" t="b">
        <f t="shared" si="42"/>
        <v>0</v>
      </c>
      <c r="J294" s="72"/>
      <c r="K294" s="74"/>
      <c r="M294" s="99"/>
      <c r="N294" s="80" t="e">
        <f t="shared" si="46"/>
        <v>#N/A</v>
      </c>
      <c r="O294" s="76" t="e">
        <f t="shared" si="49"/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si="47"/>
        <v>#N/A</v>
      </c>
      <c r="H295" s="73" t="e">
        <f t="shared" si="48"/>
        <v>#N/A</v>
      </c>
      <c r="I295" s="73" t="b">
        <f t="shared" si="42"/>
        <v>0</v>
      </c>
      <c r="J295" s="72"/>
      <c r="K295" s="74"/>
      <c r="M295" s="99"/>
      <c r="N295" s="80" t="e">
        <f t="shared" si="46"/>
        <v>#N/A</v>
      </c>
      <c r="O295" s="76" t="e">
        <f t="shared" si="49"/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47"/>
        <v>#N/A</v>
      </c>
      <c r="H296" s="73" t="e">
        <f t="shared" si="48"/>
        <v>#N/A</v>
      </c>
      <c r="I296" s="73" t="b">
        <f t="shared" si="42"/>
        <v>0</v>
      </c>
      <c r="J296" s="72"/>
      <c r="K296" s="74"/>
      <c r="M296" s="99"/>
      <c r="N296" s="80" t="e">
        <f t="shared" si="46"/>
        <v>#N/A</v>
      </c>
      <c r="O296" s="76" t="e">
        <f t="shared" si="49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47"/>
        <v>#N/A</v>
      </c>
      <c r="H297" s="73" t="e">
        <f t="shared" si="48"/>
        <v>#N/A</v>
      </c>
      <c r="I297" s="73" t="b">
        <f t="shared" si="42"/>
        <v>0</v>
      </c>
      <c r="J297" s="72"/>
      <c r="K297" s="74"/>
      <c r="M297" s="99"/>
      <c r="N297" s="80" t="e">
        <f t="shared" si="46"/>
        <v>#N/A</v>
      </c>
      <c r="O297" s="76" t="e">
        <f t="shared" si="49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47"/>
        <v>#N/A</v>
      </c>
      <c r="H298" s="73" t="e">
        <f t="shared" si="48"/>
        <v>#N/A</v>
      </c>
      <c r="I298" s="73" t="b">
        <f t="shared" si="42"/>
        <v>0</v>
      </c>
      <c r="J298" s="72"/>
      <c r="K298" s="74"/>
      <c r="M298" s="99"/>
      <c r="N298" s="80" t="e">
        <f t="shared" si="46"/>
        <v>#N/A</v>
      </c>
      <c r="O298" s="76" t="e">
        <f t="shared" si="49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si="47"/>
        <v>#N/A</v>
      </c>
      <c r="H299" s="73" t="e">
        <f t="shared" si="48"/>
        <v>#N/A</v>
      </c>
      <c r="I299" s="73" t="b">
        <f t="shared" si="42"/>
        <v>0</v>
      </c>
      <c r="J299" s="72"/>
      <c r="K299" s="74"/>
      <c r="M299" s="99"/>
      <c r="N299" s="80" t="e">
        <f t="shared" si="46"/>
        <v>#N/A</v>
      </c>
      <c r="O299" s="76" t="e">
        <f t="shared" si="49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47"/>
        <v>#N/A</v>
      </c>
      <c r="H300" s="73" t="e">
        <f t="shared" si="48"/>
        <v>#N/A</v>
      </c>
      <c r="I300" s="73" t="b">
        <f t="shared" si="42"/>
        <v>0</v>
      </c>
      <c r="J300" s="72"/>
      <c r="K300" s="74"/>
      <c r="M300" s="99"/>
      <c r="N300" s="80" t="e">
        <f t="shared" si="46"/>
        <v>#N/A</v>
      </c>
      <c r="O300" s="76" t="e">
        <f t="shared" si="49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47"/>
        <v>#N/A</v>
      </c>
      <c r="H301" s="73" t="e">
        <f t="shared" si="48"/>
        <v>#N/A</v>
      </c>
      <c r="I301" s="73" t="b">
        <f t="shared" si="42"/>
        <v>0</v>
      </c>
      <c r="J301" s="72"/>
      <c r="K301" s="74"/>
      <c r="M301" s="99"/>
      <c r="N301" s="80" t="e">
        <f t="shared" si="46"/>
        <v>#N/A</v>
      </c>
      <c r="O301" s="76" t="e">
        <f t="shared" si="49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si="47"/>
        <v>#N/A</v>
      </c>
      <c r="H302" s="73" t="e">
        <f t="shared" si="48"/>
        <v>#N/A</v>
      </c>
      <c r="I302" s="73" t="b">
        <f t="shared" si="42"/>
        <v>0</v>
      </c>
      <c r="J302" s="72"/>
      <c r="K302" s="74"/>
      <c r="M302" s="99"/>
      <c r="N302" s="80" t="e">
        <f t="shared" si="46"/>
        <v>#N/A</v>
      </c>
      <c r="O302" s="76" t="e">
        <f t="shared" si="49"/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47"/>
        <v>#N/A</v>
      </c>
      <c r="H303" s="73" t="e">
        <f t="shared" si="48"/>
        <v>#N/A</v>
      </c>
      <c r="I303" s="73" t="b">
        <f t="shared" si="42"/>
        <v>0</v>
      </c>
      <c r="J303" s="72"/>
      <c r="K303" s="74"/>
      <c r="M303" s="99"/>
      <c r="N303" s="80" t="e">
        <f t="shared" si="46"/>
        <v>#N/A</v>
      </c>
      <c r="O303" s="76" t="e">
        <f t="shared" si="49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47"/>
        <v>#N/A</v>
      </c>
      <c r="H304" s="73" t="e">
        <f t="shared" si="48"/>
        <v>#N/A</v>
      </c>
      <c r="I304" s="73" t="b">
        <f t="shared" si="42"/>
        <v>0</v>
      </c>
      <c r="J304" s="72"/>
      <c r="K304" s="74"/>
      <c r="M304" s="99"/>
      <c r="N304" s="80" t="e">
        <f t="shared" si="46"/>
        <v>#N/A</v>
      </c>
      <c r="O304" s="76" t="e">
        <f t="shared" si="49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47"/>
        <v>#N/A</v>
      </c>
      <c r="H305" s="73" t="e">
        <f t="shared" si="48"/>
        <v>#N/A</v>
      </c>
      <c r="I305" s="73" t="b">
        <f t="shared" si="42"/>
        <v>0</v>
      </c>
      <c r="J305" s="72"/>
      <c r="K305" s="74"/>
      <c r="M305" s="99"/>
      <c r="N305" s="80" t="e">
        <f t="shared" si="46"/>
        <v>#N/A</v>
      </c>
      <c r="O305" s="76" t="e">
        <f t="shared" si="49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47"/>
        <v>#N/A</v>
      </c>
      <c r="H306" s="73" t="e">
        <f t="shared" si="48"/>
        <v>#N/A</v>
      </c>
      <c r="I306" s="73" t="b">
        <f t="shared" si="42"/>
        <v>0</v>
      </c>
      <c r="J306" s="72"/>
      <c r="K306" s="74"/>
      <c r="M306" s="99"/>
      <c r="N306" s="80" t="e">
        <f t="shared" si="46"/>
        <v>#N/A</v>
      </c>
      <c r="O306" s="76" t="e">
        <f t="shared" si="49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47"/>
        <v>#N/A</v>
      </c>
      <c r="H307" s="73" t="e">
        <f t="shared" si="48"/>
        <v>#N/A</v>
      </c>
      <c r="I307" s="73" t="b">
        <f t="shared" si="42"/>
        <v>0</v>
      </c>
      <c r="J307" s="72"/>
      <c r="K307" s="74"/>
      <c r="M307" s="99"/>
      <c r="N307" s="80" t="e">
        <f t="shared" ref="N307:N338" si="50">VLOOKUP(M307,$S$3:$U$69,3,0)</f>
        <v>#N/A</v>
      </c>
      <c r="O307" s="76" t="e">
        <f t="shared" si="49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47"/>
        <v>#N/A</v>
      </c>
      <c r="H308" s="73" t="e">
        <f t="shared" si="48"/>
        <v>#N/A</v>
      </c>
      <c r="I308" s="73" t="b">
        <f t="shared" si="42"/>
        <v>0</v>
      </c>
      <c r="J308" s="72"/>
      <c r="K308" s="74"/>
      <c r="M308" s="99"/>
      <c r="N308" s="80" t="e">
        <f t="shared" si="50"/>
        <v>#N/A</v>
      </c>
      <c r="O308" s="76" t="e">
        <f t="shared" si="49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47"/>
        <v>#N/A</v>
      </c>
      <c r="H309" s="73" t="e">
        <f t="shared" si="48"/>
        <v>#N/A</v>
      </c>
      <c r="I309" s="73" t="b">
        <f t="shared" si="42"/>
        <v>0</v>
      </c>
      <c r="J309" s="72"/>
      <c r="K309" s="74"/>
      <c r="M309" s="99"/>
      <c r="N309" s="80" t="e">
        <f t="shared" si="50"/>
        <v>#N/A</v>
      </c>
      <c r="O309" s="76" t="e">
        <f t="shared" si="49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47"/>
        <v>#N/A</v>
      </c>
      <c r="H310" s="73" t="e">
        <f t="shared" si="48"/>
        <v>#N/A</v>
      </c>
      <c r="I310" s="73" t="b">
        <f t="shared" si="42"/>
        <v>0</v>
      </c>
      <c r="J310" s="72"/>
      <c r="K310" s="74"/>
      <c r="M310" s="99"/>
      <c r="N310" s="80" t="e">
        <f t="shared" si="50"/>
        <v>#N/A</v>
      </c>
      <c r="O310" s="76" t="e">
        <f t="shared" si="49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47"/>
        <v>#N/A</v>
      </c>
      <c r="H311" s="73" t="e">
        <f t="shared" si="48"/>
        <v>#N/A</v>
      </c>
      <c r="I311" s="73" t="b">
        <f t="shared" si="42"/>
        <v>0</v>
      </c>
      <c r="J311" s="72"/>
      <c r="K311" s="74"/>
      <c r="M311" s="99"/>
      <c r="N311" s="80" t="e">
        <f t="shared" si="50"/>
        <v>#N/A</v>
      </c>
      <c r="O311" s="76" t="e">
        <f t="shared" si="49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47"/>
        <v>#N/A</v>
      </c>
      <c r="H312" s="73" t="e">
        <f t="shared" si="48"/>
        <v>#N/A</v>
      </c>
      <c r="I312" s="73" t="b">
        <f t="shared" si="42"/>
        <v>0</v>
      </c>
      <c r="J312" s="72"/>
      <c r="K312" s="74"/>
      <c r="M312" s="99"/>
      <c r="N312" s="80" t="e">
        <f t="shared" si="50"/>
        <v>#N/A</v>
      </c>
      <c r="O312" s="76" t="e">
        <f t="shared" si="49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47"/>
        <v>#N/A</v>
      </c>
      <c r="H313" s="73" t="e">
        <f t="shared" si="48"/>
        <v>#N/A</v>
      </c>
      <c r="I313" s="73" t="b">
        <f t="shared" si="42"/>
        <v>0</v>
      </c>
      <c r="J313" s="72"/>
      <c r="K313" s="74"/>
      <c r="M313" s="99"/>
      <c r="N313" s="80" t="e">
        <f t="shared" si="50"/>
        <v>#N/A</v>
      </c>
      <c r="O313" s="76" t="e">
        <f t="shared" si="49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47"/>
        <v>#N/A</v>
      </c>
      <c r="H314" s="73" t="e">
        <f t="shared" si="48"/>
        <v>#N/A</v>
      </c>
      <c r="I314" s="73" t="b">
        <f t="shared" si="42"/>
        <v>0</v>
      </c>
      <c r="J314" s="72"/>
      <c r="K314" s="74"/>
      <c r="M314" s="99"/>
      <c r="N314" s="80" t="e">
        <f t="shared" si="50"/>
        <v>#N/A</v>
      </c>
      <c r="O314" s="76" t="e">
        <f t="shared" si="49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47"/>
        <v>#N/A</v>
      </c>
      <c r="H315" s="73" t="e">
        <f t="shared" si="48"/>
        <v>#N/A</v>
      </c>
      <c r="I315" s="73" t="b">
        <f t="shared" si="42"/>
        <v>0</v>
      </c>
      <c r="J315" s="72"/>
      <c r="K315" s="74"/>
      <c r="M315" s="99"/>
      <c r="N315" s="80" t="e">
        <f t="shared" si="50"/>
        <v>#N/A</v>
      </c>
      <c r="O315" s="76" t="e">
        <f t="shared" si="49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47"/>
        <v>#N/A</v>
      </c>
      <c r="H316" s="73" t="e">
        <f t="shared" si="48"/>
        <v>#N/A</v>
      </c>
      <c r="I316" s="73" t="b">
        <f t="shared" si="42"/>
        <v>0</v>
      </c>
      <c r="J316" s="72"/>
      <c r="K316" s="74"/>
      <c r="M316" s="99"/>
      <c r="N316" s="80" t="e">
        <f t="shared" si="50"/>
        <v>#N/A</v>
      </c>
      <c r="O316" s="76" t="e">
        <f t="shared" si="49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47"/>
        <v>#N/A</v>
      </c>
      <c r="H317" s="73" t="e">
        <f t="shared" si="48"/>
        <v>#N/A</v>
      </c>
      <c r="I317" s="73" t="b">
        <f t="shared" si="42"/>
        <v>0</v>
      </c>
      <c r="J317" s="72"/>
      <c r="K317" s="74"/>
      <c r="M317" s="99"/>
      <c r="N317" s="80" t="e">
        <f t="shared" si="50"/>
        <v>#N/A</v>
      </c>
      <c r="O317" s="76" t="e">
        <f t="shared" si="49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47"/>
        <v>#N/A</v>
      </c>
      <c r="H318" s="73" t="e">
        <f t="shared" si="48"/>
        <v>#N/A</v>
      </c>
      <c r="I318" s="73" t="b">
        <f t="shared" si="42"/>
        <v>0</v>
      </c>
      <c r="J318" s="72"/>
      <c r="K318" s="74"/>
      <c r="M318" s="99"/>
      <c r="N318" s="80" t="e">
        <f t="shared" si="50"/>
        <v>#N/A</v>
      </c>
      <c r="O318" s="76" t="e">
        <f t="shared" si="49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47"/>
        <v>#N/A</v>
      </c>
      <c r="H319" s="73" t="e">
        <f t="shared" si="48"/>
        <v>#N/A</v>
      </c>
      <c r="I319" s="73" t="b">
        <f t="shared" si="42"/>
        <v>0</v>
      </c>
      <c r="J319" s="72"/>
      <c r="K319" s="74"/>
      <c r="M319" s="99"/>
      <c r="N319" s="80" t="e">
        <f t="shared" si="50"/>
        <v>#N/A</v>
      </c>
      <c r="O319" s="76" t="e">
        <f t="shared" si="49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47"/>
        <v>#N/A</v>
      </c>
      <c r="H320" s="73" t="e">
        <f t="shared" si="48"/>
        <v>#N/A</v>
      </c>
      <c r="I320" s="73" t="b">
        <f t="shared" si="42"/>
        <v>0</v>
      </c>
      <c r="J320" s="72"/>
      <c r="K320" s="74"/>
      <c r="M320" s="99"/>
      <c r="N320" s="80" t="e">
        <f t="shared" si="50"/>
        <v>#N/A</v>
      </c>
      <c r="O320" s="76" t="e">
        <f t="shared" si="49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47"/>
        <v>#N/A</v>
      </c>
      <c r="H321" s="73" t="e">
        <f t="shared" si="48"/>
        <v>#N/A</v>
      </c>
      <c r="I321" s="73" t="b">
        <f t="shared" si="42"/>
        <v>0</v>
      </c>
      <c r="J321" s="72"/>
      <c r="K321" s="74"/>
      <c r="M321" s="99"/>
      <c r="N321" s="80" t="e">
        <f t="shared" si="50"/>
        <v>#N/A</v>
      </c>
      <c r="O321" s="76" t="e">
        <f t="shared" si="49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47"/>
        <v>#N/A</v>
      </c>
      <c r="H322" s="73" t="e">
        <f t="shared" si="48"/>
        <v>#N/A</v>
      </c>
      <c r="I322" s="73" t="b">
        <f t="shared" si="42"/>
        <v>0</v>
      </c>
      <c r="J322" s="72"/>
      <c r="K322" s="74"/>
      <c r="M322" s="99"/>
      <c r="N322" s="80" t="e">
        <f t="shared" si="50"/>
        <v>#N/A</v>
      </c>
      <c r="O322" s="76" t="e">
        <f t="shared" si="49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47"/>
        <v>#N/A</v>
      </c>
      <c r="H323" s="73" t="e">
        <f t="shared" si="48"/>
        <v>#N/A</v>
      </c>
      <c r="I323" s="73" t="b">
        <f t="shared" ref="I323:I373" si="51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99"/>
      <c r="N323" s="80" t="e">
        <f t="shared" si="50"/>
        <v>#N/A</v>
      </c>
      <c r="O323" s="76" t="e">
        <f t="shared" si="49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47"/>
        <v>#N/A</v>
      </c>
      <c r="H324" s="73" t="e">
        <f t="shared" si="48"/>
        <v>#N/A</v>
      </c>
      <c r="I324" s="73" t="b">
        <f t="shared" si="51"/>
        <v>0</v>
      </c>
      <c r="J324" s="72"/>
      <c r="K324" s="74"/>
      <c r="M324" s="99"/>
      <c r="N324" s="80" t="e">
        <f t="shared" si="50"/>
        <v>#N/A</v>
      </c>
      <c r="O324" s="76" t="e">
        <f t="shared" si="49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ref="G325:G356" si="52">VLOOKUP(D325,$S$3:$T$69,2,0)</f>
        <v>#N/A</v>
      </c>
      <c r="H325" s="73" t="e">
        <f t="shared" ref="H325:H356" si="53">F325*G325</f>
        <v>#N/A</v>
      </c>
      <c r="I325" s="73" t="b">
        <f t="shared" si="51"/>
        <v>0</v>
      </c>
      <c r="J325" s="72"/>
      <c r="K325" s="74"/>
      <c r="M325" s="99"/>
      <c r="N325" s="80" t="e">
        <f t="shared" si="50"/>
        <v>#N/A</v>
      </c>
      <c r="O325" s="76" t="e">
        <f t="shared" ref="O325:O356" si="54">N325*F325</f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52"/>
        <v>#N/A</v>
      </c>
      <c r="H326" s="73" t="e">
        <f t="shared" si="53"/>
        <v>#N/A</v>
      </c>
      <c r="I326" s="73" t="b">
        <f t="shared" si="51"/>
        <v>0</v>
      </c>
      <c r="J326" s="72"/>
      <c r="K326" s="74"/>
      <c r="M326" s="99"/>
      <c r="N326" s="80" t="e">
        <f t="shared" si="50"/>
        <v>#N/A</v>
      </c>
      <c r="O326" s="76" t="e">
        <f t="shared" si="54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52"/>
        <v>#N/A</v>
      </c>
      <c r="H327" s="73" t="e">
        <f t="shared" si="53"/>
        <v>#N/A</v>
      </c>
      <c r="I327" s="73" t="b">
        <f t="shared" si="51"/>
        <v>0</v>
      </c>
      <c r="J327" s="72"/>
      <c r="K327" s="74"/>
      <c r="M327" s="99"/>
      <c r="N327" s="80" t="e">
        <f t="shared" si="50"/>
        <v>#N/A</v>
      </c>
      <c r="O327" s="76" t="e">
        <f t="shared" si="54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52"/>
        <v>#N/A</v>
      </c>
      <c r="H328" s="73" t="e">
        <f t="shared" si="53"/>
        <v>#N/A</v>
      </c>
      <c r="I328" s="73" t="b">
        <f t="shared" si="51"/>
        <v>0</v>
      </c>
      <c r="J328" s="72"/>
      <c r="K328" s="74"/>
      <c r="M328" s="99"/>
      <c r="N328" s="80" t="e">
        <f t="shared" si="50"/>
        <v>#N/A</v>
      </c>
      <c r="O328" s="76" t="e">
        <f t="shared" si="54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52"/>
        <v>#N/A</v>
      </c>
      <c r="H329" s="73" t="e">
        <f t="shared" si="53"/>
        <v>#N/A</v>
      </c>
      <c r="I329" s="73" t="b">
        <f t="shared" si="51"/>
        <v>0</v>
      </c>
      <c r="J329" s="72"/>
      <c r="K329" s="74"/>
      <c r="M329" s="99"/>
      <c r="N329" s="80" t="e">
        <f t="shared" si="50"/>
        <v>#N/A</v>
      </c>
      <c r="O329" s="76" t="e">
        <f t="shared" si="54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52"/>
        <v>#N/A</v>
      </c>
      <c r="H330" s="73" t="e">
        <f t="shared" si="53"/>
        <v>#N/A</v>
      </c>
      <c r="I330" s="73" t="b">
        <f t="shared" si="51"/>
        <v>0</v>
      </c>
      <c r="J330" s="72"/>
      <c r="K330" s="74"/>
      <c r="M330" s="99"/>
      <c r="N330" s="80" t="e">
        <f t="shared" si="50"/>
        <v>#N/A</v>
      </c>
      <c r="O330" s="76" t="e">
        <f t="shared" si="54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52"/>
        <v>#N/A</v>
      </c>
      <c r="H331" s="73" t="e">
        <f t="shared" si="53"/>
        <v>#N/A</v>
      </c>
      <c r="I331" s="73" t="b">
        <f t="shared" si="51"/>
        <v>0</v>
      </c>
      <c r="J331" s="72"/>
      <c r="K331" s="74"/>
      <c r="M331" s="99"/>
      <c r="N331" s="80" t="e">
        <f t="shared" si="50"/>
        <v>#N/A</v>
      </c>
      <c r="O331" s="76" t="e">
        <f t="shared" si="54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52"/>
        <v>#N/A</v>
      </c>
      <c r="H332" s="73" t="e">
        <f t="shared" si="53"/>
        <v>#N/A</v>
      </c>
      <c r="I332" s="73" t="b">
        <f t="shared" si="51"/>
        <v>0</v>
      </c>
      <c r="J332" s="72"/>
      <c r="K332" s="74"/>
      <c r="M332" s="99"/>
      <c r="N332" s="80" t="e">
        <f t="shared" si="50"/>
        <v>#N/A</v>
      </c>
      <c r="O332" s="76" t="e">
        <f t="shared" si="54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52"/>
        <v>#N/A</v>
      </c>
      <c r="H333" s="73" t="e">
        <f t="shared" si="53"/>
        <v>#N/A</v>
      </c>
      <c r="I333" s="73" t="b">
        <f t="shared" si="51"/>
        <v>0</v>
      </c>
      <c r="J333" s="72"/>
      <c r="K333" s="74"/>
      <c r="M333" s="99"/>
      <c r="N333" s="80" t="e">
        <f t="shared" si="50"/>
        <v>#N/A</v>
      </c>
      <c r="O333" s="76" t="e">
        <f t="shared" si="54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52"/>
        <v>#N/A</v>
      </c>
      <c r="H334" s="73" t="e">
        <f t="shared" si="53"/>
        <v>#N/A</v>
      </c>
      <c r="I334" s="73" t="b">
        <f t="shared" si="51"/>
        <v>0</v>
      </c>
      <c r="J334" s="72"/>
      <c r="K334" s="74"/>
      <c r="M334" s="99"/>
      <c r="N334" s="80" t="e">
        <f t="shared" si="50"/>
        <v>#N/A</v>
      </c>
      <c r="O334" s="76" t="e">
        <f t="shared" si="54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52"/>
        <v>#N/A</v>
      </c>
      <c r="H335" s="73" t="e">
        <f t="shared" si="53"/>
        <v>#N/A</v>
      </c>
      <c r="I335" s="73" t="b">
        <f t="shared" si="51"/>
        <v>0</v>
      </c>
      <c r="J335" s="72"/>
      <c r="K335" s="74"/>
      <c r="M335" s="99"/>
      <c r="N335" s="80" t="e">
        <f t="shared" si="50"/>
        <v>#N/A</v>
      </c>
      <c r="O335" s="76" t="e">
        <f t="shared" si="54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52"/>
        <v>#N/A</v>
      </c>
      <c r="H336" s="73" t="e">
        <f t="shared" si="53"/>
        <v>#N/A</v>
      </c>
      <c r="I336" s="73" t="b">
        <f t="shared" si="51"/>
        <v>0</v>
      </c>
      <c r="J336" s="72"/>
      <c r="K336" s="74"/>
      <c r="M336" s="99"/>
      <c r="N336" s="80" t="e">
        <f t="shared" si="50"/>
        <v>#N/A</v>
      </c>
      <c r="O336" s="76" t="e">
        <f t="shared" si="54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52"/>
        <v>#N/A</v>
      </c>
      <c r="H337" s="73" t="e">
        <f t="shared" si="53"/>
        <v>#N/A</v>
      </c>
      <c r="I337" s="73" t="b">
        <f t="shared" si="51"/>
        <v>0</v>
      </c>
      <c r="J337" s="72"/>
      <c r="K337" s="74"/>
      <c r="M337" s="99"/>
      <c r="N337" s="80" t="e">
        <f t="shared" si="50"/>
        <v>#N/A</v>
      </c>
      <c r="O337" s="76" t="e">
        <f t="shared" si="54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52"/>
        <v>#N/A</v>
      </c>
      <c r="H338" s="73" t="e">
        <f t="shared" si="53"/>
        <v>#N/A</v>
      </c>
      <c r="I338" s="73" t="b">
        <f t="shared" si="51"/>
        <v>0</v>
      </c>
      <c r="J338" s="72"/>
      <c r="K338" s="74"/>
      <c r="M338" s="99"/>
      <c r="N338" s="80" t="e">
        <f t="shared" si="50"/>
        <v>#N/A</v>
      </c>
      <c r="O338" s="76" t="e">
        <f t="shared" si="54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52"/>
        <v>#N/A</v>
      </c>
      <c r="H339" s="73" t="e">
        <f t="shared" si="53"/>
        <v>#N/A</v>
      </c>
      <c r="I339" s="73" t="b">
        <f t="shared" si="51"/>
        <v>0</v>
      </c>
      <c r="J339" s="72"/>
      <c r="K339" s="74"/>
      <c r="M339" s="99"/>
      <c r="N339" s="80" t="e">
        <f t="shared" ref="N339:N370" si="55">VLOOKUP(M339,$S$3:$U$69,3,0)</f>
        <v>#N/A</v>
      </c>
      <c r="O339" s="76" t="e">
        <f t="shared" si="54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52"/>
        <v>#N/A</v>
      </c>
      <c r="H340" s="73" t="e">
        <f t="shared" si="53"/>
        <v>#N/A</v>
      </c>
      <c r="I340" s="73" t="b">
        <f t="shared" si="51"/>
        <v>0</v>
      </c>
      <c r="J340" s="72"/>
      <c r="K340" s="74"/>
      <c r="M340" s="99"/>
      <c r="N340" s="80" t="e">
        <f t="shared" si="55"/>
        <v>#N/A</v>
      </c>
      <c r="O340" s="76" t="e">
        <f t="shared" si="54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52"/>
        <v>#N/A</v>
      </c>
      <c r="H341" s="73" t="e">
        <f t="shared" si="53"/>
        <v>#N/A</v>
      </c>
      <c r="I341" s="73" t="b">
        <f t="shared" si="51"/>
        <v>0</v>
      </c>
      <c r="J341" s="72"/>
      <c r="K341" s="74"/>
      <c r="M341" s="99"/>
      <c r="N341" s="80" t="e">
        <f t="shared" si="55"/>
        <v>#N/A</v>
      </c>
      <c r="O341" s="76" t="e">
        <f t="shared" si="54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52"/>
        <v>#N/A</v>
      </c>
      <c r="H342" s="73" t="e">
        <f t="shared" si="53"/>
        <v>#N/A</v>
      </c>
      <c r="I342" s="73" t="b">
        <f t="shared" si="51"/>
        <v>0</v>
      </c>
      <c r="J342" s="72"/>
      <c r="K342" s="74"/>
      <c r="M342" s="99"/>
      <c r="N342" s="80" t="e">
        <f t="shared" si="55"/>
        <v>#N/A</v>
      </c>
      <c r="O342" s="76" t="e">
        <f t="shared" si="54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52"/>
        <v>#N/A</v>
      </c>
      <c r="H343" s="73" t="e">
        <f t="shared" si="53"/>
        <v>#N/A</v>
      </c>
      <c r="I343" s="73" t="b">
        <f t="shared" si="51"/>
        <v>0</v>
      </c>
      <c r="J343" s="72"/>
      <c r="K343" s="74"/>
      <c r="M343" s="99"/>
      <c r="N343" s="80" t="e">
        <f t="shared" si="55"/>
        <v>#N/A</v>
      </c>
      <c r="O343" s="76" t="e">
        <f t="shared" si="54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52"/>
        <v>#N/A</v>
      </c>
      <c r="H344" s="73" t="e">
        <f t="shared" si="53"/>
        <v>#N/A</v>
      </c>
      <c r="I344" s="73" t="b">
        <f t="shared" si="51"/>
        <v>0</v>
      </c>
      <c r="J344" s="72"/>
      <c r="K344" s="74"/>
      <c r="M344" s="99"/>
      <c r="N344" s="80" t="e">
        <f t="shared" si="55"/>
        <v>#N/A</v>
      </c>
      <c r="O344" s="76" t="e">
        <f t="shared" si="54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52"/>
        <v>#N/A</v>
      </c>
      <c r="H345" s="73" t="e">
        <f t="shared" si="53"/>
        <v>#N/A</v>
      </c>
      <c r="I345" s="73" t="b">
        <f t="shared" si="51"/>
        <v>0</v>
      </c>
      <c r="J345" s="72"/>
      <c r="K345" s="74"/>
      <c r="M345" s="99"/>
      <c r="N345" s="80" t="e">
        <f t="shared" si="55"/>
        <v>#N/A</v>
      </c>
      <c r="O345" s="76" t="e">
        <f t="shared" si="54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52"/>
        <v>#N/A</v>
      </c>
      <c r="H346" s="73" t="e">
        <f t="shared" si="53"/>
        <v>#N/A</v>
      </c>
      <c r="I346" s="73" t="b">
        <f t="shared" si="51"/>
        <v>0</v>
      </c>
      <c r="J346" s="72"/>
      <c r="K346" s="74"/>
      <c r="M346" s="99"/>
      <c r="N346" s="80" t="e">
        <f t="shared" si="55"/>
        <v>#N/A</v>
      </c>
      <c r="O346" s="76" t="e">
        <f t="shared" si="54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52"/>
        <v>#N/A</v>
      </c>
      <c r="H347" s="73" t="e">
        <f t="shared" si="53"/>
        <v>#N/A</v>
      </c>
      <c r="I347" s="73" t="b">
        <f t="shared" si="51"/>
        <v>0</v>
      </c>
      <c r="J347" s="72"/>
      <c r="K347" s="74"/>
      <c r="M347" s="99"/>
      <c r="N347" s="80" t="e">
        <f t="shared" si="55"/>
        <v>#N/A</v>
      </c>
      <c r="O347" s="76" t="e">
        <f t="shared" si="54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52"/>
        <v>#N/A</v>
      </c>
      <c r="H348" s="73" t="e">
        <f t="shared" si="53"/>
        <v>#N/A</v>
      </c>
      <c r="I348" s="73" t="b">
        <f t="shared" si="51"/>
        <v>0</v>
      </c>
      <c r="J348" s="72"/>
      <c r="K348" s="74"/>
      <c r="M348" s="99"/>
      <c r="N348" s="80" t="e">
        <f t="shared" si="55"/>
        <v>#N/A</v>
      </c>
      <c r="O348" s="76" t="e">
        <f t="shared" si="54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52"/>
        <v>#N/A</v>
      </c>
      <c r="H349" s="73" t="e">
        <f t="shared" si="53"/>
        <v>#N/A</v>
      </c>
      <c r="I349" s="73" t="b">
        <f t="shared" si="51"/>
        <v>0</v>
      </c>
      <c r="J349" s="72"/>
      <c r="K349" s="74"/>
      <c r="M349" s="99"/>
      <c r="N349" s="80" t="e">
        <f t="shared" si="55"/>
        <v>#N/A</v>
      </c>
      <c r="O349" s="76" t="e">
        <f t="shared" si="54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52"/>
        <v>#N/A</v>
      </c>
      <c r="H350" s="73" t="e">
        <f t="shared" si="53"/>
        <v>#N/A</v>
      </c>
      <c r="I350" s="73" t="b">
        <f t="shared" si="51"/>
        <v>0</v>
      </c>
      <c r="J350" s="72"/>
      <c r="K350" s="74"/>
      <c r="M350" s="99"/>
      <c r="N350" s="80" t="e">
        <f t="shared" si="55"/>
        <v>#N/A</v>
      </c>
      <c r="O350" s="76" t="e">
        <f t="shared" si="54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52"/>
        <v>#N/A</v>
      </c>
      <c r="H351" s="73" t="e">
        <f t="shared" si="53"/>
        <v>#N/A</v>
      </c>
      <c r="I351" s="73" t="b">
        <f t="shared" si="51"/>
        <v>0</v>
      </c>
      <c r="J351" s="72"/>
      <c r="K351" s="74"/>
      <c r="M351" s="99"/>
      <c r="N351" s="80" t="e">
        <f t="shared" si="55"/>
        <v>#N/A</v>
      </c>
      <c r="O351" s="76" t="e">
        <f t="shared" si="54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52"/>
        <v>#N/A</v>
      </c>
      <c r="H352" s="73" t="e">
        <f t="shared" si="53"/>
        <v>#N/A</v>
      </c>
      <c r="I352" s="73" t="b">
        <f t="shared" si="51"/>
        <v>0</v>
      </c>
      <c r="J352" s="72"/>
      <c r="K352" s="74"/>
      <c r="M352" s="99"/>
      <c r="N352" s="80" t="e">
        <f t="shared" si="55"/>
        <v>#N/A</v>
      </c>
      <c r="O352" s="76" t="e">
        <f t="shared" si="54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52"/>
        <v>#N/A</v>
      </c>
      <c r="H353" s="73" t="e">
        <f t="shared" si="53"/>
        <v>#N/A</v>
      </c>
      <c r="I353" s="73" t="b">
        <f t="shared" si="51"/>
        <v>0</v>
      </c>
      <c r="J353" s="72"/>
      <c r="K353" s="74"/>
      <c r="M353" s="99"/>
      <c r="N353" s="80" t="e">
        <f t="shared" si="55"/>
        <v>#N/A</v>
      </c>
      <c r="O353" s="76" t="e">
        <f t="shared" si="54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52"/>
        <v>#N/A</v>
      </c>
      <c r="H354" s="73" t="e">
        <f t="shared" si="53"/>
        <v>#N/A</v>
      </c>
      <c r="I354" s="73" t="b">
        <f t="shared" si="51"/>
        <v>0</v>
      </c>
      <c r="J354" s="72"/>
      <c r="K354" s="74"/>
      <c r="M354" s="99"/>
      <c r="N354" s="80" t="e">
        <f t="shared" si="55"/>
        <v>#N/A</v>
      </c>
      <c r="O354" s="76" t="e">
        <f t="shared" si="54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52"/>
        <v>#N/A</v>
      </c>
      <c r="H355" s="73" t="e">
        <f t="shared" si="53"/>
        <v>#N/A</v>
      </c>
      <c r="I355" s="73" t="b">
        <f t="shared" si="51"/>
        <v>0</v>
      </c>
      <c r="J355" s="72"/>
      <c r="K355" s="74"/>
      <c r="M355" s="99"/>
      <c r="N355" s="80" t="e">
        <f t="shared" si="55"/>
        <v>#N/A</v>
      </c>
      <c r="O355" s="76" t="e">
        <f t="shared" si="54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52"/>
        <v>#N/A</v>
      </c>
      <c r="H356" s="73" t="e">
        <f t="shared" si="53"/>
        <v>#N/A</v>
      </c>
      <c r="I356" s="73" t="b">
        <f t="shared" si="51"/>
        <v>0</v>
      </c>
      <c r="J356" s="72"/>
      <c r="K356" s="74"/>
      <c r="M356" s="99"/>
      <c r="N356" s="80" t="e">
        <f t="shared" si="55"/>
        <v>#N/A</v>
      </c>
      <c r="O356" s="76" t="e">
        <f t="shared" si="54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ref="G357:G373" si="56">VLOOKUP(D357,$S$3:$T$69,2,0)</f>
        <v>#N/A</v>
      </c>
      <c r="H357" s="73" t="e">
        <f t="shared" ref="H357:H373" si="57">F357*G357</f>
        <v>#N/A</v>
      </c>
      <c r="I357" s="73" t="b">
        <f t="shared" si="51"/>
        <v>0</v>
      </c>
      <c r="J357" s="72"/>
      <c r="K357" s="74"/>
      <c r="M357" s="99"/>
      <c r="N357" s="80" t="e">
        <f t="shared" si="55"/>
        <v>#N/A</v>
      </c>
      <c r="O357" s="76" t="e">
        <f t="shared" ref="O357:O373" si="58">N357*F357</f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56"/>
        <v>#N/A</v>
      </c>
      <c r="H358" s="73" t="e">
        <f t="shared" si="57"/>
        <v>#N/A</v>
      </c>
      <c r="I358" s="73" t="b">
        <f t="shared" si="51"/>
        <v>0</v>
      </c>
      <c r="J358" s="72"/>
      <c r="K358" s="74"/>
      <c r="M358" s="99"/>
      <c r="N358" s="80" t="e">
        <f t="shared" si="55"/>
        <v>#N/A</v>
      </c>
      <c r="O358" s="76" t="e">
        <f t="shared" si="58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si="56"/>
        <v>#N/A</v>
      </c>
      <c r="H359" s="73" t="e">
        <f t="shared" si="57"/>
        <v>#N/A</v>
      </c>
      <c r="I359" s="73" t="b">
        <f t="shared" si="51"/>
        <v>0</v>
      </c>
      <c r="J359" s="72"/>
      <c r="K359" s="74"/>
      <c r="M359" s="99"/>
      <c r="N359" s="80" t="e">
        <f t="shared" si="55"/>
        <v>#N/A</v>
      </c>
      <c r="O359" s="76" t="e">
        <f t="shared" si="58"/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56"/>
        <v>#N/A</v>
      </c>
      <c r="H360" s="73" t="e">
        <f t="shared" si="57"/>
        <v>#N/A</v>
      </c>
      <c r="I360" s="73" t="b">
        <f t="shared" si="51"/>
        <v>0</v>
      </c>
      <c r="J360" s="72"/>
      <c r="K360" s="74"/>
      <c r="M360" s="99"/>
      <c r="N360" s="80" t="e">
        <f t="shared" si="55"/>
        <v>#N/A</v>
      </c>
      <c r="O360" s="76" t="e">
        <f t="shared" si="58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56"/>
        <v>#N/A</v>
      </c>
      <c r="H361" s="73" t="e">
        <f t="shared" si="57"/>
        <v>#N/A</v>
      </c>
      <c r="I361" s="73" t="b">
        <f t="shared" si="51"/>
        <v>0</v>
      </c>
      <c r="J361" s="72"/>
      <c r="K361" s="74"/>
      <c r="M361" s="99"/>
      <c r="N361" s="80" t="e">
        <f t="shared" si="55"/>
        <v>#N/A</v>
      </c>
      <c r="O361" s="76" t="e">
        <f t="shared" si="58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56"/>
        <v>#N/A</v>
      </c>
      <c r="H362" s="73" t="e">
        <f t="shared" si="57"/>
        <v>#N/A</v>
      </c>
      <c r="I362" s="73" t="b">
        <f t="shared" si="51"/>
        <v>0</v>
      </c>
      <c r="J362" s="72"/>
      <c r="K362" s="74"/>
      <c r="M362" s="99"/>
      <c r="N362" s="80" t="e">
        <f t="shared" si="55"/>
        <v>#N/A</v>
      </c>
      <c r="O362" s="76" t="e">
        <f t="shared" si="58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si="56"/>
        <v>#N/A</v>
      </c>
      <c r="H363" s="73" t="e">
        <f t="shared" si="57"/>
        <v>#N/A</v>
      </c>
      <c r="I363" s="73" t="b">
        <f t="shared" si="51"/>
        <v>0</v>
      </c>
      <c r="J363" s="72"/>
      <c r="K363" s="74"/>
      <c r="M363" s="99"/>
      <c r="N363" s="80" t="e">
        <f t="shared" si="55"/>
        <v>#N/A</v>
      </c>
      <c r="O363" s="76" t="e">
        <f t="shared" si="58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56"/>
        <v>#N/A</v>
      </c>
      <c r="H364" s="73" t="e">
        <f t="shared" si="57"/>
        <v>#N/A</v>
      </c>
      <c r="I364" s="73" t="b">
        <f t="shared" si="51"/>
        <v>0</v>
      </c>
      <c r="J364" s="72"/>
      <c r="K364" s="74"/>
      <c r="M364" s="99"/>
      <c r="N364" s="80" t="e">
        <f t="shared" si="55"/>
        <v>#N/A</v>
      </c>
      <c r="O364" s="76" t="e">
        <f t="shared" si="58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56"/>
        <v>#N/A</v>
      </c>
      <c r="H365" s="73" t="e">
        <f t="shared" si="57"/>
        <v>#N/A</v>
      </c>
      <c r="I365" s="73" t="b">
        <f t="shared" si="51"/>
        <v>0</v>
      </c>
      <c r="J365" s="72"/>
      <c r="K365" s="74"/>
      <c r="M365" s="99"/>
      <c r="N365" s="80" t="e">
        <f t="shared" si="55"/>
        <v>#N/A</v>
      </c>
      <c r="O365" s="80" t="e">
        <f t="shared" si="58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56"/>
        <v>#N/A</v>
      </c>
      <c r="H366" s="73" t="e">
        <f t="shared" si="57"/>
        <v>#N/A</v>
      </c>
      <c r="I366" s="73" t="b">
        <f t="shared" si="51"/>
        <v>0</v>
      </c>
      <c r="J366" s="72"/>
      <c r="K366" s="74"/>
      <c r="M366" s="99"/>
      <c r="N366" s="80" t="e">
        <f t="shared" si="55"/>
        <v>#N/A</v>
      </c>
      <c r="O366" s="80" t="e">
        <f t="shared" si="58"/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56"/>
        <v>#N/A</v>
      </c>
      <c r="H367" s="73" t="e">
        <f t="shared" si="57"/>
        <v>#N/A</v>
      </c>
      <c r="I367" s="73" t="b">
        <f t="shared" si="51"/>
        <v>0</v>
      </c>
      <c r="J367" s="72"/>
      <c r="K367" s="74"/>
      <c r="M367" s="99"/>
      <c r="N367" s="80" t="e">
        <f t="shared" si="55"/>
        <v>#N/A</v>
      </c>
      <c r="O367" s="80" t="e">
        <f t="shared" si="58"/>
        <v>#N/A</v>
      </c>
      <c r="P367" s="103"/>
    </row>
    <row r="368" spans="1:16" x14ac:dyDescent="0.25">
      <c r="A368" s="95"/>
      <c r="B368" s="72"/>
      <c r="C368" s="72"/>
      <c r="D368" s="72"/>
      <c r="E368" s="72"/>
      <c r="F368" s="72"/>
      <c r="G368" s="73" t="e">
        <f t="shared" si="56"/>
        <v>#N/A</v>
      </c>
      <c r="H368" s="73" t="e">
        <f t="shared" si="57"/>
        <v>#N/A</v>
      </c>
      <c r="I368" s="73" t="b">
        <f t="shared" si="51"/>
        <v>0</v>
      </c>
      <c r="J368" s="72"/>
      <c r="K368" s="74"/>
      <c r="M368" s="99"/>
      <c r="N368" s="80" t="e">
        <f t="shared" si="55"/>
        <v>#N/A</v>
      </c>
      <c r="O368" s="80" t="e">
        <f t="shared" si="58"/>
        <v>#N/A</v>
      </c>
      <c r="P368" s="103"/>
    </row>
    <row r="369" spans="1:16" x14ac:dyDescent="0.25">
      <c r="A369" s="95"/>
      <c r="B369" s="72"/>
      <c r="C369" s="72"/>
      <c r="D369" s="72"/>
      <c r="E369" s="72"/>
      <c r="F369" s="72"/>
      <c r="G369" s="73" t="e">
        <f t="shared" si="56"/>
        <v>#N/A</v>
      </c>
      <c r="H369" s="73" t="e">
        <f t="shared" si="57"/>
        <v>#N/A</v>
      </c>
      <c r="I369" s="73" t="b">
        <f t="shared" si="51"/>
        <v>0</v>
      </c>
      <c r="J369" s="72"/>
      <c r="K369" s="74"/>
      <c r="M369" s="99"/>
      <c r="N369" s="80" t="e">
        <f t="shared" si="55"/>
        <v>#N/A</v>
      </c>
      <c r="O369" s="80" t="e">
        <f t="shared" si="58"/>
        <v>#N/A</v>
      </c>
      <c r="P369" s="103"/>
    </row>
    <row r="370" spans="1:16" x14ac:dyDescent="0.25">
      <c r="A370" s="95"/>
      <c r="B370" s="72"/>
      <c r="C370" s="72"/>
      <c r="D370" s="72"/>
      <c r="E370" s="72"/>
      <c r="F370" s="72"/>
      <c r="G370" s="73" t="e">
        <f t="shared" si="56"/>
        <v>#N/A</v>
      </c>
      <c r="H370" s="73" t="e">
        <f t="shared" si="57"/>
        <v>#N/A</v>
      </c>
      <c r="I370" s="73" t="b">
        <f t="shared" si="51"/>
        <v>0</v>
      </c>
      <c r="J370" s="72"/>
      <c r="K370" s="74"/>
      <c r="M370" s="99"/>
      <c r="N370" s="80" t="e">
        <f t="shared" si="55"/>
        <v>#N/A</v>
      </c>
      <c r="O370" s="80" t="e">
        <f t="shared" si="58"/>
        <v>#N/A</v>
      </c>
      <c r="P370" s="103"/>
    </row>
    <row r="371" spans="1:16" x14ac:dyDescent="0.25">
      <c r="A371" s="95"/>
      <c r="B371" s="72"/>
      <c r="C371" s="72"/>
      <c r="D371" s="72"/>
      <c r="E371" s="72"/>
      <c r="F371" s="72"/>
      <c r="G371" s="73" t="e">
        <f t="shared" si="56"/>
        <v>#N/A</v>
      </c>
      <c r="H371" s="73" t="e">
        <f t="shared" si="57"/>
        <v>#N/A</v>
      </c>
      <c r="I371" s="73" t="b">
        <f t="shared" si="51"/>
        <v>0</v>
      </c>
      <c r="J371" s="72"/>
      <c r="K371" s="74"/>
      <c r="M371" s="99"/>
      <c r="N371" s="80" t="e">
        <f t="shared" ref="N371:N373" si="59">VLOOKUP(M371,$S$3:$U$69,3,0)</f>
        <v>#N/A</v>
      </c>
      <c r="O371" s="80" t="e">
        <f t="shared" si="58"/>
        <v>#N/A</v>
      </c>
      <c r="P371" s="103"/>
    </row>
    <row r="372" spans="1:16" x14ac:dyDescent="0.25">
      <c r="A372" s="95"/>
      <c r="B372" s="72"/>
      <c r="C372" s="72"/>
      <c r="D372" s="72"/>
      <c r="E372" s="72"/>
      <c r="F372" s="72"/>
      <c r="G372" s="73" t="e">
        <f t="shared" si="56"/>
        <v>#N/A</v>
      </c>
      <c r="H372" s="73" t="e">
        <f t="shared" si="57"/>
        <v>#N/A</v>
      </c>
      <c r="I372" s="73" t="b">
        <f t="shared" si="51"/>
        <v>0</v>
      </c>
      <c r="J372" s="72"/>
      <c r="K372" s="74"/>
      <c r="M372" s="99"/>
      <c r="N372" s="80" t="e">
        <f t="shared" si="59"/>
        <v>#N/A</v>
      </c>
      <c r="O372" s="80" t="e">
        <f t="shared" si="58"/>
        <v>#N/A</v>
      </c>
      <c r="P372" s="103"/>
    </row>
    <row r="373" spans="1:16" x14ac:dyDescent="0.25">
      <c r="A373" s="95"/>
      <c r="B373" s="72"/>
      <c r="C373" s="72"/>
      <c r="D373" s="72"/>
      <c r="E373" s="72"/>
      <c r="F373" s="72"/>
      <c r="G373" s="73" t="e">
        <f t="shared" si="56"/>
        <v>#N/A</v>
      </c>
      <c r="H373" s="73" t="e">
        <f t="shared" si="57"/>
        <v>#N/A</v>
      </c>
      <c r="I373" s="73" t="b">
        <f t="shared" si="51"/>
        <v>0</v>
      </c>
      <c r="J373" s="72"/>
      <c r="K373" s="74"/>
      <c r="M373" s="85"/>
      <c r="N373" s="86" t="e">
        <f t="shared" si="59"/>
        <v>#N/A</v>
      </c>
      <c r="O373" s="86" t="e">
        <f t="shared" si="58"/>
        <v>#N/A</v>
      </c>
      <c r="P373" s="104"/>
    </row>
    <row r="374" spans="1:16" ht="15.75" x14ac:dyDescent="0.25">
      <c r="H374" s="88" t="e">
        <f>SUM(H3:H373)</f>
        <v>#N/A</v>
      </c>
      <c r="I374" s="88"/>
      <c r="O374" s="89" t="e">
        <f>SUM(O3:O373)</f>
        <v>#N/A</v>
      </c>
      <c r="P374" s="2"/>
    </row>
    <row r="375" spans="1:16" x14ac:dyDescent="0.25">
      <c r="P375" s="2"/>
    </row>
    <row r="376" spans="1:16" x14ac:dyDescent="0.25">
      <c r="P376" s="2"/>
    </row>
    <row r="377" spans="1:16" x14ac:dyDescent="0.25">
      <c r="P377" s="2"/>
    </row>
    <row r="378" spans="1:16" x14ac:dyDescent="0.25">
      <c r="P378" s="2"/>
    </row>
    <row r="379" spans="1:16" x14ac:dyDescent="0.25">
      <c r="P379" s="2"/>
    </row>
    <row r="380" spans="1:16" x14ac:dyDescent="0.25">
      <c r="P380" s="2"/>
    </row>
    <row r="381" spans="1:16" x14ac:dyDescent="0.25">
      <c r="P381" s="2"/>
    </row>
    <row r="382" spans="1:16" x14ac:dyDescent="0.25">
      <c r="P382" s="2"/>
    </row>
    <row r="383" spans="1:16" x14ac:dyDescent="0.25">
      <c r="P383" s="2"/>
    </row>
    <row r="384" spans="1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  <row r="395" spans="16:16" x14ac:dyDescent="0.25">
      <c r="P395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4"/>
  <sheetViews>
    <sheetView workbookViewId="0">
      <selection activeCell="D8" sqref="D8"/>
    </sheetView>
  </sheetViews>
  <sheetFormatPr defaultRowHeight="15" x14ac:dyDescent="0.25"/>
  <cols>
    <col min="1" max="1" width="23.140625" bestFit="1" customWidth="1"/>
    <col min="2" max="2" width="12.7109375" bestFit="1" customWidth="1"/>
    <col min="3" max="3" width="21.42578125" bestFit="1" customWidth="1"/>
    <col min="4" max="4" width="71.710937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6.5703125" bestFit="1" customWidth="1"/>
    <col min="11" max="11" width="18.42578125" bestFit="1" customWidth="1"/>
    <col min="13" max="13" width="71.710937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4.5703125" bestFit="1" customWidth="1"/>
    <col min="30" max="30" width="8.7109375" bestFit="1" customWidth="1"/>
  </cols>
  <sheetData>
    <row r="1" spans="1:32" ht="21" x14ac:dyDescent="0.35">
      <c r="A1" s="53" t="s">
        <v>815</v>
      </c>
      <c r="B1" s="53"/>
      <c r="C1" s="53"/>
      <c r="D1" s="53"/>
      <c r="E1" s="53"/>
      <c r="F1" s="54"/>
      <c r="G1" s="54" t="s">
        <v>66</v>
      </c>
      <c r="H1" s="55">
        <f>SUM(H7:H295)</f>
        <v>12304.5</v>
      </c>
      <c r="I1" s="55">
        <f>SUM(I3:I372)</f>
        <v>12263.004749999998</v>
      </c>
      <c r="J1" s="54"/>
      <c r="K1" s="56"/>
      <c r="M1" s="57"/>
      <c r="N1" s="58"/>
      <c r="O1" s="105">
        <f>SUM(O3:O294)</f>
        <v>1807.7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45566</v>
      </c>
      <c r="B3" s="72" t="s">
        <v>397</v>
      </c>
      <c r="C3" s="72" t="s">
        <v>8</v>
      </c>
      <c r="D3" s="72" t="s">
        <v>18</v>
      </c>
      <c r="E3" s="72" t="s">
        <v>56</v>
      </c>
      <c r="F3" s="72">
        <v>1</v>
      </c>
      <c r="G3" s="73">
        <f t="shared" ref="G3:G11" si="0">VLOOKUP(D3,$S$3:$T$70,2,0)</f>
        <v>40</v>
      </c>
      <c r="H3" s="73">
        <f t="shared" ref="H3:H18" si="1">F3*G3</f>
        <v>40</v>
      </c>
      <c r="I3" s="73">
        <f t="shared" ref="I3:I66" si="2">IF(J3="Cartão de Debito",H3-(H3*$AC$5),IF(J3="Cartão de Credito",H3-(H3*$AC$6), IF(J3="Pix",H3-(H3*$AC$7), IF(J3="Dinheiro (R$)", H3-(H3*$AC$8)))))</f>
        <v>40</v>
      </c>
      <c r="J3" s="72" t="s">
        <v>79</v>
      </c>
      <c r="K3" s="74"/>
      <c r="M3" s="75" t="s">
        <v>18</v>
      </c>
      <c r="N3" s="76">
        <f t="shared" ref="N3:N14" si="3">VLOOKUP(M3,$S$3:$U$70,3,0)</f>
        <v>16</v>
      </c>
      <c r="O3" s="76">
        <f>N3*F3</f>
        <v>16</v>
      </c>
      <c r="P3" s="77" t="s">
        <v>56</v>
      </c>
      <c r="S3" s="50" t="s">
        <v>18</v>
      </c>
      <c r="T3" s="52">
        <v>40</v>
      </c>
      <c r="U3" s="52">
        <f t="shared" ref="U3:U31" si="4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5">Z3*0.4</f>
        <v>16</v>
      </c>
      <c r="AB3" s="92"/>
    </row>
    <row r="4" spans="1:32" x14ac:dyDescent="0.25">
      <c r="A4" s="95">
        <v>45566</v>
      </c>
      <c r="B4" s="72" t="s">
        <v>782</v>
      </c>
      <c r="C4" s="72" t="s">
        <v>8</v>
      </c>
      <c r="D4" s="72" t="s">
        <v>18</v>
      </c>
      <c r="E4" s="72" t="s">
        <v>82</v>
      </c>
      <c r="F4" s="72">
        <v>1</v>
      </c>
      <c r="G4" s="73">
        <f t="shared" si="0"/>
        <v>40</v>
      </c>
      <c r="H4" s="73">
        <f t="shared" si="1"/>
        <v>40</v>
      </c>
      <c r="I4" s="73">
        <f t="shared" si="2"/>
        <v>38.003999999999998</v>
      </c>
      <c r="J4" s="72" t="s">
        <v>86</v>
      </c>
      <c r="K4" s="74"/>
      <c r="M4" s="99"/>
      <c r="N4" s="76" t="e">
        <f t="shared" si="3"/>
        <v>#N/A</v>
      </c>
      <c r="O4" s="76"/>
      <c r="P4" s="100"/>
      <c r="S4" s="50" t="s">
        <v>19</v>
      </c>
      <c r="T4" s="52">
        <v>40</v>
      </c>
      <c r="U4" s="52">
        <f t="shared" si="4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5"/>
        <v>16</v>
      </c>
      <c r="AB4" s="92"/>
    </row>
    <row r="5" spans="1:32" x14ac:dyDescent="0.25">
      <c r="A5" s="95">
        <v>45566</v>
      </c>
      <c r="B5" s="72" t="s">
        <v>816</v>
      </c>
      <c r="C5" s="72" t="s">
        <v>9</v>
      </c>
      <c r="D5" s="72" t="s">
        <v>18</v>
      </c>
      <c r="E5" s="72" t="s">
        <v>56</v>
      </c>
      <c r="F5" s="72">
        <v>1</v>
      </c>
      <c r="G5" s="73">
        <f t="shared" si="0"/>
        <v>40</v>
      </c>
      <c r="H5" s="73">
        <f t="shared" si="1"/>
        <v>40</v>
      </c>
      <c r="I5" s="73">
        <f t="shared" si="2"/>
        <v>38.003999999999998</v>
      </c>
      <c r="J5" s="72" t="s">
        <v>86</v>
      </c>
      <c r="K5" s="74"/>
      <c r="M5" s="99" t="s">
        <v>18</v>
      </c>
      <c r="N5" s="76">
        <f t="shared" si="3"/>
        <v>16</v>
      </c>
      <c r="O5" s="76">
        <f>N5*F5</f>
        <v>16</v>
      </c>
      <c r="P5" s="100" t="s">
        <v>56</v>
      </c>
      <c r="S5" s="50" t="s">
        <v>22</v>
      </c>
      <c r="T5" s="52">
        <v>30</v>
      </c>
      <c r="U5" s="52">
        <f t="shared" si="4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5"/>
        <v>15.617599999999999</v>
      </c>
      <c r="AB5" s="92"/>
      <c r="AC5" s="102">
        <v>2.3900000000000001E-2</v>
      </c>
      <c r="AD5" s="50" t="s">
        <v>88</v>
      </c>
    </row>
    <row r="6" spans="1:32" x14ac:dyDescent="0.25">
      <c r="A6" s="95">
        <v>45566</v>
      </c>
      <c r="B6" s="72" t="s">
        <v>670</v>
      </c>
      <c r="C6" s="72" t="s">
        <v>8</v>
      </c>
      <c r="D6" s="72" t="s">
        <v>18</v>
      </c>
      <c r="E6" s="72" t="s">
        <v>56</v>
      </c>
      <c r="F6" s="72">
        <v>1</v>
      </c>
      <c r="G6" s="73">
        <f t="shared" si="0"/>
        <v>40</v>
      </c>
      <c r="H6" s="73">
        <f t="shared" si="1"/>
        <v>40</v>
      </c>
      <c r="I6" s="73">
        <f t="shared" si="2"/>
        <v>38.003999999999998</v>
      </c>
      <c r="J6" s="72" t="s">
        <v>86</v>
      </c>
      <c r="K6" s="74"/>
      <c r="M6" s="99" t="s">
        <v>18</v>
      </c>
      <c r="N6" s="76">
        <f t="shared" si="3"/>
        <v>16</v>
      </c>
      <c r="O6" s="76">
        <f>N6*F6</f>
        <v>16</v>
      </c>
      <c r="P6" s="100" t="s">
        <v>56</v>
      </c>
      <c r="S6" s="50" t="s">
        <v>23</v>
      </c>
      <c r="T6" s="52">
        <v>5</v>
      </c>
      <c r="U6" s="52">
        <f t="shared" si="4"/>
        <v>2</v>
      </c>
      <c r="W6" s="90" t="s">
        <v>86</v>
      </c>
      <c r="Y6" s="91" t="s">
        <v>90</v>
      </c>
      <c r="Z6" s="92">
        <v>38.003999999999998</v>
      </c>
      <c r="AA6" s="92">
        <f t="shared" si="5"/>
        <v>15.201599999999999</v>
      </c>
      <c r="AB6" s="92"/>
      <c r="AC6" s="102">
        <v>4.99E-2</v>
      </c>
      <c r="AD6" s="50" t="s">
        <v>91</v>
      </c>
    </row>
    <row r="7" spans="1:32" x14ac:dyDescent="0.25">
      <c r="A7" s="95">
        <v>45566</v>
      </c>
      <c r="B7" s="72" t="s">
        <v>817</v>
      </c>
      <c r="C7" s="72" t="s">
        <v>8</v>
      </c>
      <c r="D7" s="72" t="s">
        <v>17</v>
      </c>
      <c r="E7" s="72" t="s">
        <v>82</v>
      </c>
      <c r="F7" s="72">
        <v>1</v>
      </c>
      <c r="G7" s="73">
        <f t="shared" si="0"/>
        <v>50</v>
      </c>
      <c r="H7" s="73">
        <f t="shared" si="1"/>
        <v>50</v>
      </c>
      <c r="I7" s="73">
        <f t="shared" si="2"/>
        <v>50</v>
      </c>
      <c r="J7" s="72" t="s">
        <v>83</v>
      </c>
      <c r="K7" s="74"/>
      <c r="M7" s="99"/>
      <c r="N7" s="76" t="e">
        <f t="shared" si="3"/>
        <v>#N/A</v>
      </c>
      <c r="O7" s="76"/>
      <c r="P7" s="100"/>
      <c r="S7" s="50" t="s">
        <v>24</v>
      </c>
      <c r="T7" s="52">
        <v>10</v>
      </c>
      <c r="U7" s="52">
        <f t="shared" si="4"/>
        <v>4</v>
      </c>
      <c r="Y7" s="91" t="s">
        <v>93</v>
      </c>
      <c r="Z7" s="92">
        <v>40</v>
      </c>
      <c r="AA7" s="92">
        <f t="shared" si="5"/>
        <v>16</v>
      </c>
      <c r="AB7" s="92"/>
      <c r="AC7" s="91">
        <v>0</v>
      </c>
      <c r="AD7" s="50" t="s">
        <v>83</v>
      </c>
    </row>
    <row r="8" spans="1:32" x14ac:dyDescent="0.25">
      <c r="A8" s="95">
        <v>45566</v>
      </c>
      <c r="B8" s="72" t="s">
        <v>734</v>
      </c>
      <c r="C8" s="72" t="s">
        <v>9</v>
      </c>
      <c r="D8" s="72" t="s">
        <v>15</v>
      </c>
      <c r="E8" s="72" t="s">
        <v>56</v>
      </c>
      <c r="F8" s="72">
        <v>1</v>
      </c>
      <c r="G8" s="73">
        <f t="shared" si="0"/>
        <v>70</v>
      </c>
      <c r="H8" s="73">
        <f t="shared" si="1"/>
        <v>70</v>
      </c>
      <c r="I8" s="73">
        <f t="shared" si="2"/>
        <v>66.507000000000005</v>
      </c>
      <c r="J8" s="72" t="s">
        <v>86</v>
      </c>
      <c r="K8" s="74"/>
      <c r="M8" s="99" t="s">
        <v>15</v>
      </c>
      <c r="N8" s="76">
        <f t="shared" si="3"/>
        <v>28</v>
      </c>
      <c r="O8" s="76">
        <f>N8*F8</f>
        <v>28</v>
      </c>
      <c r="P8" s="100" t="s">
        <v>56</v>
      </c>
      <c r="S8" s="50" t="s">
        <v>21</v>
      </c>
      <c r="T8" s="52">
        <v>10</v>
      </c>
      <c r="U8" s="52">
        <f t="shared" si="4"/>
        <v>4</v>
      </c>
      <c r="Y8" s="91" t="s">
        <v>95</v>
      </c>
      <c r="Z8" s="92">
        <v>40</v>
      </c>
      <c r="AA8" s="92">
        <f t="shared" si="5"/>
        <v>16</v>
      </c>
      <c r="AB8" s="92"/>
      <c r="AC8" s="91">
        <v>0</v>
      </c>
      <c r="AD8" s="50" t="s">
        <v>440</v>
      </c>
    </row>
    <row r="9" spans="1:32" x14ac:dyDescent="0.25">
      <c r="A9" s="95">
        <v>45566</v>
      </c>
      <c r="B9" s="72" t="s">
        <v>734</v>
      </c>
      <c r="C9" s="72" t="s">
        <v>9</v>
      </c>
      <c r="D9" s="72" t="s">
        <v>33</v>
      </c>
      <c r="E9" s="72" t="s">
        <v>56</v>
      </c>
      <c r="F9" s="72">
        <v>1</v>
      </c>
      <c r="G9" s="73">
        <f t="shared" si="0"/>
        <v>35</v>
      </c>
      <c r="H9" s="73">
        <f t="shared" si="1"/>
        <v>35</v>
      </c>
      <c r="I9" s="73">
        <f t="shared" si="2"/>
        <v>33.253500000000003</v>
      </c>
      <c r="J9" s="72" t="s">
        <v>86</v>
      </c>
      <c r="K9" s="74"/>
      <c r="M9" s="99" t="s">
        <v>33</v>
      </c>
      <c r="N9" s="76">
        <f t="shared" si="3"/>
        <v>3.5</v>
      </c>
      <c r="O9" s="76">
        <f>N9*F9</f>
        <v>3.5</v>
      </c>
      <c r="P9" s="100" t="s">
        <v>56</v>
      </c>
      <c r="S9" s="50" t="s">
        <v>42</v>
      </c>
      <c r="T9" s="52">
        <v>20</v>
      </c>
      <c r="U9" s="52">
        <f t="shared" si="4"/>
        <v>8</v>
      </c>
      <c r="Y9" s="91" t="s">
        <v>98</v>
      </c>
      <c r="Z9" s="92">
        <v>39.043999999999997</v>
      </c>
      <c r="AA9" s="92">
        <f t="shared" si="5"/>
        <v>15.617599999999999</v>
      </c>
      <c r="AB9" s="92"/>
    </row>
    <row r="10" spans="1:32" x14ac:dyDescent="0.25">
      <c r="A10" s="95">
        <v>45566</v>
      </c>
      <c r="B10" s="72" t="s">
        <v>734</v>
      </c>
      <c r="C10" s="72" t="s">
        <v>9</v>
      </c>
      <c r="D10" s="72" t="s">
        <v>38</v>
      </c>
      <c r="E10" s="72" t="s">
        <v>56</v>
      </c>
      <c r="F10" s="72">
        <v>1</v>
      </c>
      <c r="G10" s="73">
        <f t="shared" si="0"/>
        <v>6</v>
      </c>
      <c r="H10" s="73">
        <f t="shared" si="1"/>
        <v>6</v>
      </c>
      <c r="I10" s="73">
        <f t="shared" si="2"/>
        <v>5.7005999999999997</v>
      </c>
      <c r="J10" s="72" t="s">
        <v>86</v>
      </c>
      <c r="K10" s="74"/>
      <c r="M10" s="99" t="s">
        <v>38</v>
      </c>
      <c r="N10" s="76">
        <f t="shared" si="3"/>
        <v>0.60000000000000009</v>
      </c>
      <c r="O10" s="76">
        <f>N10*F10</f>
        <v>0.60000000000000009</v>
      </c>
      <c r="P10" s="100" t="s">
        <v>56</v>
      </c>
      <c r="S10" s="50" t="s">
        <v>99</v>
      </c>
      <c r="T10" s="52">
        <v>40</v>
      </c>
      <c r="U10" s="52">
        <f t="shared" si="4"/>
        <v>16</v>
      </c>
      <c r="Y10" s="91" t="s">
        <v>100</v>
      </c>
      <c r="Z10" s="92">
        <v>38.003999999999998</v>
      </c>
      <c r="AA10" s="92">
        <f t="shared" si="5"/>
        <v>15.201599999999999</v>
      </c>
      <c r="AB10" s="92"/>
    </row>
    <row r="11" spans="1:32" x14ac:dyDescent="0.25">
      <c r="A11" s="95">
        <v>45566</v>
      </c>
      <c r="B11" s="72" t="s">
        <v>610</v>
      </c>
      <c r="C11" s="72" t="s">
        <v>8</v>
      </c>
      <c r="D11" s="72" t="s">
        <v>18</v>
      </c>
      <c r="E11" s="72" t="s">
        <v>82</v>
      </c>
      <c r="F11" s="72">
        <v>1</v>
      </c>
      <c r="G11" s="73">
        <f t="shared" si="0"/>
        <v>40</v>
      </c>
      <c r="H11" s="73">
        <f t="shared" si="1"/>
        <v>40</v>
      </c>
      <c r="I11" s="73">
        <f t="shared" si="2"/>
        <v>40</v>
      </c>
      <c r="J11" s="72" t="s">
        <v>83</v>
      </c>
      <c r="K11" s="74"/>
      <c r="M11" s="99"/>
      <c r="N11" s="76" t="e">
        <f t="shared" si="3"/>
        <v>#N/A</v>
      </c>
      <c r="O11" s="76"/>
      <c r="P11" s="100"/>
      <c r="S11" s="50" t="s">
        <v>13</v>
      </c>
      <c r="T11" s="52">
        <v>30</v>
      </c>
      <c r="U11" s="52">
        <f t="shared" si="4"/>
        <v>12</v>
      </c>
      <c r="Y11" s="91" t="s">
        <v>102</v>
      </c>
      <c r="Z11" s="92">
        <v>30</v>
      </c>
      <c r="AA11" s="92">
        <f t="shared" si="5"/>
        <v>12</v>
      </c>
      <c r="AB11" s="92"/>
    </row>
    <row r="12" spans="1:32" x14ac:dyDescent="0.25">
      <c r="A12" s="95">
        <v>45566</v>
      </c>
      <c r="B12" s="72" t="s">
        <v>610</v>
      </c>
      <c r="C12" s="72" t="s">
        <v>8</v>
      </c>
      <c r="D12" s="72" t="s">
        <v>766</v>
      </c>
      <c r="E12" s="72" t="s">
        <v>82</v>
      </c>
      <c r="F12" s="72">
        <v>1</v>
      </c>
      <c r="G12" s="73">
        <v>4</v>
      </c>
      <c r="H12" s="73">
        <f t="shared" si="1"/>
        <v>4</v>
      </c>
      <c r="I12" s="73">
        <f t="shared" si="2"/>
        <v>4</v>
      </c>
      <c r="J12" s="72" t="s">
        <v>83</v>
      </c>
      <c r="K12" s="74"/>
      <c r="M12" s="99"/>
      <c r="N12" s="76" t="e">
        <f t="shared" si="3"/>
        <v>#N/A</v>
      </c>
      <c r="O12" s="76"/>
      <c r="P12" s="100"/>
      <c r="S12" s="50" t="s">
        <v>104</v>
      </c>
      <c r="T12" s="52">
        <v>60</v>
      </c>
      <c r="U12" s="52">
        <f t="shared" si="4"/>
        <v>24</v>
      </c>
      <c r="Y12" s="91" t="s">
        <v>105</v>
      </c>
      <c r="Z12" s="92">
        <v>30</v>
      </c>
      <c r="AA12" s="92">
        <f t="shared" si="5"/>
        <v>12</v>
      </c>
      <c r="AB12" s="92"/>
    </row>
    <row r="13" spans="1:32" x14ac:dyDescent="0.25">
      <c r="A13" s="95">
        <v>45567</v>
      </c>
      <c r="B13" s="72" t="s">
        <v>266</v>
      </c>
      <c r="C13" s="72" t="s">
        <v>8</v>
      </c>
      <c r="D13" s="72" t="s">
        <v>18</v>
      </c>
      <c r="E13" s="72" t="s">
        <v>82</v>
      </c>
      <c r="F13" s="72">
        <v>1</v>
      </c>
      <c r="G13" s="73">
        <f>VLOOKUP(D13,$S$3:$T$70,2,0)</f>
        <v>40</v>
      </c>
      <c r="H13" s="73">
        <f t="shared" si="1"/>
        <v>40</v>
      </c>
      <c r="I13" s="73">
        <f t="shared" si="2"/>
        <v>40</v>
      </c>
      <c r="J13" s="72" t="s">
        <v>83</v>
      </c>
      <c r="K13" s="74"/>
      <c r="M13" s="99"/>
      <c r="N13" s="76" t="e">
        <f t="shared" si="3"/>
        <v>#N/A</v>
      </c>
      <c r="O13" s="76"/>
      <c r="P13" s="100"/>
      <c r="S13" s="50" t="s">
        <v>106</v>
      </c>
      <c r="T13" s="52">
        <v>15</v>
      </c>
      <c r="U13" s="52">
        <f t="shared" si="4"/>
        <v>6</v>
      </c>
      <c r="Y13" s="91" t="s">
        <v>107</v>
      </c>
      <c r="Z13" s="92">
        <v>29.283000000000001</v>
      </c>
      <c r="AA13" s="92">
        <f t="shared" si="5"/>
        <v>11.713200000000001</v>
      </c>
      <c r="AB13" s="92"/>
    </row>
    <row r="14" spans="1:32" x14ac:dyDescent="0.25">
      <c r="A14" s="95">
        <v>45567</v>
      </c>
      <c r="B14" s="72" t="s">
        <v>818</v>
      </c>
      <c r="C14" s="72" t="s">
        <v>10</v>
      </c>
      <c r="D14" s="72" t="s">
        <v>18</v>
      </c>
      <c r="E14" s="72" t="s">
        <v>56</v>
      </c>
      <c r="F14" s="72">
        <v>1</v>
      </c>
      <c r="G14" s="73">
        <f>VLOOKUP(D14,$S$3:$T$70,2,0)</f>
        <v>40</v>
      </c>
      <c r="H14" s="73">
        <f t="shared" si="1"/>
        <v>40</v>
      </c>
      <c r="I14" s="73">
        <f t="shared" si="2"/>
        <v>38.003999999999998</v>
      </c>
      <c r="J14" s="72" t="s">
        <v>86</v>
      </c>
      <c r="K14" s="74"/>
      <c r="M14" s="99" t="s">
        <v>18</v>
      </c>
      <c r="N14" s="76">
        <f t="shared" si="3"/>
        <v>16</v>
      </c>
      <c r="O14" s="76">
        <f>N14*F14</f>
        <v>16</v>
      </c>
      <c r="P14" s="100" t="s">
        <v>56</v>
      </c>
      <c r="S14" s="50" t="s">
        <v>15</v>
      </c>
      <c r="T14" s="52">
        <v>70</v>
      </c>
      <c r="U14" s="52">
        <f t="shared" si="4"/>
        <v>28</v>
      </c>
      <c r="Y14" s="91" t="s">
        <v>108</v>
      </c>
      <c r="Z14" s="92">
        <v>28.503</v>
      </c>
      <c r="AA14" s="92">
        <f t="shared" si="5"/>
        <v>11.401200000000001</v>
      </c>
      <c r="AB14" s="92"/>
    </row>
    <row r="15" spans="1:32" x14ac:dyDescent="0.25">
      <c r="A15" s="95">
        <v>45567</v>
      </c>
      <c r="B15" s="72" t="s">
        <v>818</v>
      </c>
      <c r="C15" s="72" t="s">
        <v>10</v>
      </c>
      <c r="D15" s="72" t="s">
        <v>34</v>
      </c>
      <c r="E15" s="72" t="s">
        <v>56</v>
      </c>
      <c r="F15" s="72">
        <v>1</v>
      </c>
      <c r="G15" s="73">
        <v>15</v>
      </c>
      <c r="H15" s="73">
        <f t="shared" si="1"/>
        <v>15</v>
      </c>
      <c r="I15" s="73">
        <f t="shared" si="2"/>
        <v>14.2515</v>
      </c>
      <c r="J15" s="72" t="s">
        <v>86</v>
      </c>
      <c r="K15" s="74"/>
      <c r="M15" s="99" t="s">
        <v>34</v>
      </c>
      <c r="N15" s="76">
        <f>G15*0.1</f>
        <v>1.5</v>
      </c>
      <c r="O15" s="76">
        <f>N15*F15</f>
        <v>1.5</v>
      </c>
      <c r="P15" s="100" t="s">
        <v>56</v>
      </c>
      <c r="S15" s="50" t="s">
        <v>40</v>
      </c>
      <c r="T15" s="52">
        <v>45</v>
      </c>
      <c r="U15" s="52">
        <f t="shared" si="4"/>
        <v>18</v>
      </c>
      <c r="Y15" s="91" t="s">
        <v>110</v>
      </c>
      <c r="Z15" s="92">
        <v>5</v>
      </c>
      <c r="AA15" s="92">
        <f t="shared" si="5"/>
        <v>2</v>
      </c>
      <c r="AB15" s="92"/>
    </row>
    <row r="16" spans="1:32" x14ac:dyDescent="0.25">
      <c r="A16" s="95">
        <v>45567</v>
      </c>
      <c r="B16" s="72" t="s">
        <v>512</v>
      </c>
      <c r="C16" s="72" t="s">
        <v>8</v>
      </c>
      <c r="D16" s="72" t="s">
        <v>18</v>
      </c>
      <c r="E16" s="72" t="s">
        <v>82</v>
      </c>
      <c r="F16" s="72">
        <v>1</v>
      </c>
      <c r="G16" s="73">
        <v>30</v>
      </c>
      <c r="H16" s="73">
        <f t="shared" si="1"/>
        <v>30</v>
      </c>
      <c r="I16" s="73">
        <f t="shared" si="2"/>
        <v>29.283000000000001</v>
      </c>
      <c r="J16" s="72" t="s">
        <v>78</v>
      </c>
      <c r="K16" s="74"/>
      <c r="M16" s="99"/>
      <c r="N16" s="76" t="e">
        <f t="shared" ref="N16:N47" si="6">VLOOKUP(M16,$S$3:$U$70,3,0)</f>
        <v>#N/A</v>
      </c>
      <c r="O16" s="76"/>
      <c r="P16" s="100"/>
      <c r="S16" s="50" t="s">
        <v>17</v>
      </c>
      <c r="T16" s="52">
        <v>50</v>
      </c>
      <c r="U16" s="52">
        <f t="shared" si="4"/>
        <v>20</v>
      </c>
      <c r="Y16" s="91" t="s">
        <v>113</v>
      </c>
      <c r="Z16" s="92">
        <v>5</v>
      </c>
      <c r="AA16" s="92">
        <f t="shared" si="5"/>
        <v>2</v>
      </c>
      <c r="AB16" s="92"/>
    </row>
    <row r="17" spans="1:28" x14ac:dyDescent="0.25">
      <c r="A17" s="95">
        <v>45567</v>
      </c>
      <c r="B17" s="72" t="s">
        <v>512</v>
      </c>
      <c r="C17" s="72" t="s">
        <v>8</v>
      </c>
      <c r="D17" s="72" t="s">
        <v>766</v>
      </c>
      <c r="E17" s="72" t="s">
        <v>82</v>
      </c>
      <c r="F17" s="72">
        <v>1</v>
      </c>
      <c r="G17" s="73">
        <v>4</v>
      </c>
      <c r="H17" s="73">
        <f t="shared" si="1"/>
        <v>4</v>
      </c>
      <c r="I17" s="73">
        <f t="shared" si="2"/>
        <v>3.9043999999999999</v>
      </c>
      <c r="J17" s="72" t="s">
        <v>78</v>
      </c>
      <c r="K17" s="74"/>
      <c r="M17" s="99"/>
      <c r="N17" s="76" t="e">
        <f t="shared" si="6"/>
        <v>#N/A</v>
      </c>
      <c r="O17" s="76"/>
      <c r="P17" s="100"/>
      <c r="S17" s="50" t="s">
        <v>112</v>
      </c>
      <c r="T17" s="52">
        <v>75</v>
      </c>
      <c r="U17" s="52">
        <f t="shared" si="4"/>
        <v>30</v>
      </c>
      <c r="Y17" s="91" t="s">
        <v>115</v>
      </c>
      <c r="Z17" s="92">
        <v>4.8804999999999996</v>
      </c>
      <c r="AA17" s="92">
        <f t="shared" si="5"/>
        <v>1.9521999999999999</v>
      </c>
      <c r="AB17" s="92"/>
    </row>
    <row r="18" spans="1:28" x14ac:dyDescent="0.25">
      <c r="A18" s="95">
        <v>45567</v>
      </c>
      <c r="B18" s="72" t="s">
        <v>819</v>
      </c>
      <c r="C18" s="72" t="s">
        <v>8</v>
      </c>
      <c r="D18" s="72" t="s">
        <v>766</v>
      </c>
      <c r="E18" s="72" t="s">
        <v>82</v>
      </c>
      <c r="F18" s="72">
        <v>1</v>
      </c>
      <c r="G18" s="73">
        <v>4</v>
      </c>
      <c r="H18" s="73">
        <f t="shared" si="1"/>
        <v>4</v>
      </c>
      <c r="I18" s="73">
        <f t="shared" si="2"/>
        <v>4</v>
      </c>
      <c r="J18" s="72" t="s">
        <v>79</v>
      </c>
      <c r="K18" s="74"/>
      <c r="M18" s="99"/>
      <c r="N18" s="76" t="e">
        <f t="shared" si="6"/>
        <v>#N/A</v>
      </c>
      <c r="O18" s="76"/>
      <c r="P18" s="100"/>
      <c r="S18" s="50" t="s">
        <v>14</v>
      </c>
      <c r="T18" s="52">
        <v>55</v>
      </c>
      <c r="U18" s="52">
        <f t="shared" si="4"/>
        <v>22</v>
      </c>
      <c r="Y18" s="91" t="s">
        <v>117</v>
      </c>
      <c r="Z18" s="92">
        <v>4.7504999999999997</v>
      </c>
      <c r="AA18" s="92">
        <f t="shared" si="5"/>
        <v>1.9001999999999999</v>
      </c>
    </row>
    <row r="19" spans="1:28" x14ac:dyDescent="0.25">
      <c r="A19" s="95">
        <v>45567</v>
      </c>
      <c r="B19" s="72" t="s">
        <v>820</v>
      </c>
      <c r="C19" s="72" t="s">
        <v>8</v>
      </c>
      <c r="D19" s="72" t="s">
        <v>18</v>
      </c>
      <c r="E19" s="72" t="s">
        <v>82</v>
      </c>
      <c r="F19" s="72">
        <v>3</v>
      </c>
      <c r="G19" s="73">
        <f t="shared" ref="G19:G24" si="7">VLOOKUP(D19,$S$3:$T$70,2,0)</f>
        <v>40</v>
      </c>
      <c r="H19" s="73">
        <v>135</v>
      </c>
      <c r="I19" s="73">
        <f t="shared" si="2"/>
        <v>135</v>
      </c>
      <c r="J19" s="72" t="s">
        <v>83</v>
      </c>
      <c r="K19" s="74"/>
      <c r="M19" s="99"/>
      <c r="N19" s="76" t="e">
        <f t="shared" si="6"/>
        <v>#N/A</v>
      </c>
      <c r="O19" s="76"/>
      <c r="P19" s="100"/>
      <c r="S19" s="50" t="s">
        <v>58</v>
      </c>
      <c r="T19" s="52">
        <v>100</v>
      </c>
      <c r="U19" s="52">
        <f t="shared" si="4"/>
        <v>40</v>
      </c>
      <c r="Y19" s="91" t="s">
        <v>119</v>
      </c>
      <c r="Z19" s="92">
        <v>10</v>
      </c>
      <c r="AA19" s="92">
        <f t="shared" si="5"/>
        <v>4</v>
      </c>
    </row>
    <row r="20" spans="1:28" x14ac:dyDescent="0.25">
      <c r="A20" s="95">
        <v>45567</v>
      </c>
      <c r="B20" s="72" t="s">
        <v>545</v>
      </c>
      <c r="C20" s="72" t="s">
        <v>8</v>
      </c>
      <c r="D20" s="72" t="s">
        <v>17</v>
      </c>
      <c r="E20" s="72" t="s">
        <v>82</v>
      </c>
      <c r="F20" s="72">
        <v>1</v>
      </c>
      <c r="G20" s="73">
        <f t="shared" si="7"/>
        <v>50</v>
      </c>
      <c r="H20" s="73">
        <f t="shared" ref="H20:H30" si="8">F20*G20</f>
        <v>50</v>
      </c>
      <c r="I20" s="73">
        <f t="shared" si="2"/>
        <v>50</v>
      </c>
      <c r="J20" s="72" t="s">
        <v>83</v>
      </c>
      <c r="K20" s="74"/>
      <c r="M20" s="99"/>
      <c r="N20" s="76" t="e">
        <f t="shared" si="6"/>
        <v>#N/A</v>
      </c>
      <c r="O20" s="76"/>
      <c r="P20" s="100"/>
      <c r="S20" s="50" t="s">
        <v>30</v>
      </c>
      <c r="T20" s="52">
        <v>90</v>
      </c>
      <c r="U20" s="52">
        <f t="shared" si="4"/>
        <v>36</v>
      </c>
      <c r="Y20" s="91" t="s">
        <v>122</v>
      </c>
      <c r="Z20" s="92">
        <v>10</v>
      </c>
      <c r="AA20" s="92">
        <f t="shared" si="5"/>
        <v>4</v>
      </c>
    </row>
    <row r="21" spans="1:28" x14ac:dyDescent="0.25">
      <c r="A21" s="95">
        <v>45567</v>
      </c>
      <c r="B21" s="72" t="s">
        <v>686</v>
      </c>
      <c r="C21" s="72" t="s">
        <v>8</v>
      </c>
      <c r="D21" s="72" t="s">
        <v>18</v>
      </c>
      <c r="E21" s="72" t="s">
        <v>82</v>
      </c>
      <c r="F21" s="72">
        <v>1</v>
      </c>
      <c r="G21" s="73">
        <f t="shared" si="7"/>
        <v>40</v>
      </c>
      <c r="H21" s="73">
        <f t="shared" si="8"/>
        <v>40</v>
      </c>
      <c r="I21" s="73">
        <f t="shared" si="2"/>
        <v>40</v>
      </c>
      <c r="J21" s="72" t="s">
        <v>83</v>
      </c>
      <c r="K21" s="74"/>
      <c r="M21" s="99"/>
      <c r="N21" s="76" t="e">
        <f t="shared" si="6"/>
        <v>#N/A</v>
      </c>
      <c r="O21" s="76"/>
      <c r="P21" s="100"/>
      <c r="S21" s="50" t="s">
        <v>447</v>
      </c>
      <c r="T21" s="52">
        <v>180</v>
      </c>
      <c r="U21" s="52">
        <f t="shared" si="4"/>
        <v>72</v>
      </c>
      <c r="Y21" s="91" t="s">
        <v>123</v>
      </c>
      <c r="Z21" s="92">
        <v>9.7609999999999992</v>
      </c>
      <c r="AA21" s="92">
        <f t="shared" si="5"/>
        <v>3.9043999999999999</v>
      </c>
    </row>
    <row r="22" spans="1:28" x14ac:dyDescent="0.25">
      <c r="A22" s="95">
        <v>45567</v>
      </c>
      <c r="B22" s="72" t="s">
        <v>686</v>
      </c>
      <c r="C22" s="72" t="s">
        <v>8</v>
      </c>
      <c r="D22" s="72" t="s">
        <v>777</v>
      </c>
      <c r="E22" s="72" t="s">
        <v>82</v>
      </c>
      <c r="F22" s="72">
        <v>1</v>
      </c>
      <c r="G22" s="73">
        <f t="shared" si="7"/>
        <v>4</v>
      </c>
      <c r="H22" s="73">
        <f t="shared" si="8"/>
        <v>4</v>
      </c>
      <c r="I22" s="73">
        <f t="shared" si="2"/>
        <v>4</v>
      </c>
      <c r="J22" s="72" t="s">
        <v>83</v>
      </c>
      <c r="K22" s="74"/>
      <c r="M22" s="99"/>
      <c r="N22" s="76" t="e">
        <f t="shared" si="6"/>
        <v>#N/A</v>
      </c>
      <c r="O22" s="76"/>
      <c r="P22" s="100"/>
      <c r="S22" s="50" t="s">
        <v>43</v>
      </c>
      <c r="T22" s="52">
        <v>130</v>
      </c>
      <c r="U22" s="52">
        <f t="shared" si="4"/>
        <v>52</v>
      </c>
      <c r="Y22" s="91" t="s">
        <v>125</v>
      </c>
      <c r="Z22" s="92">
        <v>9.5009999999999994</v>
      </c>
      <c r="AA22" s="92">
        <f t="shared" si="5"/>
        <v>3.8003999999999998</v>
      </c>
      <c r="AB22" s="92"/>
    </row>
    <row r="23" spans="1:28" x14ac:dyDescent="0.25">
      <c r="A23" s="95">
        <v>45567</v>
      </c>
      <c r="B23" s="72" t="s">
        <v>238</v>
      </c>
      <c r="C23" s="72" t="s">
        <v>8</v>
      </c>
      <c r="D23" s="72" t="s">
        <v>16</v>
      </c>
      <c r="E23" s="72" t="s">
        <v>82</v>
      </c>
      <c r="F23" s="72">
        <v>1</v>
      </c>
      <c r="G23" s="73">
        <f t="shared" si="7"/>
        <v>80</v>
      </c>
      <c r="H23" s="73">
        <f t="shared" si="8"/>
        <v>80</v>
      </c>
      <c r="I23" s="73">
        <f t="shared" si="2"/>
        <v>80</v>
      </c>
      <c r="J23" s="72" t="s">
        <v>83</v>
      </c>
      <c r="K23" s="74"/>
      <c r="M23" s="99"/>
      <c r="N23" s="76" t="e">
        <f t="shared" si="6"/>
        <v>#N/A</v>
      </c>
      <c r="O23" s="76"/>
      <c r="P23" s="100"/>
      <c r="S23" s="50" t="s">
        <v>449</v>
      </c>
      <c r="T23" s="52">
        <v>240</v>
      </c>
      <c r="U23" s="52">
        <f t="shared" si="4"/>
        <v>96</v>
      </c>
      <c r="Y23" s="91" t="s">
        <v>126</v>
      </c>
      <c r="Z23" s="92">
        <v>10</v>
      </c>
      <c r="AA23" s="92">
        <f t="shared" si="5"/>
        <v>4</v>
      </c>
      <c r="AB23" s="92"/>
    </row>
    <row r="24" spans="1:28" x14ac:dyDescent="0.25">
      <c r="A24" s="95">
        <v>45567</v>
      </c>
      <c r="B24" s="72" t="s">
        <v>504</v>
      </c>
      <c r="C24" s="72" t="s">
        <v>8</v>
      </c>
      <c r="D24" s="72" t="s">
        <v>18</v>
      </c>
      <c r="E24" s="72" t="s">
        <v>56</v>
      </c>
      <c r="F24" s="72">
        <v>1</v>
      </c>
      <c r="G24" s="73">
        <f t="shared" si="7"/>
        <v>40</v>
      </c>
      <c r="H24" s="73">
        <f t="shared" si="8"/>
        <v>40</v>
      </c>
      <c r="I24" s="73">
        <f t="shared" si="2"/>
        <v>38.003999999999998</v>
      </c>
      <c r="J24" s="72" t="s">
        <v>86</v>
      </c>
      <c r="K24" s="74"/>
      <c r="M24" s="99"/>
      <c r="N24" s="76" t="e">
        <f t="shared" si="6"/>
        <v>#N/A</v>
      </c>
      <c r="O24" s="76"/>
      <c r="P24" s="100"/>
      <c r="S24" s="50" t="s">
        <v>16</v>
      </c>
      <c r="T24" s="52">
        <v>80</v>
      </c>
      <c r="U24" s="52">
        <f t="shared" si="4"/>
        <v>32</v>
      </c>
      <c r="Y24" s="91" t="s">
        <v>128</v>
      </c>
      <c r="Z24" s="92">
        <v>10</v>
      </c>
      <c r="AA24" s="92">
        <f t="shared" si="5"/>
        <v>4</v>
      </c>
    </row>
    <row r="25" spans="1:28" x14ac:dyDescent="0.25">
      <c r="A25" s="95">
        <v>45567</v>
      </c>
      <c r="B25" s="72" t="s">
        <v>504</v>
      </c>
      <c r="C25" s="72" t="s">
        <v>8</v>
      </c>
      <c r="D25" s="72" t="s">
        <v>48</v>
      </c>
      <c r="E25" s="72" t="s">
        <v>56</v>
      </c>
      <c r="F25" s="72">
        <v>1</v>
      </c>
      <c r="G25" s="73">
        <v>11</v>
      </c>
      <c r="H25" s="73">
        <f t="shared" si="8"/>
        <v>11</v>
      </c>
      <c r="I25" s="73">
        <f t="shared" si="2"/>
        <v>10.4511</v>
      </c>
      <c r="J25" s="72" t="s">
        <v>86</v>
      </c>
      <c r="K25" s="74"/>
      <c r="M25" s="99"/>
      <c r="N25" s="76" t="e">
        <f t="shared" si="6"/>
        <v>#N/A</v>
      </c>
      <c r="O25" s="76"/>
      <c r="P25" s="100"/>
      <c r="S25" s="50" t="s">
        <v>821</v>
      </c>
      <c r="T25" s="52">
        <v>140</v>
      </c>
      <c r="U25" s="52">
        <f t="shared" si="4"/>
        <v>56</v>
      </c>
      <c r="Y25" s="91" t="s">
        <v>130</v>
      </c>
      <c r="Z25" s="92">
        <v>9.7609999999999992</v>
      </c>
      <c r="AA25" s="92">
        <f t="shared" si="5"/>
        <v>3.9043999999999999</v>
      </c>
    </row>
    <row r="26" spans="1:28" x14ac:dyDescent="0.25">
      <c r="A26" s="95">
        <v>45568</v>
      </c>
      <c r="B26" s="72" t="s">
        <v>174</v>
      </c>
      <c r="C26" s="72" t="s">
        <v>8</v>
      </c>
      <c r="D26" s="72" t="s">
        <v>18</v>
      </c>
      <c r="E26" s="72" t="s">
        <v>56</v>
      </c>
      <c r="F26" s="72">
        <v>1</v>
      </c>
      <c r="G26" s="73">
        <f t="shared" ref="G26:G65" si="9">VLOOKUP(D26,$S$3:$T$70,2,0)</f>
        <v>40</v>
      </c>
      <c r="H26" s="73">
        <f t="shared" si="8"/>
        <v>40</v>
      </c>
      <c r="I26" s="73">
        <f t="shared" si="2"/>
        <v>40</v>
      </c>
      <c r="J26" s="72" t="s">
        <v>83</v>
      </c>
      <c r="K26" s="74"/>
      <c r="M26" s="99" t="s">
        <v>18</v>
      </c>
      <c r="N26" s="76">
        <f t="shared" si="6"/>
        <v>16</v>
      </c>
      <c r="O26" s="76">
        <f>N26*F26</f>
        <v>16</v>
      </c>
      <c r="P26" s="100" t="s">
        <v>56</v>
      </c>
      <c r="S26" s="50" t="s">
        <v>121</v>
      </c>
      <c r="T26" s="52">
        <v>130</v>
      </c>
      <c r="U26" s="52">
        <f t="shared" si="4"/>
        <v>52</v>
      </c>
      <c r="Y26" s="91" t="s">
        <v>132</v>
      </c>
      <c r="Z26" s="92">
        <v>9.5009999999999994</v>
      </c>
      <c r="AA26" s="92">
        <f t="shared" si="5"/>
        <v>3.8003999999999998</v>
      </c>
    </row>
    <row r="27" spans="1:28" x14ac:dyDescent="0.25">
      <c r="A27" s="95">
        <v>45568</v>
      </c>
      <c r="B27" s="72" t="s">
        <v>483</v>
      </c>
      <c r="C27" s="72" t="s">
        <v>8</v>
      </c>
      <c r="D27" s="72" t="s">
        <v>18</v>
      </c>
      <c r="E27" s="72" t="s">
        <v>82</v>
      </c>
      <c r="F27" s="72">
        <v>1</v>
      </c>
      <c r="G27" s="73">
        <f t="shared" si="9"/>
        <v>40</v>
      </c>
      <c r="H27" s="73">
        <f t="shared" si="8"/>
        <v>40</v>
      </c>
      <c r="I27" s="73">
        <f t="shared" si="2"/>
        <v>40</v>
      </c>
      <c r="J27" s="72" t="s">
        <v>83</v>
      </c>
      <c r="K27" s="74"/>
      <c r="M27" s="99"/>
      <c r="N27" s="76" t="e">
        <f t="shared" si="6"/>
        <v>#N/A</v>
      </c>
      <c r="O27" s="76"/>
      <c r="P27" s="100"/>
      <c r="S27" s="50" t="s">
        <v>60</v>
      </c>
      <c r="T27" s="52">
        <v>90</v>
      </c>
      <c r="U27" s="52">
        <f t="shared" si="4"/>
        <v>36</v>
      </c>
      <c r="Y27" s="91" t="s">
        <v>134</v>
      </c>
      <c r="Z27" s="92">
        <v>20</v>
      </c>
      <c r="AA27" s="92">
        <f t="shared" si="5"/>
        <v>8</v>
      </c>
    </row>
    <row r="28" spans="1:28" x14ac:dyDescent="0.25">
      <c r="A28" s="95">
        <v>45568</v>
      </c>
      <c r="B28" s="72" t="s">
        <v>517</v>
      </c>
      <c r="C28" s="72" t="s">
        <v>8</v>
      </c>
      <c r="D28" s="72" t="s">
        <v>18</v>
      </c>
      <c r="E28" s="72" t="s">
        <v>82</v>
      </c>
      <c r="F28" s="72">
        <v>1</v>
      </c>
      <c r="G28" s="73">
        <f t="shared" si="9"/>
        <v>40</v>
      </c>
      <c r="H28" s="73">
        <f t="shared" si="8"/>
        <v>40</v>
      </c>
      <c r="I28" s="73">
        <f t="shared" si="2"/>
        <v>40</v>
      </c>
      <c r="J28" s="72" t="s">
        <v>79</v>
      </c>
      <c r="K28" s="74"/>
      <c r="M28" s="99"/>
      <c r="N28" s="76" t="e">
        <f t="shared" si="6"/>
        <v>#N/A</v>
      </c>
      <c r="O28" s="76"/>
      <c r="P28" s="100"/>
      <c r="S28" s="50" t="s">
        <v>600</v>
      </c>
      <c r="T28" s="52">
        <v>50</v>
      </c>
      <c r="U28" s="52">
        <f t="shared" si="4"/>
        <v>20</v>
      </c>
      <c r="Y28" s="91" t="s">
        <v>136</v>
      </c>
      <c r="Z28" s="92">
        <v>20</v>
      </c>
      <c r="AA28" s="92">
        <f t="shared" si="5"/>
        <v>8</v>
      </c>
      <c r="AB28" s="92"/>
    </row>
    <row r="29" spans="1:28" x14ac:dyDescent="0.25">
      <c r="A29" s="95">
        <v>45568</v>
      </c>
      <c r="B29" s="72" t="s">
        <v>708</v>
      </c>
      <c r="C29" s="72" t="s">
        <v>8</v>
      </c>
      <c r="D29" s="72" t="s">
        <v>40</v>
      </c>
      <c r="E29" s="72" t="s">
        <v>82</v>
      </c>
      <c r="F29" s="72">
        <v>1</v>
      </c>
      <c r="G29" s="73">
        <f t="shared" si="9"/>
        <v>45</v>
      </c>
      <c r="H29" s="73">
        <f t="shared" si="8"/>
        <v>45</v>
      </c>
      <c r="I29" s="73">
        <f t="shared" si="2"/>
        <v>45</v>
      </c>
      <c r="J29" s="72" t="s">
        <v>83</v>
      </c>
      <c r="K29" s="74"/>
      <c r="M29" s="99"/>
      <c r="N29" s="76" t="e">
        <f t="shared" si="6"/>
        <v>#N/A</v>
      </c>
      <c r="O29" s="76"/>
      <c r="P29" s="100"/>
      <c r="S29" s="50" t="s">
        <v>20</v>
      </c>
      <c r="T29" s="52">
        <v>15</v>
      </c>
      <c r="U29" s="52">
        <f t="shared" si="4"/>
        <v>6</v>
      </c>
      <c r="Y29" s="91" t="s">
        <v>137</v>
      </c>
      <c r="Z29" s="92">
        <v>19.521999999999998</v>
      </c>
      <c r="AA29" s="92">
        <f t="shared" si="5"/>
        <v>7.8087999999999997</v>
      </c>
      <c r="AB29" s="92"/>
    </row>
    <row r="30" spans="1:28" x14ac:dyDescent="0.25">
      <c r="A30" s="95">
        <v>45568</v>
      </c>
      <c r="B30" s="72" t="s">
        <v>225</v>
      </c>
      <c r="C30" s="72" t="s">
        <v>8</v>
      </c>
      <c r="D30" s="72" t="s">
        <v>18</v>
      </c>
      <c r="E30" s="72" t="s">
        <v>56</v>
      </c>
      <c r="F30" s="72">
        <v>1</v>
      </c>
      <c r="G30" s="73">
        <f t="shared" si="9"/>
        <v>40</v>
      </c>
      <c r="H30" s="73">
        <f t="shared" si="8"/>
        <v>40</v>
      </c>
      <c r="I30" s="73">
        <f t="shared" si="2"/>
        <v>40</v>
      </c>
      <c r="J30" s="72" t="s">
        <v>83</v>
      </c>
      <c r="K30" s="74"/>
      <c r="M30" s="99" t="s">
        <v>18</v>
      </c>
      <c r="N30" s="76">
        <f t="shared" si="6"/>
        <v>16</v>
      </c>
      <c r="O30" s="76">
        <f>N30*F30</f>
        <v>16</v>
      </c>
      <c r="P30" s="100" t="s">
        <v>56</v>
      </c>
      <c r="S30" s="50" t="s">
        <v>31</v>
      </c>
      <c r="T30" s="52">
        <v>15</v>
      </c>
      <c r="U30" s="52">
        <f t="shared" si="4"/>
        <v>6</v>
      </c>
      <c r="Y30" s="91" t="s">
        <v>139</v>
      </c>
      <c r="Z30" s="92">
        <v>19.001999999999999</v>
      </c>
      <c r="AA30" s="92">
        <f t="shared" si="5"/>
        <v>7.6007999999999996</v>
      </c>
      <c r="AB30" s="92"/>
    </row>
    <row r="31" spans="1:28" x14ac:dyDescent="0.25">
      <c r="A31" s="95">
        <v>45568</v>
      </c>
      <c r="B31" s="72" t="s">
        <v>504</v>
      </c>
      <c r="C31" s="72" t="s">
        <v>8</v>
      </c>
      <c r="D31" s="72" t="s">
        <v>15</v>
      </c>
      <c r="E31" s="72" t="s">
        <v>82</v>
      </c>
      <c r="F31" s="72">
        <v>2</v>
      </c>
      <c r="G31" s="73">
        <f t="shared" si="9"/>
        <v>70</v>
      </c>
      <c r="H31" s="73">
        <v>110</v>
      </c>
      <c r="I31" s="73">
        <f t="shared" si="2"/>
        <v>110</v>
      </c>
      <c r="J31" s="72" t="s">
        <v>79</v>
      </c>
      <c r="K31" s="74"/>
      <c r="M31" s="99"/>
      <c r="N31" s="76" t="e">
        <f t="shared" si="6"/>
        <v>#N/A</v>
      </c>
      <c r="O31" s="76"/>
      <c r="P31" s="100"/>
      <c r="Q31" s="106"/>
      <c r="S31" s="50" t="s">
        <v>25</v>
      </c>
      <c r="T31" s="52">
        <v>30</v>
      </c>
      <c r="U31" s="52">
        <f t="shared" si="4"/>
        <v>12</v>
      </c>
      <c r="Y31" s="91" t="s">
        <v>141</v>
      </c>
      <c r="Z31" s="92">
        <v>40</v>
      </c>
      <c r="AA31" s="92">
        <f t="shared" si="5"/>
        <v>16</v>
      </c>
    </row>
    <row r="32" spans="1:28" x14ac:dyDescent="0.25">
      <c r="A32" s="95">
        <v>45568</v>
      </c>
      <c r="B32" s="72" t="s">
        <v>638</v>
      </c>
      <c r="C32" s="72" t="s">
        <v>8</v>
      </c>
      <c r="D32" s="72" t="s">
        <v>19</v>
      </c>
      <c r="E32" s="72" t="s">
        <v>82</v>
      </c>
      <c r="F32" s="72">
        <v>1</v>
      </c>
      <c r="G32" s="73">
        <f t="shared" si="9"/>
        <v>40</v>
      </c>
      <c r="H32" s="73">
        <f t="shared" ref="H32:H63" si="10">F32*G32</f>
        <v>40</v>
      </c>
      <c r="I32" s="73">
        <f t="shared" si="2"/>
        <v>40</v>
      </c>
      <c r="J32" s="72" t="s">
        <v>79</v>
      </c>
      <c r="K32" s="74"/>
      <c r="M32" s="99"/>
      <c r="N32" s="76" t="e">
        <f t="shared" si="6"/>
        <v>#N/A</v>
      </c>
      <c r="O32" s="76"/>
      <c r="P32" s="100"/>
      <c r="S32" s="50" t="s">
        <v>131</v>
      </c>
      <c r="T32" s="52">
        <v>30</v>
      </c>
      <c r="U32" s="52">
        <f t="shared" ref="U32:U70" si="11">T32*0.1</f>
        <v>3</v>
      </c>
      <c r="Y32" s="91" t="s">
        <v>144</v>
      </c>
      <c r="Z32" s="92">
        <v>40</v>
      </c>
      <c r="AA32" s="92">
        <f t="shared" si="5"/>
        <v>16</v>
      </c>
    </row>
    <row r="33" spans="1:27" x14ac:dyDescent="0.25">
      <c r="A33" s="95">
        <v>45568</v>
      </c>
      <c r="B33" s="72" t="s">
        <v>109</v>
      </c>
      <c r="C33" s="72" t="s">
        <v>8</v>
      </c>
      <c r="D33" s="72" t="s">
        <v>19</v>
      </c>
      <c r="E33" s="72" t="s">
        <v>56</v>
      </c>
      <c r="F33" s="72">
        <v>1</v>
      </c>
      <c r="G33" s="73">
        <f t="shared" si="9"/>
        <v>40</v>
      </c>
      <c r="H33" s="73">
        <f t="shared" si="10"/>
        <v>40</v>
      </c>
      <c r="I33" s="73">
        <f t="shared" si="2"/>
        <v>38.003999999999998</v>
      </c>
      <c r="J33" s="72" t="s">
        <v>86</v>
      </c>
      <c r="K33" s="74"/>
      <c r="M33" s="99" t="s">
        <v>18</v>
      </c>
      <c r="N33" s="76">
        <f t="shared" si="6"/>
        <v>16</v>
      </c>
      <c r="O33" s="76">
        <f>N33*F33</f>
        <v>16</v>
      </c>
      <c r="P33" s="100" t="s">
        <v>56</v>
      </c>
      <c r="S33" s="50" t="s">
        <v>64</v>
      </c>
      <c r="T33" s="52">
        <v>30</v>
      </c>
      <c r="U33" s="52">
        <f t="shared" si="11"/>
        <v>3</v>
      </c>
      <c r="Y33" s="91" t="s">
        <v>146</v>
      </c>
      <c r="Z33" s="92">
        <v>39.043999999999997</v>
      </c>
      <c r="AA33" s="92">
        <f t="shared" si="5"/>
        <v>15.617599999999999</v>
      </c>
    </row>
    <row r="34" spans="1:27" x14ac:dyDescent="0.25">
      <c r="A34" s="95">
        <v>45568</v>
      </c>
      <c r="B34" s="72" t="s">
        <v>822</v>
      </c>
      <c r="C34" s="72" t="s">
        <v>10</v>
      </c>
      <c r="D34" s="72" t="s">
        <v>18</v>
      </c>
      <c r="E34" s="72" t="s">
        <v>82</v>
      </c>
      <c r="F34" s="72">
        <v>1</v>
      </c>
      <c r="G34" s="73">
        <f t="shared" si="9"/>
        <v>40</v>
      </c>
      <c r="H34" s="73">
        <f t="shared" si="10"/>
        <v>40</v>
      </c>
      <c r="I34" s="73">
        <f t="shared" si="2"/>
        <v>40</v>
      </c>
      <c r="J34" s="72" t="s">
        <v>83</v>
      </c>
      <c r="K34" s="74"/>
      <c r="M34" s="99"/>
      <c r="N34" s="76" t="e">
        <f t="shared" si="6"/>
        <v>#N/A</v>
      </c>
      <c r="O34" s="76"/>
      <c r="P34" s="100"/>
      <c r="S34" s="50" t="s">
        <v>97</v>
      </c>
      <c r="T34" s="52">
        <v>30</v>
      </c>
      <c r="U34" s="52">
        <f t="shared" si="11"/>
        <v>3</v>
      </c>
      <c r="Y34" s="91" t="s">
        <v>148</v>
      </c>
      <c r="Z34" s="92">
        <v>38.003999999999998</v>
      </c>
      <c r="AA34" s="92">
        <f t="shared" si="5"/>
        <v>15.201599999999999</v>
      </c>
    </row>
    <row r="35" spans="1:27" x14ac:dyDescent="0.25">
      <c r="A35" s="95">
        <v>45569</v>
      </c>
      <c r="B35" s="72" t="s">
        <v>554</v>
      </c>
      <c r="C35" s="72" t="s">
        <v>8</v>
      </c>
      <c r="D35" s="72" t="s">
        <v>22</v>
      </c>
      <c r="E35" s="72" t="s">
        <v>82</v>
      </c>
      <c r="F35" s="72">
        <v>2</v>
      </c>
      <c r="G35" s="73">
        <f t="shared" si="9"/>
        <v>30</v>
      </c>
      <c r="H35" s="73">
        <f t="shared" si="10"/>
        <v>60</v>
      </c>
      <c r="I35" s="73">
        <f t="shared" si="2"/>
        <v>60</v>
      </c>
      <c r="J35" s="72" t="s">
        <v>79</v>
      </c>
      <c r="K35" s="74"/>
      <c r="M35" s="99"/>
      <c r="N35" s="76" t="e">
        <f t="shared" si="6"/>
        <v>#N/A</v>
      </c>
      <c r="O35" s="76"/>
      <c r="P35" s="100"/>
      <c r="S35" s="50" t="s">
        <v>603</v>
      </c>
      <c r="T35" s="52">
        <v>35</v>
      </c>
      <c r="U35" s="52">
        <f t="shared" si="11"/>
        <v>3.5</v>
      </c>
      <c r="Y35" s="91" t="s">
        <v>150</v>
      </c>
      <c r="Z35" s="92">
        <v>30</v>
      </c>
      <c r="AA35" s="92">
        <f t="shared" ref="AA35:AA66" si="12">Z35*0.4</f>
        <v>12</v>
      </c>
    </row>
    <row r="36" spans="1:27" x14ac:dyDescent="0.25">
      <c r="A36" s="95">
        <v>45569</v>
      </c>
      <c r="B36" s="72" t="s">
        <v>823</v>
      </c>
      <c r="C36" s="72" t="s">
        <v>8</v>
      </c>
      <c r="D36" s="72" t="s">
        <v>15</v>
      </c>
      <c r="E36" s="72" t="s">
        <v>82</v>
      </c>
      <c r="F36" s="72">
        <v>1</v>
      </c>
      <c r="G36" s="73">
        <f t="shared" si="9"/>
        <v>70</v>
      </c>
      <c r="H36" s="73">
        <f t="shared" si="10"/>
        <v>70</v>
      </c>
      <c r="I36" s="73">
        <f t="shared" si="2"/>
        <v>70</v>
      </c>
      <c r="J36" s="72" t="s">
        <v>83</v>
      </c>
      <c r="K36" s="74"/>
      <c r="M36" s="99"/>
      <c r="N36" s="76" t="e">
        <f t="shared" si="6"/>
        <v>#N/A</v>
      </c>
      <c r="O36" s="76"/>
      <c r="P36" s="100"/>
      <c r="S36" s="50" t="s">
        <v>607</v>
      </c>
      <c r="T36" s="52">
        <v>35</v>
      </c>
      <c r="U36" s="52">
        <f t="shared" si="11"/>
        <v>3.5</v>
      </c>
      <c r="Y36" s="91" t="s">
        <v>153</v>
      </c>
      <c r="Z36" s="92">
        <v>30</v>
      </c>
      <c r="AA36" s="92">
        <f t="shared" si="12"/>
        <v>12</v>
      </c>
    </row>
    <row r="37" spans="1:27" x14ac:dyDescent="0.25">
      <c r="A37" s="95">
        <v>45569</v>
      </c>
      <c r="B37" s="72" t="s">
        <v>823</v>
      </c>
      <c r="C37" s="72" t="s">
        <v>8</v>
      </c>
      <c r="D37" s="72" t="s">
        <v>37</v>
      </c>
      <c r="E37" s="72" t="s">
        <v>82</v>
      </c>
      <c r="F37" s="72">
        <v>1</v>
      </c>
      <c r="G37" s="73">
        <f t="shared" si="9"/>
        <v>7</v>
      </c>
      <c r="H37" s="73">
        <f t="shared" si="10"/>
        <v>7</v>
      </c>
      <c r="I37" s="73">
        <f t="shared" si="2"/>
        <v>7</v>
      </c>
      <c r="J37" s="72" t="s">
        <v>83</v>
      </c>
      <c r="K37" s="74"/>
      <c r="M37" s="99"/>
      <c r="N37" s="76" t="e">
        <f t="shared" si="6"/>
        <v>#N/A</v>
      </c>
      <c r="O37" s="76"/>
      <c r="P37" s="100"/>
      <c r="S37" s="50" t="s">
        <v>608</v>
      </c>
      <c r="T37" s="52">
        <v>35</v>
      </c>
      <c r="U37" s="52">
        <f t="shared" si="11"/>
        <v>3.5</v>
      </c>
      <c r="Y37" s="91" t="s">
        <v>154</v>
      </c>
      <c r="Z37" s="92">
        <v>29.283000000000001</v>
      </c>
      <c r="AA37" s="92">
        <f t="shared" si="12"/>
        <v>11.713200000000001</v>
      </c>
    </row>
    <row r="38" spans="1:27" x14ac:dyDescent="0.25">
      <c r="A38" s="95">
        <v>45569</v>
      </c>
      <c r="B38" s="72" t="s">
        <v>561</v>
      </c>
      <c r="C38" s="72" t="s">
        <v>8</v>
      </c>
      <c r="D38" s="72" t="s">
        <v>17</v>
      </c>
      <c r="E38" s="72" t="s">
        <v>82</v>
      </c>
      <c r="F38" s="72">
        <v>1</v>
      </c>
      <c r="G38" s="73">
        <f t="shared" si="9"/>
        <v>50</v>
      </c>
      <c r="H38" s="73">
        <f t="shared" si="10"/>
        <v>50</v>
      </c>
      <c r="I38" s="73">
        <f t="shared" si="2"/>
        <v>47.505000000000003</v>
      </c>
      <c r="J38" s="72" t="s">
        <v>86</v>
      </c>
      <c r="K38" s="74"/>
      <c r="M38" s="99"/>
      <c r="N38" s="76" t="e">
        <f t="shared" si="6"/>
        <v>#N/A</v>
      </c>
      <c r="O38" s="76"/>
      <c r="P38" s="100"/>
      <c r="S38" s="50" t="s">
        <v>39</v>
      </c>
      <c r="T38" s="52">
        <v>10</v>
      </c>
      <c r="U38" s="52">
        <f t="shared" si="11"/>
        <v>1</v>
      </c>
      <c r="Y38" s="91" t="s">
        <v>156</v>
      </c>
      <c r="Z38" s="92">
        <v>28.503</v>
      </c>
      <c r="AA38" s="92">
        <f t="shared" si="12"/>
        <v>11.401200000000001</v>
      </c>
    </row>
    <row r="39" spans="1:27" x14ac:dyDescent="0.25">
      <c r="A39" s="95">
        <v>45569</v>
      </c>
      <c r="B39" s="72" t="s">
        <v>204</v>
      </c>
      <c r="C39" s="72" t="s">
        <v>8</v>
      </c>
      <c r="D39" s="72" t="s">
        <v>17</v>
      </c>
      <c r="E39" s="72" t="s">
        <v>82</v>
      </c>
      <c r="F39" s="72">
        <v>1</v>
      </c>
      <c r="G39" s="73">
        <f t="shared" si="9"/>
        <v>50</v>
      </c>
      <c r="H39" s="73">
        <f t="shared" si="10"/>
        <v>50</v>
      </c>
      <c r="I39" s="73">
        <f t="shared" si="2"/>
        <v>50</v>
      </c>
      <c r="J39" s="72" t="s">
        <v>79</v>
      </c>
      <c r="K39" s="74"/>
      <c r="M39" s="99"/>
      <c r="N39" s="76" t="e">
        <f t="shared" si="6"/>
        <v>#N/A</v>
      </c>
      <c r="O39" s="76"/>
      <c r="P39" s="100"/>
      <c r="S39" s="50" t="s">
        <v>63</v>
      </c>
      <c r="T39" s="52">
        <v>20</v>
      </c>
      <c r="U39" s="52">
        <f t="shared" si="11"/>
        <v>2</v>
      </c>
      <c r="Y39" s="91" t="s">
        <v>158</v>
      </c>
      <c r="Z39" s="92">
        <v>60</v>
      </c>
      <c r="AA39" s="92">
        <f t="shared" si="12"/>
        <v>24</v>
      </c>
    </row>
    <row r="40" spans="1:27" x14ac:dyDescent="0.25">
      <c r="A40" s="95">
        <v>45569</v>
      </c>
      <c r="B40" s="72" t="s">
        <v>547</v>
      </c>
      <c r="C40" s="72" t="s">
        <v>8</v>
      </c>
      <c r="D40" s="72" t="s">
        <v>18</v>
      </c>
      <c r="E40" s="72" t="s">
        <v>82</v>
      </c>
      <c r="F40" s="72">
        <v>1</v>
      </c>
      <c r="G40" s="73">
        <f t="shared" si="9"/>
        <v>40</v>
      </c>
      <c r="H40" s="73">
        <f t="shared" si="10"/>
        <v>40</v>
      </c>
      <c r="I40" s="73">
        <f t="shared" si="2"/>
        <v>40</v>
      </c>
      <c r="J40" s="72" t="s">
        <v>79</v>
      </c>
      <c r="K40" s="74"/>
      <c r="M40" s="99"/>
      <c r="N40" s="76" t="e">
        <f t="shared" si="6"/>
        <v>#N/A</v>
      </c>
      <c r="O40" s="76"/>
      <c r="P40" s="100"/>
      <c r="S40" s="50" t="s">
        <v>34</v>
      </c>
      <c r="T40" s="52">
        <v>10</v>
      </c>
      <c r="U40" s="52">
        <f t="shared" si="11"/>
        <v>1</v>
      </c>
      <c r="Y40" s="91" t="s">
        <v>161</v>
      </c>
      <c r="Z40" s="92">
        <v>60</v>
      </c>
      <c r="AA40" s="92">
        <f t="shared" si="12"/>
        <v>24</v>
      </c>
    </row>
    <row r="41" spans="1:27" x14ac:dyDescent="0.25">
      <c r="A41" s="95">
        <v>45569</v>
      </c>
      <c r="B41" s="72" t="s">
        <v>824</v>
      </c>
      <c r="C41" s="72" t="s">
        <v>8</v>
      </c>
      <c r="D41" s="72" t="s">
        <v>821</v>
      </c>
      <c r="E41" s="72" t="s">
        <v>82</v>
      </c>
      <c r="F41" s="72">
        <v>1</v>
      </c>
      <c r="G41" s="73">
        <f t="shared" si="9"/>
        <v>140</v>
      </c>
      <c r="H41" s="73">
        <f t="shared" si="10"/>
        <v>140</v>
      </c>
      <c r="I41" s="73">
        <f t="shared" si="2"/>
        <v>140</v>
      </c>
      <c r="J41" s="72" t="s">
        <v>83</v>
      </c>
      <c r="K41" s="74"/>
      <c r="M41" s="99"/>
      <c r="N41" s="76" t="e">
        <f t="shared" si="6"/>
        <v>#N/A</v>
      </c>
      <c r="O41" s="76"/>
      <c r="P41" s="100"/>
      <c r="S41" s="50" t="s">
        <v>36</v>
      </c>
      <c r="T41" s="52">
        <v>30</v>
      </c>
      <c r="U41" s="52">
        <f t="shared" si="11"/>
        <v>3</v>
      </c>
      <c r="Y41" s="91" t="s">
        <v>163</v>
      </c>
      <c r="Z41" s="92">
        <v>58.566000000000003</v>
      </c>
      <c r="AA41" s="92">
        <f t="shared" si="12"/>
        <v>23.426400000000001</v>
      </c>
    </row>
    <row r="42" spans="1:27" x14ac:dyDescent="0.25">
      <c r="A42" s="95">
        <v>45569</v>
      </c>
      <c r="B42" s="72" t="s">
        <v>634</v>
      </c>
      <c r="C42" s="72" t="s">
        <v>8</v>
      </c>
      <c r="D42" s="72" t="s">
        <v>18</v>
      </c>
      <c r="E42" s="72" t="s">
        <v>56</v>
      </c>
      <c r="F42" s="72">
        <v>1</v>
      </c>
      <c r="G42" s="73">
        <f t="shared" si="9"/>
        <v>40</v>
      </c>
      <c r="H42" s="73">
        <f t="shared" si="10"/>
        <v>40</v>
      </c>
      <c r="I42" s="73">
        <f t="shared" si="2"/>
        <v>40</v>
      </c>
      <c r="J42" s="72" t="s">
        <v>83</v>
      </c>
      <c r="K42" s="74"/>
      <c r="M42" s="99" t="s">
        <v>18</v>
      </c>
      <c r="N42" s="76">
        <f t="shared" si="6"/>
        <v>16</v>
      </c>
      <c r="O42" s="76">
        <f>N42*F42</f>
        <v>16</v>
      </c>
      <c r="P42" s="100" t="s">
        <v>56</v>
      </c>
      <c r="S42" s="50" t="s">
        <v>143</v>
      </c>
      <c r="T42" s="52">
        <v>35</v>
      </c>
      <c r="U42" s="52">
        <f t="shared" si="11"/>
        <v>3.5</v>
      </c>
      <c r="Y42" s="91" t="s">
        <v>165</v>
      </c>
      <c r="Z42" s="92">
        <v>57.006</v>
      </c>
      <c r="AA42" s="92">
        <f t="shared" si="12"/>
        <v>22.802400000000002</v>
      </c>
    </row>
    <row r="43" spans="1:27" x14ac:dyDescent="0.25">
      <c r="A43" s="95">
        <v>45569</v>
      </c>
      <c r="B43" s="72" t="s">
        <v>204</v>
      </c>
      <c r="C43" s="72" t="s">
        <v>8</v>
      </c>
      <c r="D43" s="72" t="s">
        <v>17</v>
      </c>
      <c r="E43" s="72" t="s">
        <v>56</v>
      </c>
      <c r="F43" s="72">
        <v>1</v>
      </c>
      <c r="G43" s="73">
        <f t="shared" si="9"/>
        <v>50</v>
      </c>
      <c r="H43" s="73">
        <f t="shared" si="10"/>
        <v>50</v>
      </c>
      <c r="I43" s="73">
        <f t="shared" si="2"/>
        <v>48.805</v>
      </c>
      <c r="J43" s="72" t="s">
        <v>78</v>
      </c>
      <c r="K43" s="74"/>
      <c r="M43" s="99" t="s">
        <v>17</v>
      </c>
      <c r="N43" s="76">
        <f t="shared" si="6"/>
        <v>20</v>
      </c>
      <c r="O43" s="76">
        <f>N43*F43</f>
        <v>20</v>
      </c>
      <c r="P43" s="100" t="s">
        <v>56</v>
      </c>
      <c r="S43" s="50" t="s">
        <v>33</v>
      </c>
      <c r="T43" s="52">
        <v>35</v>
      </c>
      <c r="U43" s="52">
        <f t="shared" si="11"/>
        <v>3.5</v>
      </c>
      <c r="Y43" s="91" t="s">
        <v>167</v>
      </c>
      <c r="Z43" s="92">
        <v>15</v>
      </c>
      <c r="AA43" s="92">
        <f t="shared" si="12"/>
        <v>6</v>
      </c>
    </row>
    <row r="44" spans="1:27" x14ac:dyDescent="0.25">
      <c r="A44" s="95">
        <v>45569</v>
      </c>
      <c r="B44" s="72" t="s">
        <v>825</v>
      </c>
      <c r="C44" s="72" t="s">
        <v>8</v>
      </c>
      <c r="D44" s="72" t="s">
        <v>821</v>
      </c>
      <c r="E44" s="72" t="s">
        <v>56</v>
      </c>
      <c r="F44" s="72">
        <v>1</v>
      </c>
      <c r="G44" s="73">
        <f t="shared" si="9"/>
        <v>140</v>
      </c>
      <c r="H44" s="73">
        <f t="shared" si="10"/>
        <v>140</v>
      </c>
      <c r="I44" s="73">
        <f t="shared" si="2"/>
        <v>140</v>
      </c>
      <c r="J44" s="72" t="s">
        <v>83</v>
      </c>
      <c r="K44" s="74"/>
      <c r="M44" s="99" t="s">
        <v>821</v>
      </c>
      <c r="N44" s="76">
        <f t="shared" si="6"/>
        <v>56</v>
      </c>
      <c r="O44" s="76">
        <f>N44*F44</f>
        <v>56</v>
      </c>
      <c r="P44" s="100" t="s">
        <v>56</v>
      </c>
      <c r="S44" s="50" t="s">
        <v>26</v>
      </c>
      <c r="T44" s="52">
        <v>35</v>
      </c>
      <c r="U44" s="52">
        <f t="shared" si="11"/>
        <v>3.5</v>
      </c>
      <c r="Y44" s="91" t="s">
        <v>169</v>
      </c>
      <c r="Z44" s="92">
        <v>15</v>
      </c>
      <c r="AA44" s="92">
        <f t="shared" si="12"/>
        <v>6</v>
      </c>
    </row>
    <row r="45" spans="1:27" x14ac:dyDescent="0.25">
      <c r="A45" s="95">
        <v>45569</v>
      </c>
      <c r="B45" s="72" t="s">
        <v>734</v>
      </c>
      <c r="C45" s="72" t="s">
        <v>8</v>
      </c>
      <c r="D45" s="72" t="s">
        <v>18</v>
      </c>
      <c r="E45" s="72" t="s">
        <v>56</v>
      </c>
      <c r="F45" s="72">
        <v>1</v>
      </c>
      <c r="G45" s="73">
        <f t="shared" si="9"/>
        <v>40</v>
      </c>
      <c r="H45" s="73">
        <f t="shared" si="10"/>
        <v>40</v>
      </c>
      <c r="I45" s="73">
        <f t="shared" si="2"/>
        <v>40</v>
      </c>
      <c r="J45" s="72" t="s">
        <v>83</v>
      </c>
      <c r="K45" s="74"/>
      <c r="M45" s="99" t="s">
        <v>18</v>
      </c>
      <c r="N45" s="76">
        <f t="shared" si="6"/>
        <v>16</v>
      </c>
      <c r="O45" s="76">
        <f>N45*F45</f>
        <v>16</v>
      </c>
      <c r="P45" s="100" t="s">
        <v>56</v>
      </c>
      <c r="S45" s="50" t="s">
        <v>61</v>
      </c>
      <c r="T45" s="52">
        <v>35</v>
      </c>
      <c r="U45" s="52">
        <f t="shared" si="11"/>
        <v>3.5</v>
      </c>
      <c r="Y45" s="91" t="s">
        <v>171</v>
      </c>
      <c r="Z45" s="92">
        <v>14.641500000000001</v>
      </c>
      <c r="AA45" s="92">
        <f t="shared" si="12"/>
        <v>5.8566000000000003</v>
      </c>
    </row>
    <row r="46" spans="1:27" x14ac:dyDescent="0.25">
      <c r="A46" s="95">
        <v>45569</v>
      </c>
      <c r="B46" s="72" t="s">
        <v>820</v>
      </c>
      <c r="C46" s="72" t="s">
        <v>8</v>
      </c>
      <c r="D46" s="72" t="s">
        <v>18</v>
      </c>
      <c r="E46" s="72" t="s">
        <v>56</v>
      </c>
      <c r="F46" s="72">
        <v>1</v>
      </c>
      <c r="G46" s="73">
        <f t="shared" si="9"/>
        <v>40</v>
      </c>
      <c r="H46" s="73">
        <f t="shared" si="10"/>
        <v>40</v>
      </c>
      <c r="I46" s="73">
        <f t="shared" si="2"/>
        <v>40</v>
      </c>
      <c r="J46" s="72" t="s">
        <v>83</v>
      </c>
      <c r="K46" s="74"/>
      <c r="M46" s="99" t="s">
        <v>18</v>
      </c>
      <c r="N46" s="76">
        <f t="shared" si="6"/>
        <v>16</v>
      </c>
      <c r="O46" s="76">
        <f>N46*F46</f>
        <v>16</v>
      </c>
      <c r="P46" s="100" t="s">
        <v>56</v>
      </c>
      <c r="S46" s="50" t="s">
        <v>152</v>
      </c>
      <c r="T46" s="52">
        <v>60</v>
      </c>
      <c r="U46" s="52">
        <f t="shared" si="11"/>
        <v>6</v>
      </c>
      <c r="Y46" s="91" t="s">
        <v>173</v>
      </c>
      <c r="Z46" s="92">
        <v>14.2515</v>
      </c>
      <c r="AA46" s="92">
        <f t="shared" si="12"/>
        <v>5.7006000000000006</v>
      </c>
    </row>
    <row r="47" spans="1:27" x14ac:dyDescent="0.25">
      <c r="A47" s="95">
        <v>45570</v>
      </c>
      <c r="B47" s="72" t="s">
        <v>518</v>
      </c>
      <c r="C47" s="72" t="s">
        <v>8</v>
      </c>
      <c r="D47" s="72" t="s">
        <v>17</v>
      </c>
      <c r="E47" s="72" t="s">
        <v>82</v>
      </c>
      <c r="F47" s="72">
        <v>1</v>
      </c>
      <c r="G47" s="73">
        <f t="shared" si="9"/>
        <v>50</v>
      </c>
      <c r="H47" s="73">
        <f t="shared" si="10"/>
        <v>50</v>
      </c>
      <c r="I47" s="73">
        <f t="shared" si="2"/>
        <v>48.805</v>
      </c>
      <c r="J47" s="72" t="s">
        <v>78</v>
      </c>
      <c r="K47" s="74"/>
      <c r="M47" s="99"/>
      <c r="N47" s="76" t="e">
        <f t="shared" si="6"/>
        <v>#N/A</v>
      </c>
      <c r="O47" s="76"/>
      <c r="P47" s="100"/>
      <c r="S47" s="50" t="s">
        <v>62</v>
      </c>
      <c r="T47" s="52">
        <v>20</v>
      </c>
      <c r="U47" s="52">
        <f t="shared" si="11"/>
        <v>2</v>
      </c>
      <c r="Y47" s="91" t="s">
        <v>176</v>
      </c>
      <c r="Z47" s="92">
        <v>70</v>
      </c>
      <c r="AA47" s="92">
        <f t="shared" si="12"/>
        <v>28</v>
      </c>
    </row>
    <row r="48" spans="1:27" x14ac:dyDescent="0.25">
      <c r="A48" s="95">
        <v>45570</v>
      </c>
      <c r="B48" s="72" t="s">
        <v>550</v>
      </c>
      <c r="C48" s="72" t="s">
        <v>8</v>
      </c>
      <c r="D48" s="72" t="s">
        <v>18</v>
      </c>
      <c r="E48" s="72" t="s">
        <v>82</v>
      </c>
      <c r="F48" s="72">
        <v>1</v>
      </c>
      <c r="G48" s="73">
        <f t="shared" si="9"/>
        <v>40</v>
      </c>
      <c r="H48" s="73">
        <f t="shared" si="10"/>
        <v>40</v>
      </c>
      <c r="I48" s="73">
        <f t="shared" si="2"/>
        <v>39.043999999999997</v>
      </c>
      <c r="J48" s="72" t="s">
        <v>78</v>
      </c>
      <c r="K48" s="74"/>
      <c r="M48" s="99"/>
      <c r="N48" s="76" t="e">
        <f t="shared" ref="N48:N65" si="13">VLOOKUP(M48,$S$3:$U$70,3,0)</f>
        <v>#N/A</v>
      </c>
      <c r="O48" s="76"/>
      <c r="P48" s="100"/>
      <c r="S48" s="50" t="s">
        <v>47</v>
      </c>
      <c r="T48" s="52">
        <v>65</v>
      </c>
      <c r="U48" s="52">
        <f t="shared" si="11"/>
        <v>6.5</v>
      </c>
      <c r="Y48" s="91" t="s">
        <v>177</v>
      </c>
      <c r="Z48" s="92">
        <v>70</v>
      </c>
      <c r="AA48" s="92">
        <f t="shared" si="12"/>
        <v>28</v>
      </c>
    </row>
    <row r="49" spans="1:27" x14ac:dyDescent="0.25">
      <c r="A49" s="95">
        <v>45570</v>
      </c>
      <c r="B49" s="72" t="s">
        <v>667</v>
      </c>
      <c r="C49" s="72" t="s">
        <v>8</v>
      </c>
      <c r="D49" s="72" t="s">
        <v>18</v>
      </c>
      <c r="E49" s="72" t="s">
        <v>82</v>
      </c>
      <c r="F49" s="72">
        <v>1</v>
      </c>
      <c r="G49" s="73">
        <f t="shared" si="9"/>
        <v>40</v>
      </c>
      <c r="H49" s="73">
        <f t="shared" si="10"/>
        <v>40</v>
      </c>
      <c r="I49" s="73">
        <f t="shared" si="2"/>
        <v>39.043999999999997</v>
      </c>
      <c r="J49" s="72" t="s">
        <v>78</v>
      </c>
      <c r="K49" s="74"/>
      <c r="M49" s="99"/>
      <c r="N49" s="76" t="e">
        <f t="shared" si="13"/>
        <v>#N/A</v>
      </c>
      <c r="O49" s="76"/>
      <c r="P49" s="100"/>
      <c r="S49" s="50" t="s">
        <v>57</v>
      </c>
      <c r="T49" s="52">
        <v>40</v>
      </c>
      <c r="U49" s="52">
        <f t="shared" si="11"/>
        <v>4</v>
      </c>
      <c r="Y49" s="91" t="s">
        <v>180</v>
      </c>
      <c r="Z49" s="92">
        <v>68.326999999999998</v>
      </c>
      <c r="AA49" s="92">
        <f t="shared" si="12"/>
        <v>27.3308</v>
      </c>
    </row>
    <row r="50" spans="1:27" x14ac:dyDescent="0.25">
      <c r="A50" s="95">
        <v>45570</v>
      </c>
      <c r="B50" s="72" t="s">
        <v>204</v>
      </c>
      <c r="C50" s="72" t="s">
        <v>8</v>
      </c>
      <c r="D50" s="72" t="s">
        <v>17</v>
      </c>
      <c r="E50" s="72" t="s">
        <v>56</v>
      </c>
      <c r="F50" s="72">
        <v>1</v>
      </c>
      <c r="G50" s="73">
        <f t="shared" si="9"/>
        <v>50</v>
      </c>
      <c r="H50" s="73">
        <f t="shared" si="10"/>
        <v>50</v>
      </c>
      <c r="I50" s="73">
        <f t="shared" si="2"/>
        <v>50</v>
      </c>
      <c r="J50" s="72" t="s">
        <v>83</v>
      </c>
      <c r="K50" s="74"/>
      <c r="M50" s="99" t="s">
        <v>17</v>
      </c>
      <c r="N50" s="76">
        <f t="shared" si="13"/>
        <v>20</v>
      </c>
      <c r="O50" s="76">
        <f>N50*F50</f>
        <v>20</v>
      </c>
      <c r="P50" s="100" t="s">
        <v>56</v>
      </c>
      <c r="S50" s="50" t="s">
        <v>59</v>
      </c>
      <c r="T50" s="52"/>
      <c r="U50" s="52">
        <f t="shared" si="11"/>
        <v>0</v>
      </c>
      <c r="Y50" s="91" t="s">
        <v>181</v>
      </c>
      <c r="Z50" s="92">
        <v>66.507000000000005</v>
      </c>
      <c r="AA50" s="92">
        <f t="shared" si="12"/>
        <v>26.602800000000002</v>
      </c>
    </row>
    <row r="51" spans="1:27" x14ac:dyDescent="0.25">
      <c r="A51" s="95">
        <v>45570</v>
      </c>
      <c r="B51" s="72" t="s">
        <v>704</v>
      </c>
      <c r="C51" s="72" t="s">
        <v>8</v>
      </c>
      <c r="D51" s="72" t="s">
        <v>18</v>
      </c>
      <c r="E51" s="72" t="s">
        <v>56</v>
      </c>
      <c r="F51" s="72">
        <v>1</v>
      </c>
      <c r="G51" s="73">
        <f t="shared" si="9"/>
        <v>40</v>
      </c>
      <c r="H51" s="73">
        <f t="shared" si="10"/>
        <v>40</v>
      </c>
      <c r="I51" s="73">
        <f t="shared" si="2"/>
        <v>40</v>
      </c>
      <c r="J51" s="72" t="s">
        <v>83</v>
      </c>
      <c r="K51" s="74"/>
      <c r="M51" s="72" t="s">
        <v>18</v>
      </c>
      <c r="N51" s="76">
        <f t="shared" si="13"/>
        <v>16</v>
      </c>
      <c r="O51" s="76">
        <f>N51*F51</f>
        <v>16</v>
      </c>
      <c r="P51" s="100" t="s">
        <v>56</v>
      </c>
      <c r="S51" s="50" t="s">
        <v>160</v>
      </c>
      <c r="T51" s="52">
        <v>12</v>
      </c>
      <c r="U51" s="52">
        <f t="shared" si="11"/>
        <v>1.2000000000000002</v>
      </c>
      <c r="Y51" s="91" t="s">
        <v>184</v>
      </c>
      <c r="Z51" s="92">
        <v>75</v>
      </c>
      <c r="AA51" s="92">
        <f t="shared" si="12"/>
        <v>30</v>
      </c>
    </row>
    <row r="52" spans="1:27" x14ac:dyDescent="0.25">
      <c r="A52" s="95">
        <v>45570</v>
      </c>
      <c r="B52" s="72" t="s">
        <v>588</v>
      </c>
      <c r="C52" s="72" t="s">
        <v>8</v>
      </c>
      <c r="D52" s="72" t="s">
        <v>15</v>
      </c>
      <c r="E52" s="72" t="s">
        <v>56</v>
      </c>
      <c r="F52" s="72">
        <v>1</v>
      </c>
      <c r="G52" s="73">
        <f t="shared" si="9"/>
        <v>70</v>
      </c>
      <c r="H52" s="73">
        <f t="shared" si="10"/>
        <v>70</v>
      </c>
      <c r="I52" s="73">
        <f t="shared" si="2"/>
        <v>66.507000000000005</v>
      </c>
      <c r="J52" s="72" t="s">
        <v>86</v>
      </c>
      <c r="K52" s="74"/>
      <c r="M52" s="72" t="s">
        <v>15</v>
      </c>
      <c r="N52" s="80">
        <f t="shared" si="13"/>
        <v>28</v>
      </c>
      <c r="O52" s="76">
        <f>N52*F52</f>
        <v>28</v>
      </c>
      <c r="P52" s="100" t="s">
        <v>56</v>
      </c>
      <c r="Q52" s="106"/>
      <c r="S52" s="50" t="s">
        <v>162</v>
      </c>
      <c r="T52" s="52">
        <v>8</v>
      </c>
      <c r="U52" s="52">
        <f t="shared" si="11"/>
        <v>0.8</v>
      </c>
      <c r="Y52" s="91" t="s">
        <v>186</v>
      </c>
      <c r="Z52" s="92">
        <v>75</v>
      </c>
      <c r="AA52" s="92">
        <f t="shared" si="12"/>
        <v>30</v>
      </c>
    </row>
    <row r="53" spans="1:27" x14ac:dyDescent="0.25">
      <c r="A53" s="95">
        <v>45570</v>
      </c>
      <c r="B53" s="72" t="s">
        <v>826</v>
      </c>
      <c r="C53" s="72" t="s">
        <v>8</v>
      </c>
      <c r="D53" s="72" t="s">
        <v>17</v>
      </c>
      <c r="E53" s="72" t="s">
        <v>82</v>
      </c>
      <c r="F53" s="72">
        <v>1</v>
      </c>
      <c r="G53" s="73">
        <f t="shared" si="9"/>
        <v>50</v>
      </c>
      <c r="H53" s="73">
        <f t="shared" si="10"/>
        <v>50</v>
      </c>
      <c r="I53" s="73">
        <f t="shared" si="2"/>
        <v>47.505000000000003</v>
      </c>
      <c r="J53" s="72" t="s">
        <v>86</v>
      </c>
      <c r="K53" s="74"/>
      <c r="M53" s="99"/>
      <c r="N53" s="80" t="e">
        <f t="shared" si="13"/>
        <v>#N/A</v>
      </c>
      <c r="O53" s="76"/>
      <c r="P53" s="100"/>
      <c r="S53" s="50" t="s">
        <v>41</v>
      </c>
      <c r="T53" s="52">
        <v>7</v>
      </c>
      <c r="U53" s="52">
        <f t="shared" si="11"/>
        <v>0.70000000000000007</v>
      </c>
      <c r="Y53" s="91" t="s">
        <v>187</v>
      </c>
      <c r="Z53" s="92">
        <v>73.207499999999996</v>
      </c>
      <c r="AA53" s="92">
        <f t="shared" si="12"/>
        <v>29.283000000000001</v>
      </c>
    </row>
    <row r="54" spans="1:27" x14ac:dyDescent="0.25">
      <c r="A54" s="95">
        <v>45570</v>
      </c>
      <c r="B54" s="72" t="s">
        <v>827</v>
      </c>
      <c r="C54" s="72" t="s">
        <v>8</v>
      </c>
      <c r="D54" s="72" t="s">
        <v>17</v>
      </c>
      <c r="E54" s="72" t="s">
        <v>82</v>
      </c>
      <c r="F54" s="72">
        <v>1</v>
      </c>
      <c r="G54" s="73">
        <f t="shared" si="9"/>
        <v>50</v>
      </c>
      <c r="H54" s="73">
        <f t="shared" si="10"/>
        <v>50</v>
      </c>
      <c r="I54" s="73">
        <f t="shared" si="2"/>
        <v>50</v>
      </c>
      <c r="J54" s="72" t="s">
        <v>83</v>
      </c>
      <c r="K54" s="74"/>
      <c r="M54" s="99"/>
      <c r="N54" s="80" t="e">
        <f t="shared" si="13"/>
        <v>#N/A</v>
      </c>
      <c r="O54" s="76"/>
      <c r="P54" s="100"/>
      <c r="S54" s="50" t="s">
        <v>777</v>
      </c>
      <c r="T54" s="52">
        <v>4</v>
      </c>
      <c r="U54" s="52">
        <f t="shared" si="11"/>
        <v>0.4</v>
      </c>
      <c r="Y54" s="91" t="s">
        <v>188</v>
      </c>
      <c r="Z54" s="92">
        <v>71.257499999999993</v>
      </c>
      <c r="AA54" s="92">
        <f t="shared" si="12"/>
        <v>28.503</v>
      </c>
    </row>
    <row r="55" spans="1:27" x14ac:dyDescent="0.25">
      <c r="A55" s="95">
        <v>45570</v>
      </c>
      <c r="B55" s="72" t="s">
        <v>827</v>
      </c>
      <c r="C55" s="72" t="s">
        <v>8</v>
      </c>
      <c r="D55" s="72" t="s">
        <v>39</v>
      </c>
      <c r="E55" s="72" t="s">
        <v>82</v>
      </c>
      <c r="F55" s="72">
        <v>1</v>
      </c>
      <c r="G55" s="73">
        <f t="shared" si="9"/>
        <v>10</v>
      </c>
      <c r="H55" s="73">
        <f t="shared" si="10"/>
        <v>10</v>
      </c>
      <c r="I55" s="73">
        <f t="shared" si="2"/>
        <v>10</v>
      </c>
      <c r="J55" s="72" t="s">
        <v>83</v>
      </c>
      <c r="K55" s="74"/>
      <c r="M55" s="72"/>
      <c r="N55" s="80" t="e">
        <f t="shared" si="13"/>
        <v>#N/A</v>
      </c>
      <c r="O55" s="76"/>
      <c r="P55" s="100"/>
      <c r="S55" s="50" t="s">
        <v>778</v>
      </c>
      <c r="T55" s="52">
        <v>2.5</v>
      </c>
      <c r="U55" s="52">
        <f t="shared" si="11"/>
        <v>0.25</v>
      </c>
      <c r="Y55" s="91" t="s">
        <v>190</v>
      </c>
      <c r="Z55" s="92">
        <v>55</v>
      </c>
      <c r="AA55" s="92">
        <f t="shared" si="12"/>
        <v>22</v>
      </c>
    </row>
    <row r="56" spans="1:27" x14ac:dyDescent="0.25">
      <c r="A56" s="95">
        <v>45570</v>
      </c>
      <c r="B56" s="72" t="s">
        <v>204</v>
      </c>
      <c r="C56" s="72" t="s">
        <v>8</v>
      </c>
      <c r="D56" s="72" t="s">
        <v>15</v>
      </c>
      <c r="E56" s="72" t="s">
        <v>82</v>
      </c>
      <c r="F56" s="72">
        <v>1</v>
      </c>
      <c r="G56" s="73">
        <f t="shared" si="9"/>
        <v>70</v>
      </c>
      <c r="H56" s="73">
        <f t="shared" si="10"/>
        <v>70</v>
      </c>
      <c r="I56" s="73">
        <f t="shared" si="2"/>
        <v>66.507000000000005</v>
      </c>
      <c r="J56" s="72" t="s">
        <v>86</v>
      </c>
      <c r="K56" s="74"/>
      <c r="M56" s="72"/>
      <c r="N56" s="80" t="e">
        <f t="shared" si="13"/>
        <v>#N/A</v>
      </c>
      <c r="O56" s="76"/>
      <c r="P56" s="100"/>
      <c r="S56" s="50" t="s">
        <v>779</v>
      </c>
      <c r="T56" s="52">
        <v>3</v>
      </c>
      <c r="U56" s="52">
        <f t="shared" si="11"/>
        <v>0.30000000000000004</v>
      </c>
      <c r="Y56" s="91" t="s">
        <v>192</v>
      </c>
      <c r="Z56" s="92">
        <v>55</v>
      </c>
      <c r="AA56" s="92">
        <f t="shared" si="12"/>
        <v>22</v>
      </c>
    </row>
    <row r="57" spans="1:27" x14ac:dyDescent="0.25">
      <c r="A57" s="95">
        <v>45570</v>
      </c>
      <c r="B57" s="72" t="s">
        <v>182</v>
      </c>
      <c r="C57" s="72" t="s">
        <v>8</v>
      </c>
      <c r="D57" s="72" t="s">
        <v>40</v>
      </c>
      <c r="E57" s="72" t="s">
        <v>82</v>
      </c>
      <c r="F57" s="72">
        <v>1</v>
      </c>
      <c r="G57" s="73">
        <f t="shared" si="9"/>
        <v>45</v>
      </c>
      <c r="H57" s="73">
        <f t="shared" si="10"/>
        <v>45</v>
      </c>
      <c r="I57" s="73">
        <f t="shared" si="2"/>
        <v>45</v>
      </c>
      <c r="J57" s="72" t="s">
        <v>83</v>
      </c>
      <c r="K57" s="74"/>
      <c r="M57" s="72"/>
      <c r="N57" s="80" t="e">
        <f t="shared" si="13"/>
        <v>#N/A</v>
      </c>
      <c r="O57" s="76"/>
      <c r="P57" s="100"/>
      <c r="S57" s="50" t="s">
        <v>774</v>
      </c>
      <c r="T57" s="52">
        <v>4.5</v>
      </c>
      <c r="U57" s="52">
        <f t="shared" si="11"/>
        <v>0.45</v>
      </c>
      <c r="Y57" s="91" t="s">
        <v>193</v>
      </c>
      <c r="Z57" s="92">
        <v>53.685499999999998</v>
      </c>
      <c r="AA57" s="92">
        <f t="shared" si="12"/>
        <v>21.4742</v>
      </c>
    </row>
    <row r="58" spans="1:27" x14ac:dyDescent="0.25">
      <c r="A58" s="95">
        <v>45570</v>
      </c>
      <c r="B58" s="72" t="s">
        <v>576</v>
      </c>
      <c r="C58" s="72" t="s">
        <v>8</v>
      </c>
      <c r="D58" s="72" t="s">
        <v>15</v>
      </c>
      <c r="E58" s="72" t="s">
        <v>56</v>
      </c>
      <c r="F58" s="72">
        <v>1</v>
      </c>
      <c r="G58" s="73">
        <f t="shared" si="9"/>
        <v>70</v>
      </c>
      <c r="H58" s="73">
        <f t="shared" si="10"/>
        <v>70</v>
      </c>
      <c r="I58" s="73">
        <f t="shared" si="2"/>
        <v>66.507000000000005</v>
      </c>
      <c r="J58" s="72" t="s">
        <v>86</v>
      </c>
      <c r="K58" s="74"/>
      <c r="M58" s="99" t="s">
        <v>15</v>
      </c>
      <c r="N58" s="80">
        <f t="shared" si="13"/>
        <v>28</v>
      </c>
      <c r="O58" s="76">
        <f t="shared" ref="O58:O63" si="14">N58*F58</f>
        <v>28</v>
      </c>
      <c r="P58" s="100" t="s">
        <v>56</v>
      </c>
      <c r="S58" s="50" t="s">
        <v>766</v>
      </c>
      <c r="T58" s="52">
        <v>3.5</v>
      </c>
      <c r="U58" s="52">
        <f t="shared" si="11"/>
        <v>0.35000000000000003</v>
      </c>
      <c r="Y58" s="91" t="s">
        <v>195</v>
      </c>
      <c r="Z58" s="92">
        <v>52.255499999999998</v>
      </c>
      <c r="AA58" s="92">
        <f t="shared" si="12"/>
        <v>20.902200000000001</v>
      </c>
    </row>
    <row r="59" spans="1:27" x14ac:dyDescent="0.25">
      <c r="A59" s="95">
        <v>45570</v>
      </c>
      <c r="B59" s="72" t="s">
        <v>262</v>
      </c>
      <c r="C59" s="72" t="s">
        <v>8</v>
      </c>
      <c r="D59" s="72" t="s">
        <v>17</v>
      </c>
      <c r="E59" s="72" t="s">
        <v>56</v>
      </c>
      <c r="F59" s="72">
        <v>1</v>
      </c>
      <c r="G59" s="73">
        <f t="shared" si="9"/>
        <v>50</v>
      </c>
      <c r="H59" s="73">
        <f t="shared" si="10"/>
        <v>50</v>
      </c>
      <c r="I59" s="73">
        <f t="shared" si="2"/>
        <v>48.805</v>
      </c>
      <c r="J59" s="72" t="s">
        <v>78</v>
      </c>
      <c r="K59" s="74"/>
      <c r="M59" s="99" t="s">
        <v>17</v>
      </c>
      <c r="N59" s="80">
        <f t="shared" si="13"/>
        <v>20</v>
      </c>
      <c r="O59" s="76">
        <f t="shared" si="14"/>
        <v>20</v>
      </c>
      <c r="P59" s="100" t="s">
        <v>56</v>
      </c>
      <c r="S59" s="50" t="s">
        <v>38</v>
      </c>
      <c r="T59" s="52">
        <v>6</v>
      </c>
      <c r="U59" s="52">
        <f t="shared" si="11"/>
        <v>0.60000000000000009</v>
      </c>
      <c r="Y59" s="91" t="s">
        <v>197</v>
      </c>
      <c r="Z59" s="92">
        <v>100</v>
      </c>
      <c r="AA59" s="92">
        <f t="shared" si="12"/>
        <v>40</v>
      </c>
    </row>
    <row r="60" spans="1:27" x14ac:dyDescent="0.25">
      <c r="A60" s="95">
        <v>45570</v>
      </c>
      <c r="B60" s="72" t="s">
        <v>725</v>
      </c>
      <c r="C60" s="72" t="s">
        <v>8</v>
      </c>
      <c r="D60" s="72" t="s">
        <v>16</v>
      </c>
      <c r="E60" s="72" t="s">
        <v>56</v>
      </c>
      <c r="F60" s="72">
        <v>1</v>
      </c>
      <c r="G60" s="73">
        <f t="shared" si="9"/>
        <v>80</v>
      </c>
      <c r="H60" s="73">
        <f t="shared" si="10"/>
        <v>80</v>
      </c>
      <c r="I60" s="73">
        <f t="shared" si="2"/>
        <v>76.007999999999996</v>
      </c>
      <c r="J60" s="72" t="s">
        <v>86</v>
      </c>
      <c r="K60" s="74"/>
      <c r="M60" s="99" t="s">
        <v>16</v>
      </c>
      <c r="N60" s="80">
        <f t="shared" si="13"/>
        <v>32</v>
      </c>
      <c r="O60" s="76">
        <f t="shared" si="14"/>
        <v>32</v>
      </c>
      <c r="P60" s="100" t="s">
        <v>56</v>
      </c>
      <c r="S60" s="50" t="s">
        <v>29</v>
      </c>
      <c r="T60" s="52">
        <v>7</v>
      </c>
      <c r="U60" s="52">
        <f t="shared" si="11"/>
        <v>0.70000000000000007</v>
      </c>
      <c r="Y60" s="91" t="s">
        <v>199</v>
      </c>
      <c r="Z60" s="92">
        <v>100</v>
      </c>
      <c r="AA60" s="92">
        <f t="shared" si="12"/>
        <v>40</v>
      </c>
    </row>
    <row r="61" spans="1:27" x14ac:dyDescent="0.25">
      <c r="A61" s="95">
        <v>45570</v>
      </c>
      <c r="B61" s="72" t="s">
        <v>692</v>
      </c>
      <c r="C61" s="72" t="s">
        <v>8</v>
      </c>
      <c r="D61" s="72" t="s">
        <v>17</v>
      </c>
      <c r="E61" s="72" t="s">
        <v>56</v>
      </c>
      <c r="F61" s="72">
        <v>1</v>
      </c>
      <c r="G61" s="73">
        <f t="shared" si="9"/>
        <v>50</v>
      </c>
      <c r="H61" s="73">
        <f t="shared" si="10"/>
        <v>50</v>
      </c>
      <c r="I61" s="73">
        <f t="shared" si="2"/>
        <v>47.505000000000003</v>
      </c>
      <c r="J61" s="72" t="s">
        <v>86</v>
      </c>
      <c r="K61" s="74"/>
      <c r="M61" s="99" t="s">
        <v>17</v>
      </c>
      <c r="N61" s="80">
        <f t="shared" si="13"/>
        <v>20</v>
      </c>
      <c r="O61" s="76">
        <f t="shared" si="14"/>
        <v>20</v>
      </c>
      <c r="P61" s="100" t="s">
        <v>56</v>
      </c>
      <c r="S61" s="50" t="s">
        <v>170</v>
      </c>
      <c r="T61" s="52">
        <v>5</v>
      </c>
      <c r="U61" s="52">
        <f t="shared" si="11"/>
        <v>0.5</v>
      </c>
      <c r="Y61" s="91" t="s">
        <v>201</v>
      </c>
      <c r="Z61" s="92">
        <v>97.61</v>
      </c>
      <c r="AA61" s="92">
        <f t="shared" si="12"/>
        <v>39.044000000000004</v>
      </c>
    </row>
    <row r="62" spans="1:27" x14ac:dyDescent="0.25">
      <c r="A62" s="95">
        <v>45573</v>
      </c>
      <c r="B62" s="72" t="s">
        <v>225</v>
      </c>
      <c r="C62" s="72" t="s">
        <v>8</v>
      </c>
      <c r="D62" s="72" t="s">
        <v>16</v>
      </c>
      <c r="E62" s="72" t="s">
        <v>56</v>
      </c>
      <c r="F62" s="72">
        <v>1</v>
      </c>
      <c r="G62" s="73">
        <f t="shared" si="9"/>
        <v>80</v>
      </c>
      <c r="H62" s="73">
        <f t="shared" si="10"/>
        <v>80</v>
      </c>
      <c r="I62" s="73">
        <f t="shared" si="2"/>
        <v>80</v>
      </c>
      <c r="J62" s="72" t="s">
        <v>83</v>
      </c>
      <c r="K62" s="74"/>
      <c r="M62" s="99" t="s">
        <v>16</v>
      </c>
      <c r="N62" s="80">
        <f t="shared" si="13"/>
        <v>32</v>
      </c>
      <c r="O62" s="76">
        <f t="shared" si="14"/>
        <v>32</v>
      </c>
      <c r="P62" s="100" t="s">
        <v>56</v>
      </c>
      <c r="S62" s="50" t="s">
        <v>48</v>
      </c>
      <c r="T62" s="52">
        <v>10</v>
      </c>
      <c r="U62" s="52">
        <f t="shared" si="11"/>
        <v>1</v>
      </c>
      <c r="Y62" s="91" t="s">
        <v>203</v>
      </c>
      <c r="Z62" s="92">
        <v>95.01</v>
      </c>
      <c r="AA62" s="92">
        <f t="shared" si="12"/>
        <v>38.004000000000005</v>
      </c>
    </row>
    <row r="63" spans="1:27" x14ac:dyDescent="0.25">
      <c r="A63" s="95">
        <v>45573</v>
      </c>
      <c r="B63" s="72" t="s">
        <v>225</v>
      </c>
      <c r="C63" s="72" t="s">
        <v>8</v>
      </c>
      <c r="D63" s="72" t="s">
        <v>26</v>
      </c>
      <c r="E63" s="72" t="s">
        <v>56</v>
      </c>
      <c r="F63" s="72">
        <v>1</v>
      </c>
      <c r="G63" s="73">
        <f t="shared" si="9"/>
        <v>35</v>
      </c>
      <c r="H63" s="73">
        <f t="shared" si="10"/>
        <v>35</v>
      </c>
      <c r="I63" s="73">
        <f t="shared" si="2"/>
        <v>33.253500000000003</v>
      </c>
      <c r="J63" s="72" t="s">
        <v>86</v>
      </c>
      <c r="K63" s="74"/>
      <c r="M63" s="99" t="s">
        <v>26</v>
      </c>
      <c r="N63" s="80">
        <f t="shared" si="13"/>
        <v>3.5</v>
      </c>
      <c r="O63" s="76">
        <f t="shared" si="14"/>
        <v>3.5</v>
      </c>
      <c r="P63" s="100" t="s">
        <v>56</v>
      </c>
      <c r="S63" s="50" t="s">
        <v>44</v>
      </c>
      <c r="T63" s="52">
        <v>5</v>
      </c>
      <c r="U63" s="52">
        <f t="shared" si="11"/>
        <v>0.5</v>
      </c>
      <c r="Y63" s="91" t="s">
        <v>205</v>
      </c>
      <c r="Z63" s="92">
        <v>80</v>
      </c>
      <c r="AA63" s="92">
        <f t="shared" si="12"/>
        <v>32</v>
      </c>
    </row>
    <row r="64" spans="1:27" x14ac:dyDescent="0.25">
      <c r="A64" s="95">
        <v>45573</v>
      </c>
      <c r="B64" s="72" t="s">
        <v>476</v>
      </c>
      <c r="C64" s="72" t="s">
        <v>8</v>
      </c>
      <c r="D64" s="72" t="s">
        <v>18</v>
      </c>
      <c r="E64" s="72" t="s">
        <v>82</v>
      </c>
      <c r="F64" s="72">
        <v>1</v>
      </c>
      <c r="G64" s="73">
        <f t="shared" si="9"/>
        <v>40</v>
      </c>
      <c r="H64" s="73">
        <f t="shared" ref="H64:H95" si="15">F64*G64</f>
        <v>40</v>
      </c>
      <c r="I64" s="73">
        <f t="shared" si="2"/>
        <v>40</v>
      </c>
      <c r="J64" s="72" t="s">
        <v>83</v>
      </c>
      <c r="K64" s="74"/>
      <c r="M64" s="99"/>
      <c r="N64" s="80" t="e">
        <f t="shared" si="13"/>
        <v>#N/A</v>
      </c>
      <c r="O64" s="76"/>
      <c r="P64" s="100"/>
      <c r="Q64" s="106"/>
      <c r="S64" s="50" t="s">
        <v>37</v>
      </c>
      <c r="T64" s="52">
        <v>7</v>
      </c>
      <c r="U64" s="52">
        <f t="shared" si="11"/>
        <v>0.70000000000000007</v>
      </c>
      <c r="Y64" s="91" t="s">
        <v>207</v>
      </c>
      <c r="Z64" s="92">
        <v>80</v>
      </c>
      <c r="AA64" s="92">
        <f t="shared" si="12"/>
        <v>32</v>
      </c>
    </row>
    <row r="65" spans="1:27" x14ac:dyDescent="0.25">
      <c r="A65" s="95">
        <v>45573</v>
      </c>
      <c r="B65" s="72" t="s">
        <v>511</v>
      </c>
      <c r="C65" s="72" t="s">
        <v>8</v>
      </c>
      <c r="D65" s="72" t="s">
        <v>18</v>
      </c>
      <c r="E65" s="72" t="s">
        <v>82</v>
      </c>
      <c r="F65" s="72">
        <v>1</v>
      </c>
      <c r="G65" s="73">
        <f t="shared" si="9"/>
        <v>40</v>
      </c>
      <c r="H65" s="73">
        <f t="shared" si="15"/>
        <v>40</v>
      </c>
      <c r="I65" s="73">
        <f t="shared" si="2"/>
        <v>40</v>
      </c>
      <c r="J65" s="72" t="s">
        <v>83</v>
      </c>
      <c r="K65" s="74"/>
      <c r="M65" s="99"/>
      <c r="N65" s="80" t="e">
        <f t="shared" si="13"/>
        <v>#N/A</v>
      </c>
      <c r="O65" s="76"/>
      <c r="P65" s="100"/>
      <c r="S65" s="50" t="s">
        <v>179</v>
      </c>
      <c r="T65" s="52">
        <v>3.5</v>
      </c>
      <c r="U65" s="52">
        <f t="shared" si="11"/>
        <v>0.35000000000000003</v>
      </c>
      <c r="Y65" s="91" t="s">
        <v>208</v>
      </c>
      <c r="Z65" s="92">
        <v>78.087999999999994</v>
      </c>
      <c r="AA65" s="92">
        <f t="shared" si="12"/>
        <v>31.235199999999999</v>
      </c>
    </row>
    <row r="66" spans="1:27" x14ac:dyDescent="0.25">
      <c r="A66" s="95">
        <v>45573</v>
      </c>
      <c r="B66" s="72" t="s">
        <v>460</v>
      </c>
      <c r="C66" s="72" t="s">
        <v>8</v>
      </c>
      <c r="D66" s="72" t="s">
        <v>19</v>
      </c>
      <c r="E66" s="72" t="s">
        <v>56</v>
      </c>
      <c r="F66" s="72">
        <v>1</v>
      </c>
      <c r="G66" s="73">
        <v>30</v>
      </c>
      <c r="H66" s="73">
        <f t="shared" si="15"/>
        <v>30</v>
      </c>
      <c r="I66" s="73">
        <f t="shared" si="2"/>
        <v>30</v>
      </c>
      <c r="J66" s="72" t="s">
        <v>83</v>
      </c>
      <c r="K66" s="74"/>
      <c r="M66" s="99" t="s">
        <v>19</v>
      </c>
      <c r="N66" s="80">
        <f>H66*0.4</f>
        <v>12</v>
      </c>
      <c r="O66" s="76">
        <f>N66*F66</f>
        <v>12</v>
      </c>
      <c r="P66" s="100" t="s">
        <v>56</v>
      </c>
      <c r="S66" s="50" t="s">
        <v>46</v>
      </c>
      <c r="T66" s="52">
        <v>5</v>
      </c>
      <c r="U66" s="52">
        <f t="shared" si="11"/>
        <v>0.5</v>
      </c>
      <c r="Y66" s="91" t="s">
        <v>209</v>
      </c>
      <c r="Z66" s="92">
        <v>76.007999999999996</v>
      </c>
      <c r="AA66" s="92">
        <f t="shared" si="12"/>
        <v>30.403199999999998</v>
      </c>
    </row>
    <row r="67" spans="1:27" x14ac:dyDescent="0.25">
      <c r="A67" s="95">
        <v>45573</v>
      </c>
      <c r="B67" s="72" t="s">
        <v>460</v>
      </c>
      <c r="C67" s="72" t="s">
        <v>8</v>
      </c>
      <c r="D67" s="72" t="s">
        <v>18</v>
      </c>
      <c r="E67" s="72" t="s">
        <v>56</v>
      </c>
      <c r="F67" s="72">
        <v>1</v>
      </c>
      <c r="G67" s="73">
        <f t="shared" ref="G67:G89" si="16">VLOOKUP(D67,$S$3:$T$70,2,0)</f>
        <v>40</v>
      </c>
      <c r="H67" s="73">
        <f t="shared" si="15"/>
        <v>40</v>
      </c>
      <c r="I67" s="73">
        <f t="shared" ref="I67:I130" si="17">IF(J67="Cartão de Debito",H67-(H67*$AC$5),IF(J67="Cartão de Credito",H67-(H67*$AC$6), IF(J67="Pix",H67-(H67*$AC$7), IF(J67="Dinheiro (R$)", H67-(H67*$AC$8)))))</f>
        <v>40</v>
      </c>
      <c r="J67" s="72" t="s">
        <v>83</v>
      </c>
      <c r="K67" s="74"/>
      <c r="M67" s="99" t="s">
        <v>18</v>
      </c>
      <c r="N67" s="80">
        <f t="shared" ref="N67:N89" si="18">VLOOKUP(M67,$S$3:$U$70,3,0)</f>
        <v>16</v>
      </c>
      <c r="O67" s="76">
        <f>N67*F67</f>
        <v>16</v>
      </c>
      <c r="P67" s="100" t="s">
        <v>56</v>
      </c>
      <c r="S67" s="50" t="s">
        <v>183</v>
      </c>
      <c r="T67" s="52">
        <v>7</v>
      </c>
      <c r="U67" s="52">
        <f t="shared" si="11"/>
        <v>0.70000000000000007</v>
      </c>
      <c r="Y67" s="91" t="s">
        <v>211</v>
      </c>
      <c r="Z67" s="92">
        <v>130</v>
      </c>
      <c r="AA67" s="92">
        <f t="shared" ref="AA67:AA74" si="19">Z67*0.4</f>
        <v>52</v>
      </c>
    </row>
    <row r="68" spans="1:27" x14ac:dyDescent="0.25">
      <c r="A68" s="95">
        <v>45573</v>
      </c>
      <c r="B68" s="72" t="s">
        <v>591</v>
      </c>
      <c r="C68" s="72" t="s">
        <v>8</v>
      </c>
      <c r="D68" s="72" t="s">
        <v>18</v>
      </c>
      <c r="E68" s="72" t="s">
        <v>82</v>
      </c>
      <c r="F68" s="72">
        <v>1</v>
      </c>
      <c r="G68" s="73">
        <f t="shared" si="16"/>
        <v>40</v>
      </c>
      <c r="H68" s="73">
        <f t="shared" si="15"/>
        <v>40</v>
      </c>
      <c r="I68" s="73">
        <f t="shared" si="17"/>
        <v>40</v>
      </c>
      <c r="J68" s="72" t="s">
        <v>83</v>
      </c>
      <c r="K68" s="74"/>
      <c r="M68" s="99"/>
      <c r="N68" s="80" t="e">
        <f t="shared" si="18"/>
        <v>#N/A</v>
      </c>
      <c r="O68" s="76"/>
      <c r="P68" s="100"/>
      <c r="S68" s="50" t="s">
        <v>35</v>
      </c>
      <c r="T68" s="52">
        <v>7</v>
      </c>
      <c r="U68" s="52">
        <f t="shared" si="11"/>
        <v>0.70000000000000007</v>
      </c>
      <c r="Y68" s="91" t="s">
        <v>213</v>
      </c>
      <c r="Z68" s="92">
        <v>130</v>
      </c>
      <c r="AA68" s="92">
        <f t="shared" si="19"/>
        <v>52</v>
      </c>
    </row>
    <row r="69" spans="1:27" x14ac:dyDescent="0.25">
      <c r="A69" s="95">
        <v>45573</v>
      </c>
      <c r="B69" s="72" t="s">
        <v>828</v>
      </c>
      <c r="C69" s="72" t="s">
        <v>10</v>
      </c>
      <c r="D69" s="72" t="s">
        <v>18</v>
      </c>
      <c r="E69" s="72" t="s">
        <v>56</v>
      </c>
      <c r="F69" s="72">
        <v>1</v>
      </c>
      <c r="G69" s="73">
        <f t="shared" si="16"/>
        <v>40</v>
      </c>
      <c r="H69" s="73">
        <f t="shared" si="15"/>
        <v>40</v>
      </c>
      <c r="I69" s="73">
        <f t="shared" si="17"/>
        <v>40</v>
      </c>
      <c r="J69" s="72" t="s">
        <v>79</v>
      </c>
      <c r="K69" s="74"/>
      <c r="M69" s="99" t="s">
        <v>18</v>
      </c>
      <c r="N69" s="80">
        <f t="shared" si="18"/>
        <v>16</v>
      </c>
      <c r="O69" s="76">
        <f>N69*F69</f>
        <v>16</v>
      </c>
      <c r="P69" s="100" t="s">
        <v>56</v>
      </c>
      <c r="S69" s="50" t="s">
        <v>155</v>
      </c>
      <c r="T69" s="52">
        <v>3.5</v>
      </c>
      <c r="U69" s="52">
        <f t="shared" si="11"/>
        <v>0.35000000000000003</v>
      </c>
      <c r="Y69" s="91" t="s">
        <v>214</v>
      </c>
      <c r="Z69" s="92">
        <v>126.893</v>
      </c>
      <c r="AA69" s="92">
        <f t="shared" si="19"/>
        <v>50.757200000000005</v>
      </c>
    </row>
    <row r="70" spans="1:27" x14ac:dyDescent="0.25">
      <c r="A70" s="95">
        <v>45573</v>
      </c>
      <c r="B70" s="72" t="s">
        <v>807</v>
      </c>
      <c r="C70" s="72" t="s">
        <v>8</v>
      </c>
      <c r="D70" s="72" t="s">
        <v>17</v>
      </c>
      <c r="E70" s="72" t="s">
        <v>56</v>
      </c>
      <c r="F70" s="72">
        <v>1</v>
      </c>
      <c r="G70" s="73">
        <f t="shared" si="16"/>
        <v>50</v>
      </c>
      <c r="H70" s="73">
        <f t="shared" si="15"/>
        <v>50</v>
      </c>
      <c r="I70" s="73">
        <f t="shared" si="17"/>
        <v>50</v>
      </c>
      <c r="J70" s="72" t="s">
        <v>83</v>
      </c>
      <c r="K70" s="74"/>
      <c r="M70" s="99" t="s">
        <v>17</v>
      </c>
      <c r="N70" s="80">
        <f t="shared" si="18"/>
        <v>20</v>
      </c>
      <c r="O70" s="76">
        <f>N70*F70</f>
        <v>20</v>
      </c>
      <c r="P70" s="100" t="s">
        <v>56</v>
      </c>
      <c r="S70" s="50" t="s">
        <v>45</v>
      </c>
      <c r="T70" s="52">
        <v>3.5</v>
      </c>
      <c r="U70" s="52">
        <f t="shared" si="11"/>
        <v>0.35000000000000003</v>
      </c>
      <c r="Y70" s="91" t="s">
        <v>208</v>
      </c>
      <c r="Z70" s="92">
        <v>78.087999999999994</v>
      </c>
      <c r="AA70" s="92">
        <f t="shared" si="19"/>
        <v>31.235199999999999</v>
      </c>
    </row>
    <row r="71" spans="1:27" x14ac:dyDescent="0.25">
      <c r="A71" s="95">
        <v>45573</v>
      </c>
      <c r="B71" s="72" t="s">
        <v>299</v>
      </c>
      <c r="C71" s="72" t="s">
        <v>8</v>
      </c>
      <c r="D71" s="72" t="s">
        <v>18</v>
      </c>
      <c r="E71" s="72" t="s">
        <v>82</v>
      </c>
      <c r="F71" s="72">
        <v>1</v>
      </c>
      <c r="G71" s="73">
        <f t="shared" si="16"/>
        <v>40</v>
      </c>
      <c r="H71" s="73">
        <f t="shared" si="15"/>
        <v>40</v>
      </c>
      <c r="I71" s="73">
        <f t="shared" si="17"/>
        <v>40</v>
      </c>
      <c r="J71" s="72" t="s">
        <v>83</v>
      </c>
      <c r="K71" s="74"/>
      <c r="M71" s="99"/>
      <c r="N71" s="80" t="e">
        <f t="shared" si="18"/>
        <v>#N/A</v>
      </c>
      <c r="O71" s="76"/>
      <c r="P71" s="100"/>
      <c r="Y71" s="91" t="s">
        <v>219</v>
      </c>
      <c r="Z71" s="92">
        <v>90</v>
      </c>
      <c r="AA71" s="92">
        <f t="shared" si="19"/>
        <v>36</v>
      </c>
    </row>
    <row r="72" spans="1:27" x14ac:dyDescent="0.25">
      <c r="A72" s="95">
        <v>45573</v>
      </c>
      <c r="B72" s="72" t="s">
        <v>194</v>
      </c>
      <c r="C72" s="72" t="s">
        <v>8</v>
      </c>
      <c r="D72" s="72" t="s">
        <v>17</v>
      </c>
      <c r="E72" s="72" t="s">
        <v>82</v>
      </c>
      <c r="F72" s="72">
        <v>1</v>
      </c>
      <c r="G72" s="73">
        <f t="shared" si="16"/>
        <v>50</v>
      </c>
      <c r="H72" s="73">
        <f t="shared" si="15"/>
        <v>50</v>
      </c>
      <c r="I72" s="73">
        <f t="shared" si="17"/>
        <v>50</v>
      </c>
      <c r="J72" s="72" t="s">
        <v>83</v>
      </c>
      <c r="K72" s="74"/>
      <c r="M72" s="99"/>
      <c r="N72" s="80" t="e">
        <f t="shared" si="18"/>
        <v>#N/A</v>
      </c>
      <c r="O72" s="76"/>
      <c r="P72" s="100"/>
      <c r="Y72" s="91" t="s">
        <v>221</v>
      </c>
      <c r="Z72" s="92">
        <v>90</v>
      </c>
      <c r="AA72" s="92">
        <f t="shared" si="19"/>
        <v>36</v>
      </c>
    </row>
    <row r="73" spans="1:27" x14ac:dyDescent="0.25">
      <c r="A73" s="95">
        <v>45573</v>
      </c>
      <c r="B73" s="72" t="s">
        <v>276</v>
      </c>
      <c r="C73" s="72" t="s">
        <v>8</v>
      </c>
      <c r="D73" s="72" t="s">
        <v>18</v>
      </c>
      <c r="E73" s="72" t="s">
        <v>82</v>
      </c>
      <c r="F73" s="72">
        <v>1</v>
      </c>
      <c r="G73" s="73">
        <f t="shared" si="16"/>
        <v>40</v>
      </c>
      <c r="H73" s="73">
        <f t="shared" si="15"/>
        <v>40</v>
      </c>
      <c r="I73" s="73">
        <f t="shared" si="17"/>
        <v>39.043999999999997</v>
      </c>
      <c r="J73" s="72" t="s">
        <v>78</v>
      </c>
      <c r="K73" s="74"/>
      <c r="M73" s="99"/>
      <c r="N73" s="80" t="e">
        <f t="shared" si="18"/>
        <v>#N/A</v>
      </c>
      <c r="O73" s="76"/>
      <c r="P73" s="100"/>
      <c r="Y73" s="91" t="s">
        <v>222</v>
      </c>
      <c r="Z73" s="92">
        <v>87.849000000000004</v>
      </c>
      <c r="AA73" s="92">
        <f t="shared" si="19"/>
        <v>35.139600000000002</v>
      </c>
    </row>
    <row r="74" spans="1:27" x14ac:dyDescent="0.25">
      <c r="A74" s="95">
        <v>45574</v>
      </c>
      <c r="B74" s="72" t="s">
        <v>829</v>
      </c>
      <c r="C74" s="72" t="s">
        <v>8</v>
      </c>
      <c r="D74" s="72" t="s">
        <v>18</v>
      </c>
      <c r="E74" s="72" t="s">
        <v>56</v>
      </c>
      <c r="F74" s="72">
        <v>1</v>
      </c>
      <c r="G74" s="73">
        <f t="shared" si="16"/>
        <v>40</v>
      </c>
      <c r="H74" s="73">
        <f t="shared" si="15"/>
        <v>40</v>
      </c>
      <c r="I74" s="73">
        <f t="shared" si="17"/>
        <v>40</v>
      </c>
      <c r="J74" s="72" t="s">
        <v>83</v>
      </c>
      <c r="K74" s="74"/>
      <c r="M74" s="99" t="s">
        <v>18</v>
      </c>
      <c r="N74" s="80">
        <f t="shared" si="18"/>
        <v>16</v>
      </c>
      <c r="O74" s="76">
        <f>N74*F74</f>
        <v>16</v>
      </c>
      <c r="P74" s="100" t="s">
        <v>56</v>
      </c>
      <c r="Y74" s="91" t="s">
        <v>224</v>
      </c>
      <c r="Z74" s="92">
        <v>85.509</v>
      </c>
      <c r="AA74" s="92">
        <f t="shared" si="19"/>
        <v>34.203600000000002</v>
      </c>
    </row>
    <row r="75" spans="1:27" x14ac:dyDescent="0.25">
      <c r="A75" s="95">
        <v>45574</v>
      </c>
      <c r="B75" s="72" t="s">
        <v>830</v>
      </c>
      <c r="C75" s="72" t="s">
        <v>8</v>
      </c>
      <c r="D75" s="72" t="s">
        <v>40</v>
      </c>
      <c r="E75" s="72" t="s">
        <v>56</v>
      </c>
      <c r="F75" s="72">
        <v>1</v>
      </c>
      <c r="G75" s="73">
        <f t="shared" si="16"/>
        <v>45</v>
      </c>
      <c r="H75" s="73">
        <f t="shared" si="15"/>
        <v>45</v>
      </c>
      <c r="I75" s="73">
        <f t="shared" si="17"/>
        <v>45</v>
      </c>
      <c r="J75" s="72" t="s">
        <v>83</v>
      </c>
      <c r="K75" s="74"/>
      <c r="M75" s="99" t="s">
        <v>40</v>
      </c>
      <c r="N75" s="80">
        <f t="shared" si="18"/>
        <v>18</v>
      </c>
      <c r="O75" s="76">
        <f>N75*F75</f>
        <v>18</v>
      </c>
      <c r="P75" s="100" t="s">
        <v>56</v>
      </c>
      <c r="Y75" s="91" t="s">
        <v>226</v>
      </c>
      <c r="Z75" s="92">
        <v>30</v>
      </c>
      <c r="AA75" s="92">
        <f t="shared" ref="AA75:AA117" si="20">Z75*0.1</f>
        <v>3</v>
      </c>
    </row>
    <row r="76" spans="1:27" x14ac:dyDescent="0.25">
      <c r="A76" s="95">
        <v>45574</v>
      </c>
      <c r="B76" s="72" t="s">
        <v>474</v>
      </c>
      <c r="C76" s="72" t="s">
        <v>8</v>
      </c>
      <c r="D76" s="72" t="s">
        <v>18</v>
      </c>
      <c r="E76" s="72" t="s">
        <v>56</v>
      </c>
      <c r="F76" s="72">
        <v>1</v>
      </c>
      <c r="G76" s="73">
        <f t="shared" si="16"/>
        <v>40</v>
      </c>
      <c r="H76" s="73">
        <f t="shared" si="15"/>
        <v>40</v>
      </c>
      <c r="I76" s="73">
        <f t="shared" si="17"/>
        <v>40</v>
      </c>
      <c r="J76" s="72" t="s">
        <v>83</v>
      </c>
      <c r="K76" s="74"/>
      <c r="M76" s="99" t="s">
        <v>18</v>
      </c>
      <c r="N76" s="80">
        <f t="shared" si="18"/>
        <v>16</v>
      </c>
      <c r="O76" s="76">
        <f>N76*F76</f>
        <v>16</v>
      </c>
      <c r="P76" s="100" t="s">
        <v>56</v>
      </c>
      <c r="Y76" s="91" t="s">
        <v>228</v>
      </c>
      <c r="Z76" s="92">
        <v>30</v>
      </c>
      <c r="AA76" s="92">
        <f t="shared" si="20"/>
        <v>3</v>
      </c>
    </row>
    <row r="77" spans="1:27" x14ac:dyDescent="0.25">
      <c r="A77" s="95">
        <v>45574</v>
      </c>
      <c r="B77" s="72" t="s">
        <v>238</v>
      </c>
      <c r="C77" s="72" t="s">
        <v>8</v>
      </c>
      <c r="D77" s="72" t="s">
        <v>17</v>
      </c>
      <c r="E77" s="72" t="s">
        <v>82</v>
      </c>
      <c r="F77" s="72">
        <v>1</v>
      </c>
      <c r="G77" s="73">
        <f t="shared" si="16"/>
        <v>50</v>
      </c>
      <c r="H77" s="73">
        <f t="shared" si="15"/>
        <v>50</v>
      </c>
      <c r="I77" s="73">
        <f t="shared" si="17"/>
        <v>47.505000000000003</v>
      </c>
      <c r="J77" s="72" t="s">
        <v>86</v>
      </c>
      <c r="K77" s="74"/>
      <c r="M77" s="99"/>
      <c r="N77" s="80" t="e">
        <f t="shared" si="18"/>
        <v>#N/A</v>
      </c>
      <c r="O77" s="76"/>
      <c r="P77" s="100"/>
      <c r="Y77" s="91" t="s">
        <v>230</v>
      </c>
      <c r="Z77" s="92">
        <v>29.283000000000001</v>
      </c>
      <c r="AA77" s="92">
        <f t="shared" si="20"/>
        <v>2.9283000000000001</v>
      </c>
    </row>
    <row r="78" spans="1:27" x14ac:dyDescent="0.25">
      <c r="A78" s="95">
        <v>45574</v>
      </c>
      <c r="B78" s="72" t="s">
        <v>561</v>
      </c>
      <c r="C78" s="72" t="s">
        <v>8</v>
      </c>
      <c r="D78" s="72" t="s">
        <v>40</v>
      </c>
      <c r="E78" s="72" t="s">
        <v>82</v>
      </c>
      <c r="F78" s="72">
        <v>2</v>
      </c>
      <c r="G78" s="73">
        <f t="shared" si="16"/>
        <v>45</v>
      </c>
      <c r="H78" s="73">
        <f t="shared" si="15"/>
        <v>90</v>
      </c>
      <c r="I78" s="73">
        <f t="shared" si="17"/>
        <v>85.509</v>
      </c>
      <c r="J78" s="72" t="s">
        <v>86</v>
      </c>
      <c r="K78" s="74"/>
      <c r="M78" s="99"/>
      <c r="N78" s="80" t="e">
        <f t="shared" si="18"/>
        <v>#N/A</v>
      </c>
      <c r="O78" s="76"/>
      <c r="P78" s="100"/>
      <c r="Y78" s="91" t="s">
        <v>231</v>
      </c>
      <c r="Z78" s="92">
        <v>28.503</v>
      </c>
      <c r="AA78" s="92">
        <f t="shared" si="20"/>
        <v>2.8503000000000003</v>
      </c>
    </row>
    <row r="79" spans="1:27" x14ac:dyDescent="0.25">
      <c r="A79" s="95">
        <v>45574</v>
      </c>
      <c r="B79" s="72" t="s">
        <v>633</v>
      </c>
      <c r="C79" s="72" t="s">
        <v>8</v>
      </c>
      <c r="D79" s="72" t="s">
        <v>15</v>
      </c>
      <c r="E79" s="72" t="s">
        <v>82</v>
      </c>
      <c r="F79" s="72">
        <v>1</v>
      </c>
      <c r="G79" s="73">
        <f t="shared" si="16"/>
        <v>70</v>
      </c>
      <c r="H79" s="73">
        <f t="shared" si="15"/>
        <v>70</v>
      </c>
      <c r="I79" s="73">
        <f t="shared" si="17"/>
        <v>66.507000000000005</v>
      </c>
      <c r="J79" s="72" t="s">
        <v>86</v>
      </c>
      <c r="K79" s="74"/>
      <c r="M79" s="99"/>
      <c r="N79" s="80" t="e">
        <f t="shared" si="18"/>
        <v>#N/A</v>
      </c>
      <c r="O79" s="76"/>
      <c r="P79" s="100"/>
      <c r="Q79" s="106"/>
      <c r="Y79" s="91" t="s">
        <v>232</v>
      </c>
      <c r="Z79" s="92">
        <v>30</v>
      </c>
      <c r="AA79" s="92">
        <f t="shared" si="20"/>
        <v>3</v>
      </c>
    </row>
    <row r="80" spans="1:27" x14ac:dyDescent="0.25">
      <c r="A80" s="95">
        <v>45574</v>
      </c>
      <c r="B80" s="72" t="s">
        <v>561</v>
      </c>
      <c r="C80" s="72" t="s">
        <v>8</v>
      </c>
      <c r="D80" s="72" t="s">
        <v>17</v>
      </c>
      <c r="E80" s="72" t="s">
        <v>82</v>
      </c>
      <c r="F80" s="72">
        <v>1</v>
      </c>
      <c r="G80" s="73">
        <f t="shared" si="16"/>
        <v>50</v>
      </c>
      <c r="H80" s="73">
        <f t="shared" si="15"/>
        <v>50</v>
      </c>
      <c r="I80" s="73">
        <f t="shared" si="17"/>
        <v>47.505000000000003</v>
      </c>
      <c r="J80" s="72" t="s">
        <v>86</v>
      </c>
      <c r="K80" s="74"/>
      <c r="M80" s="99"/>
      <c r="N80" s="80" t="e">
        <f t="shared" si="18"/>
        <v>#N/A</v>
      </c>
      <c r="O80" s="76"/>
      <c r="P80" s="100"/>
      <c r="Y80" s="91" t="s">
        <v>234</v>
      </c>
      <c r="Z80" s="92">
        <v>30</v>
      </c>
      <c r="AA80" s="92">
        <f t="shared" si="20"/>
        <v>3</v>
      </c>
    </row>
    <row r="81" spans="1:27" x14ac:dyDescent="0.25">
      <c r="A81" s="95">
        <v>45574</v>
      </c>
      <c r="B81" s="72" t="s">
        <v>561</v>
      </c>
      <c r="C81" s="72" t="s">
        <v>8</v>
      </c>
      <c r="D81" s="72" t="s">
        <v>143</v>
      </c>
      <c r="E81" s="72" t="s">
        <v>82</v>
      </c>
      <c r="F81" s="72">
        <v>1</v>
      </c>
      <c r="G81" s="73">
        <f t="shared" si="16"/>
        <v>35</v>
      </c>
      <c r="H81" s="73">
        <f t="shared" si="15"/>
        <v>35</v>
      </c>
      <c r="I81" s="73">
        <f t="shared" si="17"/>
        <v>33.253500000000003</v>
      </c>
      <c r="J81" s="72" t="s">
        <v>86</v>
      </c>
      <c r="K81" s="74"/>
      <c r="M81" s="99"/>
      <c r="N81" s="80" t="e">
        <f t="shared" si="18"/>
        <v>#N/A</v>
      </c>
      <c r="O81" s="76"/>
      <c r="P81" s="100"/>
      <c r="Y81" s="91" t="s">
        <v>235</v>
      </c>
      <c r="Z81" s="92">
        <v>29.283000000000001</v>
      </c>
      <c r="AA81" s="92">
        <f t="shared" si="20"/>
        <v>2.9283000000000001</v>
      </c>
    </row>
    <row r="82" spans="1:27" x14ac:dyDescent="0.25">
      <c r="A82" s="95">
        <v>45574</v>
      </c>
      <c r="B82" s="72" t="s">
        <v>360</v>
      </c>
      <c r="C82" s="72" t="s">
        <v>8</v>
      </c>
      <c r="D82" s="72" t="s">
        <v>26</v>
      </c>
      <c r="E82" s="72" t="s">
        <v>82</v>
      </c>
      <c r="F82" s="72">
        <v>1</v>
      </c>
      <c r="G82" s="73">
        <f t="shared" si="16"/>
        <v>35</v>
      </c>
      <c r="H82" s="73">
        <f t="shared" si="15"/>
        <v>35</v>
      </c>
      <c r="I82" s="73">
        <f t="shared" si="17"/>
        <v>33.253500000000003</v>
      </c>
      <c r="J82" s="72" t="s">
        <v>86</v>
      </c>
      <c r="K82" s="74"/>
      <c r="M82" s="99"/>
      <c r="N82" s="80" t="e">
        <f t="shared" si="18"/>
        <v>#N/A</v>
      </c>
      <c r="O82" s="76"/>
      <c r="P82" s="100"/>
      <c r="Y82" s="91" t="s">
        <v>237</v>
      </c>
      <c r="Z82" s="92">
        <v>28.503</v>
      </c>
      <c r="AA82" s="92">
        <f t="shared" si="20"/>
        <v>2.8503000000000003</v>
      </c>
    </row>
    <row r="83" spans="1:27" x14ac:dyDescent="0.25">
      <c r="A83" s="95">
        <v>45574</v>
      </c>
      <c r="B83" s="72" t="s">
        <v>831</v>
      </c>
      <c r="C83" s="72" t="s">
        <v>8</v>
      </c>
      <c r="D83" s="72" t="s">
        <v>18</v>
      </c>
      <c r="E83" s="72" t="s">
        <v>56</v>
      </c>
      <c r="F83" s="72">
        <v>1</v>
      </c>
      <c r="G83" s="73">
        <f t="shared" si="16"/>
        <v>40</v>
      </c>
      <c r="H83" s="73">
        <f t="shared" si="15"/>
        <v>40</v>
      </c>
      <c r="I83" s="73">
        <f t="shared" si="17"/>
        <v>39.043999999999997</v>
      </c>
      <c r="J83" s="72" t="s">
        <v>78</v>
      </c>
      <c r="K83" s="74"/>
      <c r="M83" s="99" t="s">
        <v>18</v>
      </c>
      <c r="N83" s="80">
        <f t="shared" si="18"/>
        <v>16</v>
      </c>
      <c r="O83" s="76">
        <f>N83*F83</f>
        <v>16</v>
      </c>
      <c r="P83" s="100" t="s">
        <v>56</v>
      </c>
      <c r="Y83" s="91" t="s">
        <v>239</v>
      </c>
      <c r="Z83" s="92">
        <v>30</v>
      </c>
      <c r="AA83" s="92">
        <f t="shared" si="20"/>
        <v>3</v>
      </c>
    </row>
    <row r="84" spans="1:27" x14ac:dyDescent="0.25">
      <c r="A84" s="95">
        <v>45574</v>
      </c>
      <c r="B84" s="72" t="s">
        <v>220</v>
      </c>
      <c r="C84" s="72" t="s">
        <v>8</v>
      </c>
      <c r="D84" s="72" t="s">
        <v>15</v>
      </c>
      <c r="E84" s="72" t="s">
        <v>82</v>
      </c>
      <c r="F84" s="72">
        <v>1</v>
      </c>
      <c r="G84" s="73">
        <f t="shared" si="16"/>
        <v>70</v>
      </c>
      <c r="H84" s="73">
        <f t="shared" si="15"/>
        <v>70</v>
      </c>
      <c r="I84" s="73">
        <f t="shared" si="17"/>
        <v>66.507000000000005</v>
      </c>
      <c r="J84" s="72" t="s">
        <v>86</v>
      </c>
      <c r="K84" s="74"/>
      <c r="M84" s="99"/>
      <c r="N84" s="80" t="e">
        <f t="shared" si="18"/>
        <v>#N/A</v>
      </c>
      <c r="O84" s="76"/>
      <c r="P84" s="100"/>
      <c r="Y84" s="91" t="s">
        <v>241</v>
      </c>
      <c r="Z84" s="92">
        <v>30</v>
      </c>
      <c r="AA84" s="92">
        <f t="shared" si="20"/>
        <v>3</v>
      </c>
    </row>
    <row r="85" spans="1:27" x14ac:dyDescent="0.25">
      <c r="A85" s="95">
        <v>45574</v>
      </c>
      <c r="B85" s="72" t="s">
        <v>832</v>
      </c>
      <c r="C85" s="72" t="s">
        <v>8</v>
      </c>
      <c r="D85" s="72" t="s">
        <v>17</v>
      </c>
      <c r="E85" s="72" t="s">
        <v>82</v>
      </c>
      <c r="F85" s="72">
        <v>1</v>
      </c>
      <c r="G85" s="73">
        <f t="shared" si="16"/>
        <v>50</v>
      </c>
      <c r="H85" s="73">
        <f t="shared" si="15"/>
        <v>50</v>
      </c>
      <c r="I85" s="73">
        <f t="shared" si="17"/>
        <v>50</v>
      </c>
      <c r="J85" s="72" t="s">
        <v>79</v>
      </c>
      <c r="K85" s="74"/>
      <c r="M85" s="99"/>
      <c r="N85" s="80" t="e">
        <f t="shared" si="18"/>
        <v>#N/A</v>
      </c>
      <c r="O85" s="76"/>
      <c r="P85" s="100"/>
      <c r="Y85" s="91" t="s">
        <v>242</v>
      </c>
      <c r="Z85" s="92">
        <v>29.283000000000001</v>
      </c>
      <c r="AA85" s="92">
        <f t="shared" si="20"/>
        <v>2.9283000000000001</v>
      </c>
    </row>
    <row r="86" spans="1:27" x14ac:dyDescent="0.25">
      <c r="A86" s="95">
        <v>45575</v>
      </c>
      <c r="B86" s="72" t="s">
        <v>483</v>
      </c>
      <c r="C86" s="72" t="s">
        <v>8</v>
      </c>
      <c r="D86" s="72" t="s">
        <v>18</v>
      </c>
      <c r="E86" s="72" t="s">
        <v>56</v>
      </c>
      <c r="F86" s="72">
        <v>1</v>
      </c>
      <c r="G86" s="73">
        <f t="shared" si="16"/>
        <v>40</v>
      </c>
      <c r="H86" s="73">
        <f t="shared" si="15"/>
        <v>40</v>
      </c>
      <c r="I86" s="73">
        <f t="shared" si="17"/>
        <v>40</v>
      </c>
      <c r="J86" s="72" t="s">
        <v>83</v>
      </c>
      <c r="K86" s="74"/>
      <c r="M86" s="99" t="s">
        <v>18</v>
      </c>
      <c r="N86" s="80">
        <f t="shared" si="18"/>
        <v>16</v>
      </c>
      <c r="O86" s="76">
        <f>N86*F86</f>
        <v>16</v>
      </c>
      <c r="P86" s="100" t="s">
        <v>56</v>
      </c>
      <c r="Y86" s="91" t="s">
        <v>243</v>
      </c>
      <c r="Z86" s="92">
        <v>28.503</v>
      </c>
      <c r="AA86" s="92">
        <f t="shared" si="20"/>
        <v>2.8503000000000003</v>
      </c>
    </row>
    <row r="87" spans="1:27" x14ac:dyDescent="0.25">
      <c r="A87" s="95">
        <v>45575</v>
      </c>
      <c r="B87" s="72" t="s">
        <v>289</v>
      </c>
      <c r="C87" s="72" t="s">
        <v>8</v>
      </c>
      <c r="D87" s="72" t="s">
        <v>15</v>
      </c>
      <c r="E87" s="72" t="s">
        <v>82</v>
      </c>
      <c r="F87" s="72">
        <v>1</v>
      </c>
      <c r="G87" s="73">
        <f t="shared" si="16"/>
        <v>70</v>
      </c>
      <c r="H87" s="73">
        <f t="shared" si="15"/>
        <v>70</v>
      </c>
      <c r="I87" s="73">
        <f t="shared" si="17"/>
        <v>68.326999999999998</v>
      </c>
      <c r="J87" s="72" t="s">
        <v>78</v>
      </c>
      <c r="K87" s="74"/>
      <c r="M87" s="99"/>
      <c r="N87" s="80" t="e">
        <f t="shared" si="18"/>
        <v>#N/A</v>
      </c>
      <c r="O87" s="76"/>
      <c r="P87" s="100"/>
      <c r="Y87" s="91" t="s">
        <v>245</v>
      </c>
      <c r="Z87" s="92">
        <v>10</v>
      </c>
      <c r="AA87" s="92">
        <f t="shared" si="20"/>
        <v>1</v>
      </c>
    </row>
    <row r="88" spans="1:27" x14ac:dyDescent="0.25">
      <c r="A88" s="95">
        <v>45575</v>
      </c>
      <c r="B88" s="72" t="s">
        <v>516</v>
      </c>
      <c r="C88" s="72" t="s">
        <v>8</v>
      </c>
      <c r="D88" s="72" t="s">
        <v>16</v>
      </c>
      <c r="E88" s="72" t="s">
        <v>82</v>
      </c>
      <c r="F88" s="72">
        <v>1</v>
      </c>
      <c r="G88" s="73">
        <f t="shared" si="16"/>
        <v>80</v>
      </c>
      <c r="H88" s="73">
        <f t="shared" si="15"/>
        <v>80</v>
      </c>
      <c r="I88" s="73">
        <f t="shared" si="17"/>
        <v>80</v>
      </c>
      <c r="J88" s="72" t="s">
        <v>83</v>
      </c>
      <c r="K88" s="74"/>
      <c r="M88" s="99"/>
      <c r="N88" s="80" t="e">
        <f t="shared" si="18"/>
        <v>#N/A</v>
      </c>
      <c r="O88" s="76"/>
      <c r="P88" s="100"/>
      <c r="Y88" s="91" t="s">
        <v>246</v>
      </c>
      <c r="Z88" s="92">
        <v>10</v>
      </c>
      <c r="AA88" s="92">
        <f t="shared" si="20"/>
        <v>1</v>
      </c>
    </row>
    <row r="89" spans="1:27" x14ac:dyDescent="0.25">
      <c r="A89" s="95">
        <v>45575</v>
      </c>
      <c r="B89" s="72" t="s">
        <v>511</v>
      </c>
      <c r="C89" s="72" t="s">
        <v>8</v>
      </c>
      <c r="D89" s="72" t="s">
        <v>18</v>
      </c>
      <c r="E89" s="72" t="s">
        <v>56</v>
      </c>
      <c r="F89" s="72">
        <v>1</v>
      </c>
      <c r="G89" s="73">
        <f t="shared" si="16"/>
        <v>40</v>
      </c>
      <c r="H89" s="73">
        <f t="shared" si="15"/>
        <v>40</v>
      </c>
      <c r="I89" s="73">
        <f t="shared" si="17"/>
        <v>38.003999999999998</v>
      </c>
      <c r="J89" s="72" t="s">
        <v>86</v>
      </c>
      <c r="K89" s="74"/>
      <c r="M89" s="99" t="s">
        <v>18</v>
      </c>
      <c r="N89" s="80">
        <f t="shared" si="18"/>
        <v>16</v>
      </c>
      <c r="O89" s="76">
        <f>N89*F89</f>
        <v>16</v>
      </c>
      <c r="P89" s="100" t="s">
        <v>56</v>
      </c>
      <c r="Q89" s="106"/>
      <c r="Y89" s="91" t="s">
        <v>248</v>
      </c>
      <c r="Z89" s="92">
        <v>9.7609999999999992</v>
      </c>
      <c r="AA89" s="92">
        <f t="shared" si="20"/>
        <v>0.97609999999999997</v>
      </c>
    </row>
    <row r="90" spans="1:27" x14ac:dyDescent="0.25">
      <c r="A90" s="95">
        <v>45575</v>
      </c>
      <c r="B90" s="72" t="s">
        <v>833</v>
      </c>
      <c r="C90" s="72" t="s">
        <v>8</v>
      </c>
      <c r="D90" s="72" t="s">
        <v>18</v>
      </c>
      <c r="E90" s="72" t="s">
        <v>56</v>
      </c>
      <c r="F90" s="72">
        <v>1</v>
      </c>
      <c r="G90" s="73">
        <v>30</v>
      </c>
      <c r="H90" s="73">
        <f t="shared" si="15"/>
        <v>30</v>
      </c>
      <c r="I90" s="73">
        <f t="shared" si="17"/>
        <v>30</v>
      </c>
      <c r="J90" s="72" t="s">
        <v>79</v>
      </c>
      <c r="K90" s="74"/>
      <c r="M90" s="99" t="s">
        <v>18</v>
      </c>
      <c r="N90" s="80">
        <f>H90*0.4</f>
        <v>12</v>
      </c>
      <c r="O90" s="76">
        <f>N90*F90</f>
        <v>12</v>
      </c>
      <c r="P90" s="100" t="s">
        <v>56</v>
      </c>
      <c r="Y90" s="91" t="s">
        <v>249</v>
      </c>
      <c r="Z90" s="92">
        <v>9.5009999999999994</v>
      </c>
      <c r="AA90" s="92">
        <f t="shared" si="20"/>
        <v>0.95009999999999994</v>
      </c>
    </row>
    <row r="91" spans="1:27" x14ac:dyDescent="0.25">
      <c r="A91" s="95">
        <v>45575</v>
      </c>
      <c r="B91" s="72" t="s">
        <v>703</v>
      </c>
      <c r="C91" s="72" t="s">
        <v>8</v>
      </c>
      <c r="D91" s="72" t="s">
        <v>40</v>
      </c>
      <c r="E91" s="72" t="s">
        <v>82</v>
      </c>
      <c r="F91" s="72">
        <v>1</v>
      </c>
      <c r="G91" s="73">
        <f t="shared" ref="G91:G99" si="21">VLOOKUP(D91,$S$3:$T$70,2,0)</f>
        <v>45</v>
      </c>
      <c r="H91" s="73">
        <f t="shared" si="15"/>
        <v>45</v>
      </c>
      <c r="I91" s="73">
        <f t="shared" si="17"/>
        <v>43.924500000000002</v>
      </c>
      <c r="J91" s="72" t="s">
        <v>78</v>
      </c>
      <c r="K91" s="74"/>
      <c r="M91" s="99"/>
      <c r="N91" s="80" t="e">
        <f t="shared" ref="N91:N135" si="22">VLOOKUP(M91,$S$3:$U$70,3,0)</f>
        <v>#N/A</v>
      </c>
      <c r="O91" s="76"/>
      <c r="P91" s="100"/>
      <c r="Y91" s="91" t="s">
        <v>250</v>
      </c>
      <c r="Z91" s="92">
        <v>20</v>
      </c>
      <c r="AA91" s="92">
        <f t="shared" si="20"/>
        <v>2</v>
      </c>
    </row>
    <row r="92" spans="1:27" x14ac:dyDescent="0.25">
      <c r="A92" s="95">
        <v>45575</v>
      </c>
      <c r="B92" s="72" t="s">
        <v>703</v>
      </c>
      <c r="C92" s="72" t="s">
        <v>8</v>
      </c>
      <c r="D92" s="72" t="s">
        <v>17</v>
      </c>
      <c r="E92" s="72" t="s">
        <v>82</v>
      </c>
      <c r="F92" s="72">
        <v>1</v>
      </c>
      <c r="G92" s="73">
        <f t="shared" si="21"/>
        <v>50</v>
      </c>
      <c r="H92" s="73">
        <f t="shared" si="15"/>
        <v>50</v>
      </c>
      <c r="I92" s="73">
        <f t="shared" si="17"/>
        <v>50</v>
      </c>
      <c r="J92" s="72" t="s">
        <v>79</v>
      </c>
      <c r="K92" s="74"/>
      <c r="M92" s="99"/>
      <c r="N92" s="80" t="e">
        <f t="shared" si="22"/>
        <v>#N/A</v>
      </c>
      <c r="O92" s="76"/>
      <c r="P92" s="100"/>
      <c r="Y92" s="91" t="s">
        <v>252</v>
      </c>
      <c r="Z92" s="92">
        <v>20</v>
      </c>
      <c r="AA92" s="92">
        <f t="shared" si="20"/>
        <v>2</v>
      </c>
    </row>
    <row r="93" spans="1:27" x14ac:dyDescent="0.25">
      <c r="A93" s="95">
        <v>45575</v>
      </c>
      <c r="B93" s="72" t="s">
        <v>739</v>
      </c>
      <c r="C93" s="72" t="s">
        <v>10</v>
      </c>
      <c r="D93" s="72" t="s">
        <v>19</v>
      </c>
      <c r="E93" s="72" t="s">
        <v>56</v>
      </c>
      <c r="F93" s="72">
        <v>1</v>
      </c>
      <c r="G93" s="73">
        <f t="shared" si="21"/>
        <v>40</v>
      </c>
      <c r="H93" s="73">
        <f t="shared" si="15"/>
        <v>40</v>
      </c>
      <c r="I93" s="73">
        <f t="shared" si="17"/>
        <v>40</v>
      </c>
      <c r="J93" s="72" t="s">
        <v>83</v>
      </c>
      <c r="K93" s="74"/>
      <c r="M93" s="99" t="s">
        <v>19</v>
      </c>
      <c r="N93" s="80">
        <f t="shared" si="22"/>
        <v>16</v>
      </c>
      <c r="O93" s="76">
        <f>N93*F93</f>
        <v>16</v>
      </c>
      <c r="P93" s="100" t="s">
        <v>56</v>
      </c>
      <c r="Y93" s="91" t="s">
        <v>253</v>
      </c>
      <c r="Z93" s="92">
        <v>19.521999999999998</v>
      </c>
      <c r="AA93" s="92">
        <f t="shared" si="20"/>
        <v>1.9521999999999999</v>
      </c>
    </row>
    <row r="94" spans="1:27" x14ac:dyDescent="0.25">
      <c r="A94" s="95">
        <v>45575</v>
      </c>
      <c r="B94" s="72" t="s">
        <v>739</v>
      </c>
      <c r="C94" s="72" t="s">
        <v>10</v>
      </c>
      <c r="D94" s="72" t="s">
        <v>779</v>
      </c>
      <c r="E94" s="72" t="s">
        <v>56</v>
      </c>
      <c r="F94" s="72">
        <v>1</v>
      </c>
      <c r="G94" s="73">
        <f t="shared" si="21"/>
        <v>3</v>
      </c>
      <c r="H94" s="73">
        <f t="shared" si="15"/>
        <v>3</v>
      </c>
      <c r="I94" s="73">
        <f t="shared" si="17"/>
        <v>3</v>
      </c>
      <c r="J94" s="72" t="s">
        <v>83</v>
      </c>
      <c r="K94" s="74"/>
      <c r="M94" s="99" t="s">
        <v>779</v>
      </c>
      <c r="N94" s="80">
        <f t="shared" si="22"/>
        <v>0.30000000000000004</v>
      </c>
      <c r="O94" s="76">
        <f>N94*F94</f>
        <v>0.30000000000000004</v>
      </c>
      <c r="P94" s="100" t="s">
        <v>56</v>
      </c>
      <c r="Y94" s="91" t="s">
        <v>254</v>
      </c>
      <c r="Z94" s="92">
        <v>19.001999999999999</v>
      </c>
      <c r="AA94" s="92">
        <f t="shared" si="20"/>
        <v>1.9001999999999999</v>
      </c>
    </row>
    <row r="95" spans="1:27" x14ac:dyDescent="0.25">
      <c r="A95" s="95">
        <v>45575</v>
      </c>
      <c r="B95" s="72" t="s">
        <v>784</v>
      </c>
      <c r="C95" s="72" t="s">
        <v>8</v>
      </c>
      <c r="D95" s="72" t="s">
        <v>19</v>
      </c>
      <c r="E95" s="72" t="s">
        <v>56</v>
      </c>
      <c r="F95" s="72">
        <v>1</v>
      </c>
      <c r="G95" s="73">
        <f t="shared" si="21"/>
        <v>40</v>
      </c>
      <c r="H95" s="73">
        <f t="shared" si="15"/>
        <v>40</v>
      </c>
      <c r="I95" s="73">
        <f t="shared" si="17"/>
        <v>40</v>
      </c>
      <c r="J95" s="72" t="s">
        <v>83</v>
      </c>
      <c r="K95" s="74"/>
      <c r="M95" s="99" t="s">
        <v>19</v>
      </c>
      <c r="N95" s="80">
        <f t="shared" si="22"/>
        <v>16</v>
      </c>
      <c r="O95" s="76">
        <f>N95*F95</f>
        <v>16</v>
      </c>
      <c r="P95" s="100" t="s">
        <v>56</v>
      </c>
      <c r="Y95" s="91" t="s">
        <v>255</v>
      </c>
      <c r="Z95" s="92">
        <v>10</v>
      </c>
      <c r="AA95" s="92">
        <f t="shared" si="20"/>
        <v>1</v>
      </c>
    </row>
    <row r="96" spans="1:27" x14ac:dyDescent="0.25">
      <c r="A96" s="95">
        <v>45575</v>
      </c>
      <c r="B96" s="72" t="s">
        <v>834</v>
      </c>
      <c r="C96" s="72" t="s">
        <v>8</v>
      </c>
      <c r="D96" s="72" t="s">
        <v>18</v>
      </c>
      <c r="E96" s="72" t="s">
        <v>82</v>
      </c>
      <c r="F96" s="72">
        <v>1</v>
      </c>
      <c r="G96" s="73">
        <f t="shared" si="21"/>
        <v>40</v>
      </c>
      <c r="H96" s="73">
        <f t="shared" ref="H96:H127" si="23">F96*G96</f>
        <v>40</v>
      </c>
      <c r="I96" s="73">
        <f t="shared" si="17"/>
        <v>40</v>
      </c>
      <c r="J96" s="72" t="s">
        <v>79</v>
      </c>
      <c r="K96" s="74"/>
      <c r="M96" s="99"/>
      <c r="N96" s="80" t="e">
        <f t="shared" si="22"/>
        <v>#N/A</v>
      </c>
      <c r="O96" s="76"/>
      <c r="P96" s="100"/>
      <c r="Y96" s="91" t="s">
        <v>257</v>
      </c>
      <c r="Z96" s="92">
        <v>10</v>
      </c>
      <c r="AA96" s="92">
        <f t="shared" si="20"/>
        <v>1</v>
      </c>
    </row>
    <row r="97" spans="1:27" x14ac:dyDescent="0.25">
      <c r="A97" s="95">
        <v>45575</v>
      </c>
      <c r="B97" s="72" t="s">
        <v>109</v>
      </c>
      <c r="C97" s="72" t="s">
        <v>8</v>
      </c>
      <c r="D97" s="72" t="s">
        <v>17</v>
      </c>
      <c r="E97" s="72" t="s">
        <v>82</v>
      </c>
      <c r="F97" s="72">
        <v>1</v>
      </c>
      <c r="G97" s="73">
        <f t="shared" si="21"/>
        <v>50</v>
      </c>
      <c r="H97" s="73">
        <f t="shared" si="23"/>
        <v>50</v>
      </c>
      <c r="I97" s="73">
        <f t="shared" si="17"/>
        <v>50</v>
      </c>
      <c r="J97" s="72" t="s">
        <v>79</v>
      </c>
      <c r="K97" s="74"/>
      <c r="M97" s="99"/>
      <c r="N97" s="80" t="e">
        <f t="shared" si="22"/>
        <v>#N/A</v>
      </c>
      <c r="O97" s="76"/>
      <c r="P97" s="100"/>
      <c r="Y97" s="91" t="s">
        <v>259</v>
      </c>
      <c r="Z97" s="92">
        <v>9.7609999999999992</v>
      </c>
      <c r="AA97" s="92">
        <f t="shared" si="20"/>
        <v>0.97609999999999997</v>
      </c>
    </row>
    <row r="98" spans="1:27" x14ac:dyDescent="0.25">
      <c r="A98" s="95">
        <v>45575</v>
      </c>
      <c r="B98" s="72" t="s">
        <v>204</v>
      </c>
      <c r="C98" s="72" t="s">
        <v>8</v>
      </c>
      <c r="D98" s="72" t="s">
        <v>26</v>
      </c>
      <c r="E98" s="72" t="s">
        <v>82</v>
      </c>
      <c r="F98" s="72">
        <v>1</v>
      </c>
      <c r="G98" s="73">
        <f t="shared" si="21"/>
        <v>35</v>
      </c>
      <c r="H98" s="73">
        <f t="shared" si="23"/>
        <v>35</v>
      </c>
      <c r="I98" s="73">
        <f t="shared" si="17"/>
        <v>33.253500000000003</v>
      </c>
      <c r="J98" s="72" t="s">
        <v>86</v>
      </c>
      <c r="K98" s="74"/>
      <c r="M98" s="99"/>
      <c r="N98" s="80" t="e">
        <f t="shared" si="22"/>
        <v>#N/A</v>
      </c>
      <c r="O98" s="76"/>
      <c r="P98" s="100"/>
      <c r="Y98" s="91" t="s">
        <v>261</v>
      </c>
      <c r="Z98" s="92">
        <v>9.5009999999999994</v>
      </c>
      <c r="AA98" s="92">
        <f t="shared" si="20"/>
        <v>0.95009999999999994</v>
      </c>
    </row>
    <row r="99" spans="1:27" x14ac:dyDescent="0.25">
      <c r="A99" s="95">
        <v>45576</v>
      </c>
      <c r="B99" s="72" t="s">
        <v>481</v>
      </c>
      <c r="C99" s="72" t="s">
        <v>8</v>
      </c>
      <c r="D99" s="72" t="s">
        <v>17</v>
      </c>
      <c r="E99" s="72" t="s">
        <v>82</v>
      </c>
      <c r="F99" s="72">
        <v>1</v>
      </c>
      <c r="G99" s="73">
        <f t="shared" si="21"/>
        <v>50</v>
      </c>
      <c r="H99" s="73">
        <f t="shared" si="23"/>
        <v>50</v>
      </c>
      <c r="I99" s="73">
        <f t="shared" si="17"/>
        <v>50</v>
      </c>
      <c r="J99" s="72" t="s">
        <v>79</v>
      </c>
      <c r="K99" s="74"/>
      <c r="M99" s="99"/>
      <c r="N99" s="80" t="e">
        <f t="shared" si="22"/>
        <v>#N/A</v>
      </c>
      <c r="O99" s="76"/>
      <c r="P99" s="100"/>
      <c r="Y99" s="91" t="s">
        <v>263</v>
      </c>
      <c r="Z99" s="92">
        <v>35</v>
      </c>
      <c r="AA99" s="92">
        <f t="shared" si="20"/>
        <v>3.5</v>
      </c>
    </row>
    <row r="100" spans="1:27" x14ac:dyDescent="0.25">
      <c r="A100" s="95">
        <v>45576</v>
      </c>
      <c r="B100" s="72" t="s">
        <v>481</v>
      </c>
      <c r="C100" s="72" t="s">
        <v>8</v>
      </c>
      <c r="D100" s="72" t="s">
        <v>42</v>
      </c>
      <c r="E100" s="72" t="s">
        <v>82</v>
      </c>
      <c r="F100" s="72">
        <v>1</v>
      </c>
      <c r="G100" s="73">
        <v>15</v>
      </c>
      <c r="H100" s="73">
        <f t="shared" si="23"/>
        <v>15</v>
      </c>
      <c r="I100" s="73">
        <f t="shared" si="17"/>
        <v>15</v>
      </c>
      <c r="J100" s="72" t="s">
        <v>79</v>
      </c>
      <c r="K100" s="74"/>
      <c r="M100" s="99"/>
      <c r="N100" s="80" t="e">
        <f t="shared" si="22"/>
        <v>#N/A</v>
      </c>
      <c r="O100" s="76"/>
      <c r="P100" s="100"/>
      <c r="Y100" s="91" t="s">
        <v>265</v>
      </c>
      <c r="Z100" s="92">
        <v>35</v>
      </c>
      <c r="AA100" s="92">
        <f t="shared" si="20"/>
        <v>3.5</v>
      </c>
    </row>
    <row r="101" spans="1:27" x14ac:dyDescent="0.25">
      <c r="A101" s="95">
        <v>45576</v>
      </c>
      <c r="B101" s="72" t="s">
        <v>481</v>
      </c>
      <c r="C101" s="72" t="s">
        <v>8</v>
      </c>
      <c r="D101" s="72" t="s">
        <v>34</v>
      </c>
      <c r="E101" s="72" t="s">
        <v>82</v>
      </c>
      <c r="F101" s="72">
        <v>1</v>
      </c>
      <c r="G101" s="73">
        <f t="shared" ref="G101:G116" si="24">VLOOKUP(D101,$S$3:$T$70,2,0)</f>
        <v>10</v>
      </c>
      <c r="H101" s="73">
        <f t="shared" si="23"/>
        <v>10</v>
      </c>
      <c r="I101" s="73">
        <f t="shared" si="17"/>
        <v>10</v>
      </c>
      <c r="J101" s="72" t="s">
        <v>79</v>
      </c>
      <c r="K101" s="74"/>
      <c r="M101" s="99"/>
      <c r="N101" s="80" t="e">
        <f t="shared" si="22"/>
        <v>#N/A</v>
      </c>
      <c r="O101" s="76"/>
      <c r="P101" s="100"/>
      <c r="Y101" s="91" t="s">
        <v>267</v>
      </c>
      <c r="Z101" s="92">
        <v>34.163499999999999</v>
      </c>
      <c r="AA101" s="92">
        <f t="shared" si="20"/>
        <v>3.41635</v>
      </c>
    </row>
    <row r="102" spans="1:27" x14ac:dyDescent="0.25">
      <c r="A102" s="95">
        <v>45576</v>
      </c>
      <c r="B102" s="72" t="s">
        <v>194</v>
      </c>
      <c r="C102" s="72" t="s">
        <v>8</v>
      </c>
      <c r="D102" s="72" t="s">
        <v>17</v>
      </c>
      <c r="E102" s="72" t="s">
        <v>82</v>
      </c>
      <c r="F102" s="72">
        <v>1</v>
      </c>
      <c r="G102" s="73">
        <f t="shared" si="24"/>
        <v>50</v>
      </c>
      <c r="H102" s="73">
        <f t="shared" si="23"/>
        <v>50</v>
      </c>
      <c r="I102" s="73">
        <f t="shared" si="17"/>
        <v>47.505000000000003</v>
      </c>
      <c r="J102" s="72" t="s">
        <v>86</v>
      </c>
      <c r="K102" s="74"/>
      <c r="M102" s="99"/>
      <c r="N102" s="80" t="e">
        <f t="shared" si="22"/>
        <v>#N/A</v>
      </c>
      <c r="O102" s="76"/>
      <c r="P102" s="100"/>
      <c r="Y102" s="91" t="s">
        <v>271</v>
      </c>
      <c r="Z102" s="92">
        <v>35</v>
      </c>
      <c r="AA102" s="92">
        <f t="shared" si="20"/>
        <v>3.5</v>
      </c>
    </row>
    <row r="103" spans="1:27" x14ac:dyDescent="0.25">
      <c r="A103" s="95">
        <v>45576</v>
      </c>
      <c r="B103" s="72" t="s">
        <v>605</v>
      </c>
      <c r="C103" s="72" t="s">
        <v>8</v>
      </c>
      <c r="D103" s="72" t="s">
        <v>18</v>
      </c>
      <c r="E103" s="72" t="s">
        <v>56</v>
      </c>
      <c r="F103" s="72">
        <v>1</v>
      </c>
      <c r="G103" s="73">
        <f t="shared" si="24"/>
        <v>40</v>
      </c>
      <c r="H103" s="73">
        <f t="shared" si="23"/>
        <v>40</v>
      </c>
      <c r="I103" s="73">
        <f t="shared" si="17"/>
        <v>40</v>
      </c>
      <c r="J103" s="72" t="s">
        <v>83</v>
      </c>
      <c r="K103" s="74"/>
      <c r="M103" s="99" t="s">
        <v>18</v>
      </c>
      <c r="N103" s="80">
        <f t="shared" si="22"/>
        <v>16</v>
      </c>
      <c r="O103" s="76">
        <f>N103*F103</f>
        <v>16</v>
      </c>
      <c r="P103" s="100" t="s">
        <v>56</v>
      </c>
      <c r="Q103" s="106"/>
      <c r="Y103" s="91" t="s">
        <v>273</v>
      </c>
      <c r="Z103" s="92">
        <v>35</v>
      </c>
      <c r="AA103" s="92">
        <f t="shared" si="20"/>
        <v>3.5</v>
      </c>
    </row>
    <row r="104" spans="1:27" x14ac:dyDescent="0.25">
      <c r="A104" s="95">
        <v>45576</v>
      </c>
      <c r="B104" s="72" t="s">
        <v>605</v>
      </c>
      <c r="C104" s="72" t="s">
        <v>8</v>
      </c>
      <c r="D104" s="72" t="s">
        <v>20</v>
      </c>
      <c r="E104" s="72" t="s">
        <v>56</v>
      </c>
      <c r="F104" s="72">
        <v>1</v>
      </c>
      <c r="G104" s="73">
        <f t="shared" si="24"/>
        <v>15</v>
      </c>
      <c r="H104" s="73">
        <f t="shared" si="23"/>
        <v>15</v>
      </c>
      <c r="I104" s="73">
        <f t="shared" si="17"/>
        <v>15</v>
      </c>
      <c r="J104" s="72" t="s">
        <v>83</v>
      </c>
      <c r="K104" s="74"/>
      <c r="M104" s="99" t="s">
        <v>20</v>
      </c>
      <c r="N104" s="80">
        <f t="shared" si="22"/>
        <v>6</v>
      </c>
      <c r="O104" s="76">
        <f>N104*F104</f>
        <v>6</v>
      </c>
      <c r="P104" s="100" t="s">
        <v>56</v>
      </c>
      <c r="Y104" s="91" t="s">
        <v>275</v>
      </c>
      <c r="Z104" s="92">
        <v>34.163499999999999</v>
      </c>
      <c r="AA104" s="92">
        <f t="shared" si="20"/>
        <v>3.41635</v>
      </c>
    </row>
    <row r="105" spans="1:27" x14ac:dyDescent="0.25">
      <c r="A105" s="95">
        <v>45576</v>
      </c>
      <c r="B105" s="72" t="s">
        <v>637</v>
      </c>
      <c r="C105" s="72" t="s">
        <v>8</v>
      </c>
      <c r="D105" s="72" t="s">
        <v>18</v>
      </c>
      <c r="E105" s="72" t="s">
        <v>82</v>
      </c>
      <c r="F105" s="72">
        <v>1</v>
      </c>
      <c r="G105" s="73">
        <f t="shared" si="24"/>
        <v>40</v>
      </c>
      <c r="H105" s="73">
        <f t="shared" si="23"/>
        <v>40</v>
      </c>
      <c r="I105" s="73">
        <f t="shared" si="17"/>
        <v>40</v>
      </c>
      <c r="J105" s="72" t="s">
        <v>83</v>
      </c>
      <c r="K105" s="74"/>
      <c r="M105" s="99"/>
      <c r="N105" s="80" t="e">
        <f t="shared" si="22"/>
        <v>#N/A</v>
      </c>
      <c r="O105" s="76"/>
      <c r="P105" s="100"/>
      <c r="Y105" s="91" t="s">
        <v>277</v>
      </c>
      <c r="Z105" s="92">
        <v>33.253500000000003</v>
      </c>
      <c r="AA105" s="92">
        <f t="shared" si="20"/>
        <v>3.3253500000000003</v>
      </c>
    </row>
    <row r="106" spans="1:27" x14ac:dyDescent="0.25">
      <c r="A106" s="95">
        <v>45576</v>
      </c>
      <c r="B106" s="72" t="s">
        <v>497</v>
      </c>
      <c r="C106" s="72" t="s">
        <v>8</v>
      </c>
      <c r="D106" s="72" t="s">
        <v>18</v>
      </c>
      <c r="E106" s="72" t="s">
        <v>82</v>
      </c>
      <c r="F106" s="72">
        <v>1</v>
      </c>
      <c r="G106" s="73">
        <f t="shared" si="24"/>
        <v>40</v>
      </c>
      <c r="H106" s="73">
        <f t="shared" si="23"/>
        <v>40</v>
      </c>
      <c r="I106" s="73">
        <f t="shared" si="17"/>
        <v>38.003999999999998</v>
      </c>
      <c r="J106" s="72" t="s">
        <v>86</v>
      </c>
      <c r="K106" s="74"/>
      <c r="M106" s="99"/>
      <c r="N106" s="80" t="e">
        <f t="shared" si="22"/>
        <v>#N/A</v>
      </c>
      <c r="O106" s="76"/>
      <c r="P106" s="100"/>
      <c r="Y106" s="91" t="s">
        <v>278</v>
      </c>
      <c r="Z106" s="92">
        <v>35</v>
      </c>
      <c r="AA106" s="92">
        <f t="shared" si="20"/>
        <v>3.5</v>
      </c>
    </row>
    <row r="107" spans="1:27" x14ac:dyDescent="0.25">
      <c r="A107" s="95">
        <v>45576</v>
      </c>
      <c r="B107" s="72" t="s">
        <v>661</v>
      </c>
      <c r="C107" s="72" t="s">
        <v>8</v>
      </c>
      <c r="D107" s="72" t="s">
        <v>18</v>
      </c>
      <c r="E107" s="72" t="s">
        <v>56</v>
      </c>
      <c r="F107" s="72">
        <v>1</v>
      </c>
      <c r="G107" s="73">
        <f t="shared" si="24"/>
        <v>40</v>
      </c>
      <c r="H107" s="73">
        <f t="shared" si="23"/>
        <v>40</v>
      </c>
      <c r="I107" s="73">
        <f t="shared" si="17"/>
        <v>38.003999999999998</v>
      </c>
      <c r="J107" s="72" t="s">
        <v>86</v>
      </c>
      <c r="K107" s="74"/>
      <c r="M107" s="99" t="s">
        <v>18</v>
      </c>
      <c r="N107" s="80">
        <f t="shared" si="22"/>
        <v>16</v>
      </c>
      <c r="O107" s="76">
        <f>N107*F107</f>
        <v>16</v>
      </c>
      <c r="P107" s="100" t="s">
        <v>56</v>
      </c>
      <c r="Y107" s="91" t="s">
        <v>280</v>
      </c>
      <c r="Z107" s="92">
        <v>35</v>
      </c>
      <c r="AA107" s="92">
        <f t="shared" si="20"/>
        <v>3.5</v>
      </c>
    </row>
    <row r="108" spans="1:27" x14ac:dyDescent="0.25">
      <c r="A108" s="95">
        <v>45576</v>
      </c>
      <c r="B108" s="72" t="s">
        <v>56</v>
      </c>
      <c r="C108" s="72" t="s">
        <v>10</v>
      </c>
      <c r="D108" s="72" t="s">
        <v>18</v>
      </c>
      <c r="E108" s="72" t="s">
        <v>56</v>
      </c>
      <c r="F108" s="72">
        <v>1</v>
      </c>
      <c r="G108" s="73">
        <f t="shared" si="24"/>
        <v>40</v>
      </c>
      <c r="H108" s="73">
        <f t="shared" si="23"/>
        <v>40</v>
      </c>
      <c r="I108" s="73">
        <f t="shared" si="17"/>
        <v>39.043999999999997</v>
      </c>
      <c r="J108" s="72" t="s">
        <v>78</v>
      </c>
      <c r="K108" s="74"/>
      <c r="M108" s="99" t="s">
        <v>18</v>
      </c>
      <c r="N108" s="80">
        <f t="shared" si="22"/>
        <v>16</v>
      </c>
      <c r="O108" s="76">
        <f>N108*F108</f>
        <v>16</v>
      </c>
      <c r="P108" s="100" t="s">
        <v>56</v>
      </c>
      <c r="Y108" s="91" t="s">
        <v>282</v>
      </c>
      <c r="Z108" s="92">
        <v>34.163499999999999</v>
      </c>
      <c r="AA108" s="92">
        <f t="shared" si="20"/>
        <v>3.41635</v>
      </c>
    </row>
    <row r="109" spans="1:27" x14ac:dyDescent="0.25">
      <c r="A109" s="95">
        <v>45576</v>
      </c>
      <c r="B109" s="72" t="s">
        <v>835</v>
      </c>
      <c r="C109" s="72" t="s">
        <v>8</v>
      </c>
      <c r="D109" s="72" t="s">
        <v>18</v>
      </c>
      <c r="E109" s="72" t="s">
        <v>82</v>
      </c>
      <c r="F109" s="72">
        <v>1</v>
      </c>
      <c r="G109" s="73">
        <f t="shared" si="24"/>
        <v>40</v>
      </c>
      <c r="H109" s="73">
        <f t="shared" si="23"/>
        <v>40</v>
      </c>
      <c r="I109" s="73">
        <f t="shared" si="17"/>
        <v>40</v>
      </c>
      <c r="J109" s="72" t="s">
        <v>83</v>
      </c>
      <c r="K109" s="74"/>
      <c r="M109" s="99"/>
      <c r="N109" s="80" t="e">
        <f t="shared" si="22"/>
        <v>#N/A</v>
      </c>
      <c r="O109" s="76"/>
      <c r="P109" s="100"/>
      <c r="Y109" s="91" t="s">
        <v>285</v>
      </c>
      <c r="Z109" s="92">
        <v>33.253500000000003</v>
      </c>
      <c r="AA109" s="92">
        <f t="shared" si="20"/>
        <v>3.3253500000000003</v>
      </c>
    </row>
    <row r="110" spans="1:27" x14ac:dyDescent="0.25">
      <c r="A110" s="95">
        <v>45576</v>
      </c>
      <c r="B110" s="72" t="s">
        <v>145</v>
      </c>
      <c r="C110" s="72" t="s">
        <v>8</v>
      </c>
      <c r="D110" s="72" t="s">
        <v>24</v>
      </c>
      <c r="E110" s="72" t="s">
        <v>82</v>
      </c>
      <c r="F110" s="72">
        <v>1</v>
      </c>
      <c r="G110" s="73">
        <f t="shared" si="24"/>
        <v>10</v>
      </c>
      <c r="H110" s="73">
        <f t="shared" si="23"/>
        <v>10</v>
      </c>
      <c r="I110" s="73">
        <f t="shared" si="17"/>
        <v>10</v>
      </c>
      <c r="J110" s="72" t="s">
        <v>79</v>
      </c>
      <c r="K110" s="74"/>
      <c r="M110" s="99"/>
      <c r="N110" s="80" t="e">
        <f t="shared" si="22"/>
        <v>#N/A</v>
      </c>
      <c r="O110" s="76"/>
      <c r="P110" s="100"/>
      <c r="Y110" s="91" t="s">
        <v>286</v>
      </c>
      <c r="Z110" s="92">
        <v>35</v>
      </c>
      <c r="AA110" s="92">
        <f t="shared" si="20"/>
        <v>3.5</v>
      </c>
    </row>
    <row r="111" spans="1:27" x14ac:dyDescent="0.25">
      <c r="A111" s="95">
        <v>45576</v>
      </c>
      <c r="B111" s="72" t="s">
        <v>274</v>
      </c>
      <c r="C111" s="72" t="s">
        <v>8</v>
      </c>
      <c r="D111" s="72" t="s">
        <v>16</v>
      </c>
      <c r="E111" s="72" t="s">
        <v>82</v>
      </c>
      <c r="F111" s="72">
        <v>1</v>
      </c>
      <c r="G111" s="73">
        <f t="shared" si="24"/>
        <v>80</v>
      </c>
      <c r="H111" s="73">
        <f t="shared" si="23"/>
        <v>80</v>
      </c>
      <c r="I111" s="73">
        <f t="shared" si="17"/>
        <v>80</v>
      </c>
      <c r="J111" s="72" t="s">
        <v>83</v>
      </c>
      <c r="K111" s="74"/>
      <c r="M111" s="99"/>
      <c r="N111" s="80" t="e">
        <f t="shared" si="22"/>
        <v>#N/A</v>
      </c>
      <c r="O111" s="76"/>
      <c r="P111" s="100"/>
      <c r="Y111" s="91" t="s">
        <v>287</v>
      </c>
      <c r="Z111" s="92">
        <v>35</v>
      </c>
      <c r="AA111" s="92">
        <f t="shared" si="20"/>
        <v>3.5</v>
      </c>
    </row>
    <row r="112" spans="1:27" x14ac:dyDescent="0.25">
      <c r="A112" s="95">
        <v>45576</v>
      </c>
      <c r="B112" s="72" t="s">
        <v>274</v>
      </c>
      <c r="C112" s="72" t="s">
        <v>8</v>
      </c>
      <c r="D112" s="72" t="s">
        <v>20</v>
      </c>
      <c r="E112" s="72" t="s">
        <v>56</v>
      </c>
      <c r="F112" s="72">
        <v>1</v>
      </c>
      <c r="G112" s="73">
        <f t="shared" si="24"/>
        <v>15</v>
      </c>
      <c r="H112" s="73">
        <f t="shared" si="23"/>
        <v>15</v>
      </c>
      <c r="I112" s="73">
        <f t="shared" si="17"/>
        <v>15</v>
      </c>
      <c r="J112" s="72" t="s">
        <v>83</v>
      </c>
      <c r="K112" s="74"/>
      <c r="M112" s="99" t="s">
        <v>20</v>
      </c>
      <c r="N112" s="80">
        <f t="shared" si="22"/>
        <v>6</v>
      </c>
      <c r="O112" s="76">
        <f>N112*F112</f>
        <v>6</v>
      </c>
      <c r="P112" s="100" t="s">
        <v>56</v>
      </c>
      <c r="Y112" s="91" t="s">
        <v>288</v>
      </c>
      <c r="Z112" s="92">
        <v>34.163499999999999</v>
      </c>
      <c r="AA112" s="92">
        <f t="shared" si="20"/>
        <v>3.41635</v>
      </c>
    </row>
    <row r="113" spans="1:27" x14ac:dyDescent="0.25">
      <c r="A113" s="95">
        <v>45576</v>
      </c>
      <c r="B113" s="72" t="s">
        <v>274</v>
      </c>
      <c r="C113" s="72" t="s">
        <v>8</v>
      </c>
      <c r="D113" s="72" t="s">
        <v>603</v>
      </c>
      <c r="E113" s="72" t="s">
        <v>82</v>
      </c>
      <c r="F113" s="72">
        <v>1</v>
      </c>
      <c r="G113" s="73">
        <f t="shared" si="24"/>
        <v>35</v>
      </c>
      <c r="H113" s="73">
        <f t="shared" si="23"/>
        <v>35</v>
      </c>
      <c r="I113" s="73">
        <f t="shared" si="17"/>
        <v>35</v>
      </c>
      <c r="J113" s="72" t="s">
        <v>83</v>
      </c>
      <c r="K113" s="74"/>
      <c r="M113" s="99"/>
      <c r="N113" s="80" t="e">
        <f t="shared" si="22"/>
        <v>#N/A</v>
      </c>
      <c r="O113" s="76"/>
      <c r="P113" s="100"/>
      <c r="Y113" s="91" t="s">
        <v>290</v>
      </c>
      <c r="Z113" s="92">
        <v>33.253500000000003</v>
      </c>
      <c r="AA113" s="92">
        <f t="shared" si="20"/>
        <v>3.3253500000000003</v>
      </c>
    </row>
    <row r="114" spans="1:27" x14ac:dyDescent="0.25">
      <c r="A114" s="95">
        <v>45577</v>
      </c>
      <c r="B114" s="72" t="s">
        <v>587</v>
      </c>
      <c r="C114" s="72" t="s">
        <v>8</v>
      </c>
      <c r="D114" s="72" t="s">
        <v>19</v>
      </c>
      <c r="E114" s="72" t="s">
        <v>56</v>
      </c>
      <c r="F114" s="72">
        <v>1</v>
      </c>
      <c r="G114" s="73">
        <f t="shared" si="24"/>
        <v>40</v>
      </c>
      <c r="H114" s="73">
        <f t="shared" si="23"/>
        <v>40</v>
      </c>
      <c r="I114" s="73">
        <f t="shared" si="17"/>
        <v>39.043999999999997</v>
      </c>
      <c r="J114" s="72" t="s">
        <v>78</v>
      </c>
      <c r="K114" s="74"/>
      <c r="M114" s="99" t="s">
        <v>19</v>
      </c>
      <c r="N114" s="80">
        <f t="shared" si="22"/>
        <v>16</v>
      </c>
      <c r="O114" s="76">
        <f>N114*F114</f>
        <v>16</v>
      </c>
      <c r="P114" s="100" t="s">
        <v>56</v>
      </c>
      <c r="Y114" s="91" t="s">
        <v>293</v>
      </c>
      <c r="Z114" s="92">
        <v>60</v>
      </c>
      <c r="AA114" s="92">
        <f t="shared" si="20"/>
        <v>6</v>
      </c>
    </row>
    <row r="115" spans="1:27" x14ac:dyDescent="0.25">
      <c r="A115" s="95">
        <v>45577</v>
      </c>
      <c r="B115" s="72" t="s">
        <v>427</v>
      </c>
      <c r="C115" s="72" t="s">
        <v>8</v>
      </c>
      <c r="D115" s="72" t="s">
        <v>17</v>
      </c>
      <c r="E115" s="72" t="s">
        <v>56</v>
      </c>
      <c r="F115" s="72">
        <v>1</v>
      </c>
      <c r="G115" s="73">
        <f t="shared" si="24"/>
        <v>50</v>
      </c>
      <c r="H115" s="73">
        <f t="shared" si="23"/>
        <v>50</v>
      </c>
      <c r="I115" s="73">
        <f t="shared" si="17"/>
        <v>50</v>
      </c>
      <c r="J115" s="72" t="s">
        <v>83</v>
      </c>
      <c r="K115" s="74"/>
      <c r="M115" s="99" t="s">
        <v>17</v>
      </c>
      <c r="N115" s="80">
        <f t="shared" si="22"/>
        <v>20</v>
      </c>
      <c r="O115" s="76">
        <f>N115*F115</f>
        <v>20</v>
      </c>
      <c r="P115" s="100" t="s">
        <v>56</v>
      </c>
      <c r="Y115" s="91" t="s">
        <v>295</v>
      </c>
      <c r="Z115" s="92">
        <v>58.566000000000003</v>
      </c>
      <c r="AA115" s="92">
        <f t="shared" si="20"/>
        <v>5.8566000000000003</v>
      </c>
    </row>
    <row r="116" spans="1:27" x14ac:dyDescent="0.25">
      <c r="A116" s="95">
        <v>45577</v>
      </c>
      <c r="B116" s="72" t="s">
        <v>414</v>
      </c>
      <c r="C116" s="72" t="s">
        <v>10</v>
      </c>
      <c r="D116" s="72" t="s">
        <v>18</v>
      </c>
      <c r="E116" s="72" t="s">
        <v>56</v>
      </c>
      <c r="F116" s="72">
        <v>1</v>
      </c>
      <c r="G116" s="73">
        <f t="shared" si="24"/>
        <v>40</v>
      </c>
      <c r="H116" s="73">
        <f t="shared" si="23"/>
        <v>40</v>
      </c>
      <c r="I116" s="73">
        <f t="shared" si="17"/>
        <v>39.043999999999997</v>
      </c>
      <c r="J116" s="72" t="s">
        <v>78</v>
      </c>
      <c r="K116" s="74"/>
      <c r="M116" s="99" t="s">
        <v>18</v>
      </c>
      <c r="N116" s="80">
        <f t="shared" si="22"/>
        <v>16</v>
      </c>
      <c r="O116" s="76">
        <f>N116*F116</f>
        <v>16</v>
      </c>
      <c r="P116" s="100" t="s">
        <v>56</v>
      </c>
      <c r="Y116" s="91" t="s">
        <v>296</v>
      </c>
      <c r="Z116" s="92">
        <v>57.006</v>
      </c>
      <c r="AA116" s="92">
        <f t="shared" si="20"/>
        <v>5.7006000000000006</v>
      </c>
    </row>
    <row r="117" spans="1:27" x14ac:dyDescent="0.25">
      <c r="A117" s="95">
        <v>45577</v>
      </c>
      <c r="B117" s="72" t="s">
        <v>414</v>
      </c>
      <c r="C117" s="72" t="s">
        <v>10</v>
      </c>
      <c r="D117" s="72" t="s">
        <v>34</v>
      </c>
      <c r="E117" s="72" t="s">
        <v>56</v>
      </c>
      <c r="F117" s="72">
        <v>1</v>
      </c>
      <c r="G117" s="73">
        <v>15</v>
      </c>
      <c r="H117" s="73">
        <f t="shared" si="23"/>
        <v>15</v>
      </c>
      <c r="I117" s="73">
        <f t="shared" si="17"/>
        <v>14.641500000000001</v>
      </c>
      <c r="J117" s="72" t="s">
        <v>78</v>
      </c>
      <c r="K117" s="74"/>
      <c r="M117" s="99" t="s">
        <v>34</v>
      </c>
      <c r="N117" s="80">
        <f t="shared" si="22"/>
        <v>1</v>
      </c>
      <c r="O117" s="76">
        <f>N117*F117</f>
        <v>1</v>
      </c>
      <c r="P117" s="100" t="s">
        <v>56</v>
      </c>
      <c r="Y117" s="91" t="s">
        <v>298</v>
      </c>
      <c r="Z117" s="92">
        <v>6</v>
      </c>
      <c r="AA117" s="92">
        <f t="shared" si="20"/>
        <v>0.60000000000000009</v>
      </c>
    </row>
    <row r="118" spans="1:27" x14ac:dyDescent="0.25">
      <c r="A118" s="95">
        <v>45577</v>
      </c>
      <c r="B118" s="72" t="s">
        <v>761</v>
      </c>
      <c r="C118" s="72" t="s">
        <v>8</v>
      </c>
      <c r="D118" s="72" t="s">
        <v>22</v>
      </c>
      <c r="E118" s="72" t="s">
        <v>82</v>
      </c>
      <c r="F118" s="72">
        <v>1</v>
      </c>
      <c r="G118" s="73">
        <f t="shared" ref="G118:G131" si="25">VLOOKUP(D118,$S$3:$T$70,2,0)</f>
        <v>30</v>
      </c>
      <c r="H118" s="73">
        <f t="shared" si="23"/>
        <v>30</v>
      </c>
      <c r="I118" s="73">
        <f t="shared" si="17"/>
        <v>28.503</v>
      </c>
      <c r="J118" s="72" t="s">
        <v>86</v>
      </c>
      <c r="K118" s="74"/>
      <c r="M118" s="99"/>
      <c r="N118" s="80" t="e">
        <f t="shared" si="22"/>
        <v>#N/A</v>
      </c>
      <c r="O118" s="76"/>
      <c r="P118" s="100"/>
      <c r="AA118" s="92"/>
    </row>
    <row r="119" spans="1:27" x14ac:dyDescent="0.25">
      <c r="A119" s="95">
        <v>45577</v>
      </c>
      <c r="B119" s="72" t="s">
        <v>761</v>
      </c>
      <c r="C119" s="72" t="s">
        <v>8</v>
      </c>
      <c r="D119" s="72" t="s">
        <v>13</v>
      </c>
      <c r="E119" s="72" t="s">
        <v>82</v>
      </c>
      <c r="F119" s="72">
        <v>1</v>
      </c>
      <c r="G119" s="73">
        <f t="shared" si="25"/>
        <v>30</v>
      </c>
      <c r="H119" s="73">
        <f t="shared" si="23"/>
        <v>30</v>
      </c>
      <c r="I119" s="73">
        <f t="shared" si="17"/>
        <v>28.503</v>
      </c>
      <c r="J119" s="72" t="s">
        <v>86</v>
      </c>
      <c r="K119" s="74"/>
      <c r="M119" s="99"/>
      <c r="N119" s="80" t="e">
        <f t="shared" si="22"/>
        <v>#N/A</v>
      </c>
      <c r="O119" s="76"/>
      <c r="P119" s="100"/>
      <c r="AA119" s="92"/>
    </row>
    <row r="120" spans="1:27" x14ac:dyDescent="0.25">
      <c r="A120" s="95">
        <v>45577</v>
      </c>
      <c r="B120" s="72" t="s">
        <v>301</v>
      </c>
      <c r="C120" s="72" t="s">
        <v>8</v>
      </c>
      <c r="D120" s="72" t="s">
        <v>16</v>
      </c>
      <c r="E120" s="72" t="s">
        <v>82</v>
      </c>
      <c r="F120" s="72">
        <v>1</v>
      </c>
      <c r="G120" s="73">
        <f t="shared" si="25"/>
        <v>80</v>
      </c>
      <c r="H120" s="73">
        <f t="shared" si="23"/>
        <v>80</v>
      </c>
      <c r="I120" s="73">
        <f t="shared" si="17"/>
        <v>76.007999999999996</v>
      </c>
      <c r="J120" s="72" t="s">
        <v>86</v>
      </c>
      <c r="K120" s="74"/>
      <c r="M120" s="99"/>
      <c r="N120" s="80" t="e">
        <f t="shared" si="22"/>
        <v>#N/A</v>
      </c>
      <c r="O120" s="76"/>
      <c r="P120" s="100"/>
      <c r="AA120" s="92"/>
    </row>
    <row r="121" spans="1:27" x14ac:dyDescent="0.25">
      <c r="A121" s="95">
        <v>45577</v>
      </c>
      <c r="B121" s="72" t="s">
        <v>301</v>
      </c>
      <c r="C121" s="72" t="s">
        <v>8</v>
      </c>
      <c r="D121" s="72" t="s">
        <v>23</v>
      </c>
      <c r="E121" s="72" t="s">
        <v>82</v>
      </c>
      <c r="F121" s="72">
        <v>1</v>
      </c>
      <c r="G121" s="73">
        <f t="shared" si="25"/>
        <v>5</v>
      </c>
      <c r="H121" s="73">
        <f t="shared" si="23"/>
        <v>5</v>
      </c>
      <c r="I121" s="73">
        <f t="shared" si="17"/>
        <v>4.7504999999999997</v>
      </c>
      <c r="J121" s="72" t="s">
        <v>86</v>
      </c>
      <c r="K121" s="74"/>
      <c r="M121" s="99"/>
      <c r="N121" s="80" t="e">
        <f t="shared" si="22"/>
        <v>#N/A</v>
      </c>
      <c r="O121" s="76"/>
      <c r="P121" s="100"/>
      <c r="AA121" s="92"/>
    </row>
    <row r="122" spans="1:27" x14ac:dyDescent="0.25">
      <c r="A122" s="95">
        <v>45577</v>
      </c>
      <c r="B122" s="72" t="s">
        <v>516</v>
      </c>
      <c r="C122" s="72" t="s">
        <v>8</v>
      </c>
      <c r="D122" s="72" t="s">
        <v>18</v>
      </c>
      <c r="E122" s="72" t="s">
        <v>82</v>
      </c>
      <c r="F122" s="72">
        <v>1</v>
      </c>
      <c r="G122" s="73">
        <f t="shared" si="25"/>
        <v>40</v>
      </c>
      <c r="H122" s="73">
        <f t="shared" si="23"/>
        <v>40</v>
      </c>
      <c r="I122" s="73">
        <f t="shared" si="17"/>
        <v>40</v>
      </c>
      <c r="J122" s="72" t="s">
        <v>79</v>
      </c>
      <c r="K122" s="74"/>
      <c r="M122" s="99"/>
      <c r="N122" s="80" t="e">
        <f t="shared" si="22"/>
        <v>#N/A</v>
      </c>
      <c r="O122" s="76"/>
      <c r="P122" s="100"/>
      <c r="AA122" s="92"/>
    </row>
    <row r="123" spans="1:27" x14ac:dyDescent="0.25">
      <c r="A123" s="95">
        <v>45577</v>
      </c>
      <c r="B123" s="72" t="s">
        <v>562</v>
      </c>
      <c r="C123" s="72" t="s">
        <v>8</v>
      </c>
      <c r="D123" s="72" t="s">
        <v>30</v>
      </c>
      <c r="E123" s="72" t="s">
        <v>82</v>
      </c>
      <c r="F123" s="72">
        <v>1</v>
      </c>
      <c r="G123" s="73">
        <f t="shared" si="25"/>
        <v>90</v>
      </c>
      <c r="H123" s="73">
        <f t="shared" si="23"/>
        <v>90</v>
      </c>
      <c r="I123" s="73">
        <f t="shared" si="17"/>
        <v>85.509</v>
      </c>
      <c r="J123" s="72" t="s">
        <v>86</v>
      </c>
      <c r="K123" s="74"/>
      <c r="M123" s="99"/>
      <c r="N123" s="80" t="e">
        <f t="shared" si="22"/>
        <v>#N/A</v>
      </c>
      <c r="O123" s="76"/>
      <c r="P123" s="100"/>
      <c r="AA123" s="92"/>
    </row>
    <row r="124" spans="1:27" x14ac:dyDescent="0.25">
      <c r="A124" s="95">
        <v>45577</v>
      </c>
      <c r="B124" s="72" t="s">
        <v>283</v>
      </c>
      <c r="C124" s="72" t="s">
        <v>8</v>
      </c>
      <c r="D124" s="72" t="s">
        <v>43</v>
      </c>
      <c r="E124" s="72" t="s">
        <v>82</v>
      </c>
      <c r="F124" s="72">
        <v>1</v>
      </c>
      <c r="G124" s="73">
        <f t="shared" si="25"/>
        <v>130</v>
      </c>
      <c r="H124" s="73">
        <f t="shared" si="23"/>
        <v>130</v>
      </c>
      <c r="I124" s="73">
        <f t="shared" si="17"/>
        <v>123.51300000000001</v>
      </c>
      <c r="J124" s="72" t="s">
        <v>86</v>
      </c>
      <c r="K124" s="74"/>
      <c r="M124" s="99"/>
      <c r="N124" s="80" t="e">
        <f t="shared" si="22"/>
        <v>#N/A</v>
      </c>
      <c r="O124" s="76"/>
      <c r="P124" s="100"/>
      <c r="Q124" s="106"/>
      <c r="Y124" s="91" t="s">
        <v>300</v>
      </c>
      <c r="Z124" s="92">
        <v>6</v>
      </c>
      <c r="AA124" s="92">
        <f>Z124*0.1</f>
        <v>0.60000000000000009</v>
      </c>
    </row>
    <row r="125" spans="1:27" x14ac:dyDescent="0.25">
      <c r="A125" s="95">
        <v>45577</v>
      </c>
      <c r="B125" s="72" t="s">
        <v>324</v>
      </c>
      <c r="C125" s="72" t="s">
        <v>8</v>
      </c>
      <c r="D125" s="72" t="s">
        <v>18</v>
      </c>
      <c r="E125" s="72" t="s">
        <v>82</v>
      </c>
      <c r="F125" s="72">
        <v>1</v>
      </c>
      <c r="G125" s="73">
        <f t="shared" si="25"/>
        <v>40</v>
      </c>
      <c r="H125" s="73">
        <f t="shared" si="23"/>
        <v>40</v>
      </c>
      <c r="I125" s="73">
        <f t="shared" si="17"/>
        <v>39.043999999999997</v>
      </c>
      <c r="J125" s="72" t="s">
        <v>78</v>
      </c>
      <c r="K125" s="74"/>
      <c r="M125" s="99"/>
      <c r="N125" s="80" t="e">
        <f t="shared" si="22"/>
        <v>#N/A</v>
      </c>
      <c r="O125" s="76"/>
      <c r="P125" s="100"/>
      <c r="AA125" s="92"/>
    </row>
    <row r="126" spans="1:27" x14ac:dyDescent="0.25">
      <c r="A126" s="95">
        <v>45577</v>
      </c>
      <c r="B126" s="72" t="s">
        <v>555</v>
      </c>
      <c r="C126" s="72" t="s">
        <v>8</v>
      </c>
      <c r="D126" s="72" t="s">
        <v>18</v>
      </c>
      <c r="E126" s="72" t="s">
        <v>82</v>
      </c>
      <c r="F126" s="72">
        <v>1</v>
      </c>
      <c r="G126" s="73">
        <f t="shared" si="25"/>
        <v>40</v>
      </c>
      <c r="H126" s="73">
        <f t="shared" si="23"/>
        <v>40</v>
      </c>
      <c r="I126" s="73">
        <f t="shared" si="17"/>
        <v>40</v>
      </c>
      <c r="J126" s="72" t="s">
        <v>83</v>
      </c>
      <c r="K126" s="74"/>
      <c r="M126" s="99"/>
      <c r="N126" s="80" t="e">
        <f t="shared" si="22"/>
        <v>#N/A</v>
      </c>
      <c r="O126" s="76"/>
      <c r="P126" s="100"/>
      <c r="AA126" s="92"/>
    </row>
    <row r="127" spans="1:27" x14ac:dyDescent="0.25">
      <c r="A127" s="95">
        <v>45577</v>
      </c>
      <c r="B127" s="72" t="s">
        <v>555</v>
      </c>
      <c r="C127" s="72" t="s">
        <v>8</v>
      </c>
      <c r="D127" s="72" t="s">
        <v>45</v>
      </c>
      <c r="E127" s="72" t="s">
        <v>82</v>
      </c>
      <c r="F127" s="72">
        <v>1</v>
      </c>
      <c r="G127" s="73">
        <f t="shared" si="25"/>
        <v>3.5</v>
      </c>
      <c r="H127" s="73">
        <f t="shared" si="23"/>
        <v>3.5</v>
      </c>
      <c r="I127" s="73">
        <f t="shared" si="17"/>
        <v>3.5</v>
      </c>
      <c r="J127" s="72" t="s">
        <v>83</v>
      </c>
      <c r="K127" s="74"/>
      <c r="M127" s="99"/>
      <c r="N127" s="80" t="e">
        <f t="shared" si="22"/>
        <v>#N/A</v>
      </c>
      <c r="O127" s="76"/>
      <c r="P127" s="100"/>
      <c r="AA127" s="92"/>
    </row>
    <row r="128" spans="1:27" x14ac:dyDescent="0.25">
      <c r="A128" s="95">
        <v>45577</v>
      </c>
      <c r="B128" s="72" t="s">
        <v>204</v>
      </c>
      <c r="C128" s="72" t="s">
        <v>8</v>
      </c>
      <c r="D128" s="72" t="s">
        <v>17</v>
      </c>
      <c r="E128" s="72" t="s">
        <v>82</v>
      </c>
      <c r="F128" s="72">
        <v>1</v>
      </c>
      <c r="G128" s="73">
        <f t="shared" si="25"/>
        <v>50</v>
      </c>
      <c r="H128" s="73">
        <f t="shared" ref="H128:H159" si="26">F128*G128</f>
        <v>50</v>
      </c>
      <c r="I128" s="73">
        <f t="shared" si="17"/>
        <v>50</v>
      </c>
      <c r="J128" s="72" t="s">
        <v>83</v>
      </c>
      <c r="K128" s="74"/>
      <c r="M128" s="99"/>
      <c r="N128" s="80" t="e">
        <f t="shared" si="22"/>
        <v>#N/A</v>
      </c>
      <c r="O128" s="76"/>
      <c r="P128" s="100"/>
      <c r="Q128" s="106"/>
      <c r="AA128" s="92"/>
    </row>
    <row r="129" spans="1:27" x14ac:dyDescent="0.25">
      <c r="A129" s="95">
        <v>45577</v>
      </c>
      <c r="B129" s="72" t="s">
        <v>836</v>
      </c>
      <c r="C129" s="72" t="s">
        <v>8</v>
      </c>
      <c r="D129" s="72" t="s">
        <v>17</v>
      </c>
      <c r="E129" s="72" t="s">
        <v>56</v>
      </c>
      <c r="F129" s="72">
        <v>1</v>
      </c>
      <c r="G129" s="73">
        <f t="shared" si="25"/>
        <v>50</v>
      </c>
      <c r="H129" s="73">
        <f t="shared" si="26"/>
        <v>50</v>
      </c>
      <c r="I129" s="73">
        <f t="shared" si="17"/>
        <v>50</v>
      </c>
      <c r="J129" s="72" t="s">
        <v>83</v>
      </c>
      <c r="K129" s="74"/>
      <c r="M129" s="99" t="s">
        <v>17</v>
      </c>
      <c r="N129" s="80">
        <f t="shared" si="22"/>
        <v>20</v>
      </c>
      <c r="O129" s="76">
        <f>N129*F129</f>
        <v>20</v>
      </c>
      <c r="P129" s="100" t="s">
        <v>56</v>
      </c>
      <c r="Q129" s="106">
        <f>SUM(O62:O129)</f>
        <v>374.8</v>
      </c>
      <c r="AA129" s="92"/>
    </row>
    <row r="130" spans="1:27" x14ac:dyDescent="0.25">
      <c r="A130" s="95">
        <v>45580</v>
      </c>
      <c r="B130" s="72" t="s">
        <v>837</v>
      </c>
      <c r="C130" s="72" t="s">
        <v>8</v>
      </c>
      <c r="D130" s="72" t="s">
        <v>15</v>
      </c>
      <c r="E130" s="72" t="s">
        <v>56</v>
      </c>
      <c r="F130" s="72">
        <v>1</v>
      </c>
      <c r="G130" s="73">
        <f t="shared" si="25"/>
        <v>70</v>
      </c>
      <c r="H130" s="73">
        <f t="shared" si="26"/>
        <v>70</v>
      </c>
      <c r="I130" s="73">
        <f t="shared" si="17"/>
        <v>66.507000000000005</v>
      </c>
      <c r="J130" s="72" t="s">
        <v>86</v>
      </c>
      <c r="K130" s="74"/>
      <c r="M130" s="99" t="s">
        <v>15</v>
      </c>
      <c r="N130" s="80">
        <f t="shared" si="22"/>
        <v>28</v>
      </c>
      <c r="O130" s="76">
        <f>N130*F130</f>
        <v>28</v>
      </c>
      <c r="P130" s="100" t="s">
        <v>56</v>
      </c>
      <c r="AA130" s="92"/>
    </row>
    <row r="131" spans="1:27" x14ac:dyDescent="0.25">
      <c r="A131" s="95">
        <v>45580</v>
      </c>
      <c r="B131" s="72" t="s">
        <v>574</v>
      </c>
      <c r="C131" s="72" t="s">
        <v>8</v>
      </c>
      <c r="D131" s="72" t="s">
        <v>18</v>
      </c>
      <c r="E131" s="72" t="s">
        <v>82</v>
      </c>
      <c r="F131" s="72">
        <v>1</v>
      </c>
      <c r="G131" s="73">
        <f t="shared" si="25"/>
        <v>40</v>
      </c>
      <c r="H131" s="73">
        <f t="shared" si="26"/>
        <v>40</v>
      </c>
      <c r="I131" s="73">
        <f t="shared" ref="I131:I194" si="27">IF(J131="Cartão de Debito",H131-(H131*$AC$5),IF(J131="Cartão de Credito",H131-(H131*$AC$6), IF(J131="Pix",H131-(H131*$AC$7), IF(J131="Dinheiro (R$)", H131-(H131*$AC$8)))))</f>
        <v>40</v>
      </c>
      <c r="J131" s="72" t="s">
        <v>83</v>
      </c>
      <c r="K131" s="74"/>
      <c r="M131" s="99"/>
      <c r="N131" s="80" t="e">
        <f t="shared" si="22"/>
        <v>#N/A</v>
      </c>
      <c r="O131" s="76"/>
      <c r="P131" s="100"/>
      <c r="AA131" s="92"/>
    </row>
    <row r="132" spans="1:27" x14ac:dyDescent="0.25">
      <c r="A132" s="95">
        <v>45580</v>
      </c>
      <c r="B132" s="72" t="s">
        <v>574</v>
      </c>
      <c r="C132" s="72" t="s">
        <v>8</v>
      </c>
      <c r="D132" s="72" t="s">
        <v>766</v>
      </c>
      <c r="E132" s="72" t="s">
        <v>82</v>
      </c>
      <c r="F132" s="72">
        <v>1</v>
      </c>
      <c r="G132" s="73">
        <v>4</v>
      </c>
      <c r="H132" s="73">
        <f t="shared" si="26"/>
        <v>4</v>
      </c>
      <c r="I132" s="73">
        <f t="shared" si="27"/>
        <v>4</v>
      </c>
      <c r="J132" s="72" t="s">
        <v>83</v>
      </c>
      <c r="K132" s="74"/>
      <c r="M132" s="99"/>
      <c r="N132" s="80" t="e">
        <f t="shared" si="22"/>
        <v>#N/A</v>
      </c>
      <c r="O132" s="76"/>
      <c r="P132" s="100"/>
      <c r="AA132" s="92"/>
    </row>
    <row r="133" spans="1:27" x14ac:dyDescent="0.25">
      <c r="A133" s="95">
        <v>45580</v>
      </c>
      <c r="B133" s="72" t="s">
        <v>708</v>
      </c>
      <c r="C133" s="72" t="s">
        <v>8</v>
      </c>
      <c r="D133" s="72" t="s">
        <v>40</v>
      </c>
      <c r="E133" s="72" t="s">
        <v>82</v>
      </c>
      <c r="F133" s="72">
        <v>1</v>
      </c>
      <c r="G133" s="73">
        <f>VLOOKUP(D133,$S$3:$T$70,2,0)</f>
        <v>45</v>
      </c>
      <c r="H133" s="73">
        <f t="shared" si="26"/>
        <v>45</v>
      </c>
      <c r="I133" s="73">
        <f t="shared" si="27"/>
        <v>45</v>
      </c>
      <c r="J133" s="72" t="s">
        <v>83</v>
      </c>
      <c r="K133" s="74"/>
      <c r="M133" s="99"/>
      <c r="N133" s="80" t="e">
        <f t="shared" si="22"/>
        <v>#N/A</v>
      </c>
      <c r="O133" s="76"/>
      <c r="P133" s="100"/>
      <c r="AA133" s="92"/>
    </row>
    <row r="134" spans="1:27" x14ac:dyDescent="0.25">
      <c r="A134" s="95">
        <v>45580</v>
      </c>
      <c r="B134" s="72" t="s">
        <v>727</v>
      </c>
      <c r="C134" s="72" t="s">
        <v>8</v>
      </c>
      <c r="D134" s="72" t="s">
        <v>15</v>
      </c>
      <c r="E134" s="72" t="s">
        <v>56</v>
      </c>
      <c r="F134" s="72">
        <v>1</v>
      </c>
      <c r="G134" s="73">
        <f>VLOOKUP(D134,$S$3:$T$70,2,0)</f>
        <v>70</v>
      </c>
      <c r="H134" s="73">
        <f t="shared" si="26"/>
        <v>70</v>
      </c>
      <c r="I134" s="73">
        <f t="shared" si="27"/>
        <v>68.326999999999998</v>
      </c>
      <c r="J134" s="72" t="s">
        <v>78</v>
      </c>
      <c r="K134" s="74"/>
      <c r="M134" s="99" t="s">
        <v>15</v>
      </c>
      <c r="N134" s="80">
        <f t="shared" si="22"/>
        <v>28</v>
      </c>
      <c r="O134" s="76">
        <f t="shared" ref="O134:O139" si="28">N134*F134</f>
        <v>28</v>
      </c>
      <c r="P134" s="100" t="s">
        <v>56</v>
      </c>
      <c r="AA134" s="92"/>
    </row>
    <row r="135" spans="1:27" x14ac:dyDescent="0.25">
      <c r="A135" s="95">
        <v>45580</v>
      </c>
      <c r="B135" s="72" t="s">
        <v>727</v>
      </c>
      <c r="C135" s="72" t="s">
        <v>8</v>
      </c>
      <c r="D135" s="72" t="s">
        <v>600</v>
      </c>
      <c r="E135" s="72" t="s">
        <v>56</v>
      </c>
      <c r="F135" s="72">
        <v>1</v>
      </c>
      <c r="G135" s="73">
        <f>VLOOKUP(D135,$S$3:$T$70,2,0)</f>
        <v>50</v>
      </c>
      <c r="H135" s="73">
        <f t="shared" si="26"/>
        <v>50</v>
      </c>
      <c r="I135" s="73">
        <f t="shared" si="27"/>
        <v>48.805</v>
      </c>
      <c r="J135" s="72" t="s">
        <v>78</v>
      </c>
      <c r="K135" s="74"/>
      <c r="M135" s="99" t="s">
        <v>600</v>
      </c>
      <c r="N135" s="80">
        <f t="shared" si="22"/>
        <v>20</v>
      </c>
      <c r="O135" s="76">
        <f t="shared" si="28"/>
        <v>20</v>
      </c>
      <c r="P135" s="100" t="s">
        <v>56</v>
      </c>
      <c r="AA135" s="92"/>
    </row>
    <row r="136" spans="1:27" x14ac:dyDescent="0.25">
      <c r="A136" s="95">
        <v>45580</v>
      </c>
      <c r="B136" s="72" t="s">
        <v>727</v>
      </c>
      <c r="C136" s="72" t="s">
        <v>8</v>
      </c>
      <c r="D136" s="72" t="s">
        <v>20</v>
      </c>
      <c r="E136" s="72" t="s">
        <v>56</v>
      </c>
      <c r="F136" s="72">
        <v>1</v>
      </c>
      <c r="G136" s="73">
        <v>10</v>
      </c>
      <c r="H136" s="73">
        <f t="shared" si="26"/>
        <v>10</v>
      </c>
      <c r="I136" s="73">
        <f t="shared" si="27"/>
        <v>9.7609999999999992</v>
      </c>
      <c r="J136" s="72" t="s">
        <v>78</v>
      </c>
      <c r="K136" s="74" t="s">
        <v>838</v>
      </c>
      <c r="M136" s="99" t="s">
        <v>20</v>
      </c>
      <c r="N136" s="80">
        <f>H136*0.4</f>
        <v>4</v>
      </c>
      <c r="O136" s="76">
        <f t="shared" si="28"/>
        <v>4</v>
      </c>
      <c r="P136" s="100" t="s">
        <v>56</v>
      </c>
      <c r="AA136" s="92"/>
    </row>
    <row r="137" spans="1:27" x14ac:dyDescent="0.25">
      <c r="A137" s="95">
        <v>45580</v>
      </c>
      <c r="B137" s="72" t="s">
        <v>727</v>
      </c>
      <c r="C137" s="72" t="s">
        <v>8</v>
      </c>
      <c r="D137" s="72" t="s">
        <v>31</v>
      </c>
      <c r="E137" s="72" t="s">
        <v>56</v>
      </c>
      <c r="F137" s="72">
        <v>1</v>
      </c>
      <c r="G137" s="73">
        <v>10</v>
      </c>
      <c r="H137" s="73">
        <f t="shared" si="26"/>
        <v>10</v>
      </c>
      <c r="I137" s="73">
        <f t="shared" si="27"/>
        <v>9.7609999999999992</v>
      </c>
      <c r="J137" s="72" t="s">
        <v>78</v>
      </c>
      <c r="K137" s="74" t="s">
        <v>838</v>
      </c>
      <c r="M137" s="99" t="s">
        <v>31</v>
      </c>
      <c r="N137" s="80">
        <f>H137*0.4</f>
        <v>4</v>
      </c>
      <c r="O137" s="76">
        <f t="shared" si="28"/>
        <v>4</v>
      </c>
      <c r="P137" s="100" t="s">
        <v>56</v>
      </c>
      <c r="AA137" s="92"/>
    </row>
    <row r="138" spans="1:27" x14ac:dyDescent="0.25">
      <c r="A138" s="95">
        <v>45580</v>
      </c>
      <c r="B138" s="72" t="s">
        <v>727</v>
      </c>
      <c r="C138" s="72" t="s">
        <v>8</v>
      </c>
      <c r="D138" s="72" t="s">
        <v>59</v>
      </c>
      <c r="E138" s="72" t="s">
        <v>56</v>
      </c>
      <c r="F138" s="72">
        <v>1</v>
      </c>
      <c r="G138" s="73">
        <v>15</v>
      </c>
      <c r="H138" s="73">
        <f t="shared" si="26"/>
        <v>15</v>
      </c>
      <c r="I138" s="73">
        <f t="shared" si="27"/>
        <v>14.641500000000001</v>
      </c>
      <c r="J138" s="72" t="s">
        <v>78</v>
      </c>
      <c r="K138" s="74"/>
      <c r="M138" s="99" t="s">
        <v>59</v>
      </c>
      <c r="N138" s="80">
        <f>H138*0.1</f>
        <v>1.5</v>
      </c>
      <c r="O138" s="76">
        <f t="shared" si="28"/>
        <v>1.5</v>
      </c>
      <c r="P138" s="100" t="s">
        <v>56</v>
      </c>
      <c r="AA138" s="92"/>
    </row>
    <row r="139" spans="1:27" x14ac:dyDescent="0.25">
      <c r="A139" s="95">
        <v>45580</v>
      </c>
      <c r="B139" s="72" t="s">
        <v>727</v>
      </c>
      <c r="C139" s="72" t="s">
        <v>8</v>
      </c>
      <c r="D139" s="72" t="s">
        <v>155</v>
      </c>
      <c r="E139" s="72" t="s">
        <v>56</v>
      </c>
      <c r="F139" s="72">
        <v>1</v>
      </c>
      <c r="G139" s="73">
        <f>VLOOKUP(D139,$S$3:$T$70,2,0)</f>
        <v>3.5</v>
      </c>
      <c r="H139" s="73">
        <f t="shared" si="26"/>
        <v>3.5</v>
      </c>
      <c r="I139" s="73">
        <f t="shared" si="27"/>
        <v>3.41635</v>
      </c>
      <c r="J139" s="72" t="s">
        <v>78</v>
      </c>
      <c r="K139" s="74"/>
      <c r="M139" s="99" t="s">
        <v>155</v>
      </c>
      <c r="N139" s="80">
        <f t="shared" ref="N139:N158" si="29">VLOOKUP(M139,$S$3:$U$70,3,0)</f>
        <v>0.35000000000000003</v>
      </c>
      <c r="O139" s="76">
        <f t="shared" si="28"/>
        <v>0.35000000000000003</v>
      </c>
      <c r="P139" s="100" t="s">
        <v>56</v>
      </c>
      <c r="AA139" s="92"/>
    </row>
    <row r="140" spans="1:27" x14ac:dyDescent="0.25">
      <c r="A140" s="95">
        <v>45580</v>
      </c>
      <c r="B140" s="72" t="s">
        <v>839</v>
      </c>
      <c r="C140" s="72" t="s">
        <v>8</v>
      </c>
      <c r="D140" s="72" t="s">
        <v>18</v>
      </c>
      <c r="E140" s="72" t="s">
        <v>82</v>
      </c>
      <c r="F140" s="72">
        <v>3</v>
      </c>
      <c r="G140" s="73">
        <f>VLOOKUP(D140,$S$3:$T$70,2,0)</f>
        <v>40</v>
      </c>
      <c r="H140" s="73">
        <f t="shared" si="26"/>
        <v>120</v>
      </c>
      <c r="I140" s="73">
        <f t="shared" si="27"/>
        <v>114.012</v>
      </c>
      <c r="J140" s="72" t="s">
        <v>86</v>
      </c>
      <c r="K140" s="74"/>
      <c r="M140" s="99"/>
      <c r="N140" s="80" t="e">
        <f t="shared" si="29"/>
        <v>#N/A</v>
      </c>
      <c r="O140" s="76"/>
      <c r="P140" s="100"/>
      <c r="AA140" s="92"/>
    </row>
    <row r="141" spans="1:27" x14ac:dyDescent="0.25">
      <c r="A141" s="95">
        <v>45580</v>
      </c>
      <c r="B141" s="72" t="s">
        <v>247</v>
      </c>
      <c r="C141" s="72" t="s">
        <v>8</v>
      </c>
      <c r="D141" s="72" t="s">
        <v>777</v>
      </c>
      <c r="E141" s="72" t="s">
        <v>82</v>
      </c>
      <c r="F141" s="72">
        <v>1</v>
      </c>
      <c r="G141" s="73">
        <v>3</v>
      </c>
      <c r="H141" s="73">
        <f t="shared" si="26"/>
        <v>3</v>
      </c>
      <c r="I141" s="73">
        <f t="shared" si="27"/>
        <v>3</v>
      </c>
      <c r="J141" s="72" t="s">
        <v>79</v>
      </c>
      <c r="K141" s="74"/>
      <c r="M141" s="99"/>
      <c r="N141" s="80" t="e">
        <f t="shared" si="29"/>
        <v>#N/A</v>
      </c>
      <c r="O141" s="76"/>
      <c r="P141" s="100"/>
      <c r="AA141" s="92"/>
    </row>
    <row r="142" spans="1:27" x14ac:dyDescent="0.25">
      <c r="A142" s="95">
        <v>45580</v>
      </c>
      <c r="B142" s="72" t="s">
        <v>247</v>
      </c>
      <c r="C142" s="72" t="s">
        <v>8</v>
      </c>
      <c r="D142" s="72" t="s">
        <v>37</v>
      </c>
      <c r="E142" s="72" t="s">
        <v>82</v>
      </c>
      <c r="F142" s="72">
        <v>1</v>
      </c>
      <c r="G142" s="73">
        <f t="shared" ref="G142:G152" si="30">VLOOKUP(D142,$S$3:$T$70,2,0)</f>
        <v>7</v>
      </c>
      <c r="H142" s="73">
        <f t="shared" si="26"/>
        <v>7</v>
      </c>
      <c r="I142" s="73">
        <f t="shared" si="27"/>
        <v>7</v>
      </c>
      <c r="J142" s="72" t="s">
        <v>79</v>
      </c>
      <c r="K142" s="74"/>
      <c r="M142" s="99"/>
      <c r="N142" s="80" t="e">
        <f t="shared" si="29"/>
        <v>#N/A</v>
      </c>
      <c r="O142" s="76"/>
      <c r="P142" s="100"/>
      <c r="AA142" s="92"/>
    </row>
    <row r="143" spans="1:27" x14ac:dyDescent="0.25">
      <c r="A143" s="95">
        <v>45580</v>
      </c>
      <c r="B143" s="72" t="s">
        <v>840</v>
      </c>
      <c r="C143" s="72" t="s">
        <v>8</v>
      </c>
      <c r="D143" s="72" t="s">
        <v>19</v>
      </c>
      <c r="E143" s="72" t="s">
        <v>56</v>
      </c>
      <c r="F143" s="72">
        <v>1</v>
      </c>
      <c r="G143" s="73">
        <f t="shared" si="30"/>
        <v>40</v>
      </c>
      <c r="H143" s="73">
        <f t="shared" si="26"/>
        <v>40</v>
      </c>
      <c r="I143" s="73">
        <f t="shared" si="27"/>
        <v>39.043999999999997</v>
      </c>
      <c r="J143" s="72" t="s">
        <v>78</v>
      </c>
      <c r="K143" s="74"/>
      <c r="M143" s="99" t="s">
        <v>19</v>
      </c>
      <c r="N143" s="80">
        <f t="shared" si="29"/>
        <v>16</v>
      </c>
      <c r="O143" s="76">
        <f>N143*F143</f>
        <v>16</v>
      </c>
      <c r="P143" s="100" t="s">
        <v>56</v>
      </c>
      <c r="AA143" s="92"/>
    </row>
    <row r="144" spans="1:27" x14ac:dyDescent="0.25">
      <c r="A144" s="95">
        <v>45580</v>
      </c>
      <c r="B144" s="72" t="s">
        <v>229</v>
      </c>
      <c r="C144" s="72" t="s">
        <v>8</v>
      </c>
      <c r="D144" s="72" t="s">
        <v>18</v>
      </c>
      <c r="E144" s="72" t="s">
        <v>82</v>
      </c>
      <c r="F144" s="72">
        <v>1</v>
      </c>
      <c r="G144" s="73">
        <f t="shared" si="30"/>
        <v>40</v>
      </c>
      <c r="H144" s="73">
        <f t="shared" si="26"/>
        <v>40</v>
      </c>
      <c r="I144" s="73">
        <f t="shared" si="27"/>
        <v>40</v>
      </c>
      <c r="J144" s="72" t="s">
        <v>79</v>
      </c>
      <c r="K144" s="74"/>
      <c r="M144" s="99"/>
      <c r="N144" s="80" t="e">
        <f t="shared" si="29"/>
        <v>#N/A</v>
      </c>
      <c r="O144" s="76"/>
      <c r="P144" s="100"/>
      <c r="AA144" s="92"/>
    </row>
    <row r="145" spans="1:27" x14ac:dyDescent="0.25">
      <c r="A145" s="95">
        <v>45580</v>
      </c>
      <c r="B145" s="72" t="s">
        <v>545</v>
      </c>
      <c r="C145" s="72" t="s">
        <v>8</v>
      </c>
      <c r="D145" s="72" t="s">
        <v>15</v>
      </c>
      <c r="E145" s="72" t="s">
        <v>82</v>
      </c>
      <c r="F145" s="72">
        <v>1</v>
      </c>
      <c r="G145" s="73">
        <f t="shared" si="30"/>
        <v>70</v>
      </c>
      <c r="H145" s="73">
        <f t="shared" si="26"/>
        <v>70</v>
      </c>
      <c r="I145" s="73">
        <f t="shared" si="27"/>
        <v>70</v>
      </c>
      <c r="J145" s="72" t="s">
        <v>83</v>
      </c>
      <c r="K145" s="74"/>
      <c r="M145" s="99"/>
      <c r="N145" s="80" t="e">
        <f t="shared" si="29"/>
        <v>#N/A</v>
      </c>
      <c r="O145" s="76"/>
      <c r="P145" s="100"/>
      <c r="AA145" s="92"/>
    </row>
    <row r="146" spans="1:27" x14ac:dyDescent="0.25">
      <c r="A146" s="95">
        <v>45581</v>
      </c>
      <c r="B146" s="72" t="s">
        <v>586</v>
      </c>
      <c r="C146" s="72" t="s">
        <v>8</v>
      </c>
      <c r="D146" s="72" t="s">
        <v>18</v>
      </c>
      <c r="E146" s="72" t="s">
        <v>82</v>
      </c>
      <c r="F146" s="72">
        <v>1</v>
      </c>
      <c r="G146" s="73">
        <f t="shared" si="30"/>
        <v>40</v>
      </c>
      <c r="H146" s="73">
        <f t="shared" si="26"/>
        <v>40</v>
      </c>
      <c r="I146" s="73">
        <f t="shared" si="27"/>
        <v>38.003999999999998</v>
      </c>
      <c r="J146" s="72" t="s">
        <v>86</v>
      </c>
      <c r="K146" s="74"/>
      <c r="M146" s="99"/>
      <c r="N146" s="80" t="e">
        <f t="shared" si="29"/>
        <v>#N/A</v>
      </c>
      <c r="O146" s="76"/>
      <c r="P146" s="100"/>
      <c r="Q146" s="106"/>
      <c r="AA146" s="92"/>
    </row>
    <row r="147" spans="1:27" x14ac:dyDescent="0.25">
      <c r="A147" s="95">
        <v>45581</v>
      </c>
      <c r="B147" s="72" t="s">
        <v>586</v>
      </c>
      <c r="C147" s="72" t="s">
        <v>8</v>
      </c>
      <c r="D147" s="72" t="s">
        <v>37</v>
      </c>
      <c r="E147" s="72" t="s">
        <v>82</v>
      </c>
      <c r="F147" s="72">
        <v>1</v>
      </c>
      <c r="G147" s="73">
        <f t="shared" si="30"/>
        <v>7</v>
      </c>
      <c r="H147" s="73">
        <f t="shared" si="26"/>
        <v>7</v>
      </c>
      <c r="I147" s="73">
        <f t="shared" si="27"/>
        <v>6.6506999999999996</v>
      </c>
      <c r="J147" s="72" t="s">
        <v>86</v>
      </c>
      <c r="K147" s="74"/>
      <c r="M147" s="99"/>
      <c r="N147" s="80" t="e">
        <f t="shared" si="29"/>
        <v>#N/A</v>
      </c>
      <c r="O147" s="76"/>
      <c r="P147" s="100"/>
      <c r="Y147" s="91" t="s">
        <v>309</v>
      </c>
      <c r="Z147" s="92">
        <v>6.8327</v>
      </c>
      <c r="AA147" s="92">
        <f t="shared" ref="AA147:AA188" si="31">Z147*0.1</f>
        <v>0.68327000000000004</v>
      </c>
    </row>
    <row r="148" spans="1:27" x14ac:dyDescent="0.25">
      <c r="A148" s="95">
        <v>45581</v>
      </c>
      <c r="B148" s="72" t="s">
        <v>194</v>
      </c>
      <c r="C148" s="72" t="s">
        <v>8</v>
      </c>
      <c r="D148" s="72" t="s">
        <v>18</v>
      </c>
      <c r="E148" s="72" t="s">
        <v>82</v>
      </c>
      <c r="F148" s="72">
        <v>1</v>
      </c>
      <c r="G148" s="73">
        <f t="shared" si="30"/>
        <v>40</v>
      </c>
      <c r="H148" s="73">
        <f t="shared" si="26"/>
        <v>40</v>
      </c>
      <c r="I148" s="73">
        <f t="shared" si="27"/>
        <v>40</v>
      </c>
      <c r="J148" s="72" t="s">
        <v>83</v>
      </c>
      <c r="K148" s="74"/>
      <c r="M148" s="99"/>
      <c r="N148" s="80" t="e">
        <f t="shared" si="29"/>
        <v>#N/A</v>
      </c>
      <c r="O148" s="76"/>
      <c r="P148" s="100"/>
      <c r="Y148" s="91" t="s">
        <v>311</v>
      </c>
      <c r="Z148" s="92">
        <v>6.6506999999999996</v>
      </c>
      <c r="AA148" s="92">
        <f t="shared" si="31"/>
        <v>0.66507000000000005</v>
      </c>
    </row>
    <row r="149" spans="1:27" x14ac:dyDescent="0.25">
      <c r="A149" s="95">
        <v>45581</v>
      </c>
      <c r="B149" s="72" t="s">
        <v>460</v>
      </c>
      <c r="C149" s="72" t="s">
        <v>8</v>
      </c>
      <c r="D149" s="72" t="s">
        <v>22</v>
      </c>
      <c r="E149" s="72" t="s">
        <v>56</v>
      </c>
      <c r="F149" s="72">
        <v>1</v>
      </c>
      <c r="G149" s="73">
        <f t="shared" si="30"/>
        <v>30</v>
      </c>
      <c r="H149" s="73">
        <f t="shared" si="26"/>
        <v>30</v>
      </c>
      <c r="I149" s="73">
        <f t="shared" si="27"/>
        <v>30</v>
      </c>
      <c r="J149" s="72" t="s">
        <v>83</v>
      </c>
      <c r="K149" s="74"/>
      <c r="M149" s="99" t="s">
        <v>22</v>
      </c>
      <c r="N149" s="80">
        <f t="shared" si="29"/>
        <v>12</v>
      </c>
      <c r="O149" s="76">
        <f>N149*F149</f>
        <v>12</v>
      </c>
      <c r="P149" s="100" t="s">
        <v>56</v>
      </c>
      <c r="Q149" s="106"/>
      <c r="Y149" s="91" t="s">
        <v>313</v>
      </c>
      <c r="Z149" s="92">
        <v>5</v>
      </c>
      <c r="AA149" s="92">
        <f t="shared" si="31"/>
        <v>0.5</v>
      </c>
    </row>
    <row r="150" spans="1:27" x14ac:dyDescent="0.25">
      <c r="A150" s="95">
        <v>45581</v>
      </c>
      <c r="B150" s="72" t="s">
        <v>787</v>
      </c>
      <c r="C150" s="72" t="s">
        <v>8</v>
      </c>
      <c r="D150" s="72" t="s">
        <v>15</v>
      </c>
      <c r="E150" s="72" t="s">
        <v>56</v>
      </c>
      <c r="F150" s="72">
        <v>1</v>
      </c>
      <c r="G150" s="73">
        <f t="shared" si="30"/>
        <v>70</v>
      </c>
      <c r="H150" s="73">
        <f t="shared" si="26"/>
        <v>70</v>
      </c>
      <c r="I150" s="73">
        <f t="shared" si="27"/>
        <v>68.326999999999998</v>
      </c>
      <c r="J150" s="72" t="s">
        <v>78</v>
      </c>
      <c r="K150" s="74"/>
      <c r="M150" s="99" t="s">
        <v>15</v>
      </c>
      <c r="N150" s="80">
        <f t="shared" si="29"/>
        <v>28</v>
      </c>
      <c r="O150" s="76">
        <f>N150*F150</f>
        <v>28</v>
      </c>
      <c r="P150" s="100" t="s">
        <v>56</v>
      </c>
      <c r="Y150" s="91" t="s">
        <v>316</v>
      </c>
      <c r="Z150" s="92">
        <v>5</v>
      </c>
      <c r="AA150" s="92">
        <f t="shared" si="31"/>
        <v>0.5</v>
      </c>
    </row>
    <row r="151" spans="1:27" x14ac:dyDescent="0.25">
      <c r="A151" s="95">
        <v>45581</v>
      </c>
      <c r="B151" s="72" t="s">
        <v>787</v>
      </c>
      <c r="C151" s="72" t="s">
        <v>8</v>
      </c>
      <c r="D151" s="72" t="s">
        <v>106</v>
      </c>
      <c r="E151" s="72" t="s">
        <v>56</v>
      </c>
      <c r="F151" s="72">
        <v>1</v>
      </c>
      <c r="G151" s="73">
        <f t="shared" si="30"/>
        <v>15</v>
      </c>
      <c r="H151" s="73">
        <f t="shared" si="26"/>
        <v>15</v>
      </c>
      <c r="I151" s="73">
        <f t="shared" si="27"/>
        <v>14.641500000000001</v>
      </c>
      <c r="J151" s="72" t="s">
        <v>78</v>
      </c>
      <c r="K151" s="74"/>
      <c r="M151" s="99" t="s">
        <v>106</v>
      </c>
      <c r="N151" s="80">
        <f t="shared" si="29"/>
        <v>6</v>
      </c>
      <c r="O151" s="76">
        <f>N151*F151</f>
        <v>6</v>
      </c>
      <c r="P151" s="100" t="s">
        <v>56</v>
      </c>
      <c r="Y151" s="91" t="s">
        <v>318</v>
      </c>
      <c r="Z151" s="92">
        <v>4.8804999999999996</v>
      </c>
      <c r="AA151" s="92">
        <f t="shared" si="31"/>
        <v>0.48804999999999998</v>
      </c>
    </row>
    <row r="152" spans="1:27" x14ac:dyDescent="0.25">
      <c r="A152" s="95">
        <v>45581</v>
      </c>
      <c r="B152" s="72" t="s">
        <v>545</v>
      </c>
      <c r="C152" s="72" t="s">
        <v>8</v>
      </c>
      <c r="D152" s="72" t="s">
        <v>18</v>
      </c>
      <c r="E152" s="72" t="s">
        <v>56</v>
      </c>
      <c r="F152" s="72">
        <v>1</v>
      </c>
      <c r="G152" s="73">
        <f t="shared" si="30"/>
        <v>40</v>
      </c>
      <c r="H152" s="73">
        <f t="shared" si="26"/>
        <v>40</v>
      </c>
      <c r="I152" s="73">
        <f t="shared" si="27"/>
        <v>39.043999999999997</v>
      </c>
      <c r="J152" s="72" t="s">
        <v>78</v>
      </c>
      <c r="K152" s="74"/>
      <c r="M152" s="99" t="s">
        <v>18</v>
      </c>
      <c r="N152" s="80">
        <f t="shared" si="29"/>
        <v>16</v>
      </c>
      <c r="O152" s="76">
        <f>N152*F152</f>
        <v>16</v>
      </c>
      <c r="P152" s="100" t="s">
        <v>56</v>
      </c>
      <c r="Y152" s="91" t="s">
        <v>320</v>
      </c>
      <c r="Z152" s="92">
        <v>4.7504999999999997</v>
      </c>
      <c r="AA152" s="92">
        <f t="shared" si="31"/>
        <v>0.47504999999999997</v>
      </c>
    </row>
    <row r="153" spans="1:27" x14ac:dyDescent="0.25">
      <c r="A153" s="95">
        <v>45581</v>
      </c>
      <c r="B153" s="72" t="s">
        <v>552</v>
      </c>
      <c r="C153" s="72" t="s">
        <v>8</v>
      </c>
      <c r="D153" s="72" t="s">
        <v>22</v>
      </c>
      <c r="E153" s="72" t="s">
        <v>82</v>
      </c>
      <c r="F153" s="72">
        <v>1</v>
      </c>
      <c r="G153" s="73">
        <v>20</v>
      </c>
      <c r="H153" s="73">
        <f t="shared" si="26"/>
        <v>20</v>
      </c>
      <c r="I153" s="73">
        <f t="shared" si="27"/>
        <v>20</v>
      </c>
      <c r="J153" s="72" t="s">
        <v>79</v>
      </c>
      <c r="K153" s="74"/>
      <c r="M153" s="99"/>
      <c r="N153" s="80" t="e">
        <f t="shared" si="29"/>
        <v>#N/A</v>
      </c>
      <c r="O153" s="76"/>
      <c r="P153" s="100"/>
      <c r="Y153" s="91" t="s">
        <v>321</v>
      </c>
      <c r="Z153" s="92">
        <v>10</v>
      </c>
      <c r="AA153" s="92">
        <f t="shared" si="31"/>
        <v>1</v>
      </c>
    </row>
    <row r="154" spans="1:27" x14ac:dyDescent="0.25">
      <c r="A154" s="95">
        <v>45581</v>
      </c>
      <c r="B154" s="72" t="s">
        <v>328</v>
      </c>
      <c r="C154" s="72" t="s">
        <v>8</v>
      </c>
      <c r="D154" s="72" t="s">
        <v>777</v>
      </c>
      <c r="E154" s="72" t="s">
        <v>56</v>
      </c>
      <c r="F154" s="72">
        <v>2</v>
      </c>
      <c r="G154" s="73">
        <f>VLOOKUP(D154,$S$3:$T$70,2,0)</f>
        <v>4</v>
      </c>
      <c r="H154" s="73">
        <f t="shared" si="26"/>
        <v>8</v>
      </c>
      <c r="I154" s="73">
        <f t="shared" si="27"/>
        <v>8</v>
      </c>
      <c r="J154" s="72" t="s">
        <v>79</v>
      </c>
      <c r="K154" s="74"/>
      <c r="M154" s="99" t="s">
        <v>777</v>
      </c>
      <c r="N154" s="80">
        <f t="shared" si="29"/>
        <v>0.4</v>
      </c>
      <c r="O154" s="76">
        <f>N154*F154</f>
        <v>0.8</v>
      </c>
      <c r="P154" s="100" t="s">
        <v>56</v>
      </c>
      <c r="Y154" s="91" t="s">
        <v>323</v>
      </c>
      <c r="Z154" s="92">
        <v>10</v>
      </c>
      <c r="AA154" s="92">
        <f t="shared" si="31"/>
        <v>1</v>
      </c>
    </row>
    <row r="155" spans="1:27" x14ac:dyDescent="0.25">
      <c r="A155" s="95">
        <v>45581</v>
      </c>
      <c r="B155" s="72" t="s">
        <v>841</v>
      </c>
      <c r="C155" s="72" t="s">
        <v>8</v>
      </c>
      <c r="D155" s="72" t="s">
        <v>18</v>
      </c>
      <c r="E155" s="72" t="s">
        <v>82</v>
      </c>
      <c r="F155" s="72">
        <v>1</v>
      </c>
      <c r="G155" s="73">
        <f>VLOOKUP(D155,$S$3:$T$70,2,0)</f>
        <v>40</v>
      </c>
      <c r="H155" s="73">
        <f t="shared" si="26"/>
        <v>40</v>
      </c>
      <c r="I155" s="73">
        <f t="shared" si="27"/>
        <v>38.003999999999998</v>
      </c>
      <c r="J155" s="72" t="s">
        <v>86</v>
      </c>
      <c r="K155" s="74"/>
      <c r="M155" s="99"/>
      <c r="N155" s="80" t="e">
        <f t="shared" si="29"/>
        <v>#N/A</v>
      </c>
      <c r="O155" s="76"/>
      <c r="P155" s="100"/>
      <c r="Y155" s="91" t="s">
        <v>325</v>
      </c>
      <c r="Z155" s="92">
        <v>9.7609999999999992</v>
      </c>
      <c r="AA155" s="92">
        <f t="shared" si="31"/>
        <v>0.97609999999999997</v>
      </c>
    </row>
    <row r="156" spans="1:27" x14ac:dyDescent="0.25">
      <c r="A156" s="95">
        <v>45581</v>
      </c>
      <c r="B156" s="72" t="s">
        <v>586</v>
      </c>
      <c r="C156" s="72" t="s">
        <v>8</v>
      </c>
      <c r="D156" s="72" t="s">
        <v>18</v>
      </c>
      <c r="E156" s="72" t="s">
        <v>82</v>
      </c>
      <c r="F156" s="72">
        <v>1</v>
      </c>
      <c r="G156" s="73">
        <f>VLOOKUP(D156,$S$3:$T$70,2,0)</f>
        <v>40</v>
      </c>
      <c r="H156" s="73">
        <f t="shared" si="26"/>
        <v>40</v>
      </c>
      <c r="I156" s="73">
        <f t="shared" si="27"/>
        <v>39.043999999999997</v>
      </c>
      <c r="J156" s="72" t="s">
        <v>78</v>
      </c>
      <c r="K156" s="74"/>
      <c r="M156" s="99"/>
      <c r="N156" s="80" t="e">
        <f t="shared" si="29"/>
        <v>#N/A</v>
      </c>
      <c r="O156" s="76"/>
      <c r="P156" s="100"/>
      <c r="Y156" s="91" t="s">
        <v>326</v>
      </c>
      <c r="Z156" s="92">
        <v>9.5009999999999994</v>
      </c>
      <c r="AA156" s="92">
        <f t="shared" si="31"/>
        <v>0.95009999999999994</v>
      </c>
    </row>
    <row r="157" spans="1:27" x14ac:dyDescent="0.25">
      <c r="A157" s="95">
        <v>45581</v>
      </c>
      <c r="B157" s="72" t="s">
        <v>842</v>
      </c>
      <c r="C157" s="72" t="s">
        <v>8</v>
      </c>
      <c r="D157" s="72" t="s">
        <v>603</v>
      </c>
      <c r="E157" s="72" t="s">
        <v>56</v>
      </c>
      <c r="F157" s="72">
        <v>1</v>
      </c>
      <c r="G157" s="73">
        <f>VLOOKUP(D157,$S$3:$T$70,2,0)</f>
        <v>35</v>
      </c>
      <c r="H157" s="73">
        <f t="shared" si="26"/>
        <v>35</v>
      </c>
      <c r="I157" s="73">
        <f t="shared" si="27"/>
        <v>35</v>
      </c>
      <c r="J157" s="72" t="s">
        <v>83</v>
      </c>
      <c r="K157" s="74"/>
      <c r="M157" s="99" t="s">
        <v>603</v>
      </c>
      <c r="N157" s="80">
        <f t="shared" si="29"/>
        <v>3.5</v>
      </c>
      <c r="O157" s="76">
        <f t="shared" ref="O157:O162" si="32">N157*F157</f>
        <v>3.5</v>
      </c>
      <c r="P157" s="100" t="s">
        <v>56</v>
      </c>
      <c r="Q157" s="106"/>
      <c r="Y157" s="91" t="s">
        <v>327</v>
      </c>
      <c r="Z157" s="92">
        <v>5</v>
      </c>
      <c r="AA157" s="92">
        <f t="shared" si="31"/>
        <v>0.5</v>
      </c>
    </row>
    <row r="158" spans="1:27" x14ac:dyDescent="0.25">
      <c r="A158" s="95">
        <v>45581</v>
      </c>
      <c r="B158" s="72" t="s">
        <v>734</v>
      </c>
      <c r="C158" s="72" t="s">
        <v>8</v>
      </c>
      <c r="D158" s="72" t="s">
        <v>821</v>
      </c>
      <c r="E158" s="72" t="s">
        <v>56</v>
      </c>
      <c r="F158" s="72">
        <v>1</v>
      </c>
      <c r="G158" s="73">
        <f>VLOOKUP(D158,$S$3:$T$70,2,0)</f>
        <v>140</v>
      </c>
      <c r="H158" s="73">
        <f t="shared" si="26"/>
        <v>140</v>
      </c>
      <c r="I158" s="73">
        <f t="shared" si="27"/>
        <v>136.654</v>
      </c>
      <c r="J158" s="72" t="s">
        <v>78</v>
      </c>
      <c r="K158" s="74"/>
      <c r="M158" s="99" t="s">
        <v>821</v>
      </c>
      <c r="N158" s="80">
        <f t="shared" si="29"/>
        <v>56</v>
      </c>
      <c r="O158" s="76">
        <f t="shared" si="32"/>
        <v>56</v>
      </c>
      <c r="P158" s="100" t="s">
        <v>56</v>
      </c>
      <c r="Y158" s="91" t="s">
        <v>329</v>
      </c>
      <c r="Z158" s="92">
        <v>5</v>
      </c>
      <c r="AA158" s="92">
        <f t="shared" si="31"/>
        <v>0.5</v>
      </c>
    </row>
    <row r="159" spans="1:27" x14ac:dyDescent="0.25">
      <c r="A159" s="95">
        <v>45581</v>
      </c>
      <c r="B159" s="72" t="s">
        <v>734</v>
      </c>
      <c r="C159" s="72" t="s">
        <v>8</v>
      </c>
      <c r="D159" s="72" t="s">
        <v>63</v>
      </c>
      <c r="E159" s="72" t="s">
        <v>56</v>
      </c>
      <c r="F159" s="72">
        <v>1</v>
      </c>
      <c r="G159" s="73">
        <v>15</v>
      </c>
      <c r="H159" s="73">
        <f t="shared" si="26"/>
        <v>15</v>
      </c>
      <c r="I159" s="73">
        <f t="shared" si="27"/>
        <v>14.641500000000001</v>
      </c>
      <c r="J159" s="72" t="s">
        <v>78</v>
      </c>
      <c r="K159" s="74" t="s">
        <v>838</v>
      </c>
      <c r="M159" s="99" t="s">
        <v>63</v>
      </c>
      <c r="N159" s="80">
        <f>G159*0.1</f>
        <v>1.5</v>
      </c>
      <c r="O159" s="76">
        <f t="shared" si="32"/>
        <v>1.5</v>
      </c>
      <c r="P159" s="100" t="s">
        <v>56</v>
      </c>
      <c r="Y159" s="91" t="s">
        <v>330</v>
      </c>
      <c r="Z159" s="92">
        <v>4.8804999999999996</v>
      </c>
      <c r="AA159" s="92">
        <f t="shared" si="31"/>
        <v>0.48804999999999998</v>
      </c>
    </row>
    <row r="160" spans="1:27" x14ac:dyDescent="0.25">
      <c r="A160" s="95">
        <v>45582</v>
      </c>
      <c r="B160" s="72" t="s">
        <v>189</v>
      </c>
      <c r="C160" s="72" t="s">
        <v>8</v>
      </c>
      <c r="D160" s="72" t="s">
        <v>17</v>
      </c>
      <c r="E160" s="72" t="s">
        <v>56</v>
      </c>
      <c r="F160" s="72">
        <v>1</v>
      </c>
      <c r="G160" s="73">
        <f t="shared" ref="G160:G166" si="33">VLOOKUP(D160,$S$3:$T$70,2,0)</f>
        <v>50</v>
      </c>
      <c r="H160" s="73">
        <f t="shared" ref="H160:H169" si="34">F160*G160</f>
        <v>50</v>
      </c>
      <c r="I160" s="73">
        <f t="shared" si="27"/>
        <v>50</v>
      </c>
      <c r="J160" s="72" t="s">
        <v>79</v>
      </c>
      <c r="K160" s="74"/>
      <c r="M160" s="99" t="s">
        <v>17</v>
      </c>
      <c r="N160" s="80">
        <f t="shared" ref="N160:N185" si="35">VLOOKUP(M160,$S$3:$U$70,3,0)</f>
        <v>20</v>
      </c>
      <c r="O160" s="76">
        <f t="shared" si="32"/>
        <v>20</v>
      </c>
      <c r="P160" s="100" t="s">
        <v>56</v>
      </c>
      <c r="Y160" s="91" t="s">
        <v>331</v>
      </c>
      <c r="Z160" s="92">
        <v>4.7504999999999997</v>
      </c>
      <c r="AA160" s="92">
        <f t="shared" si="31"/>
        <v>0.47504999999999997</v>
      </c>
    </row>
    <row r="161" spans="1:27" x14ac:dyDescent="0.25">
      <c r="A161" s="95">
        <v>45582</v>
      </c>
      <c r="B161" s="72" t="s">
        <v>56</v>
      </c>
      <c r="C161" s="72" t="s">
        <v>8</v>
      </c>
      <c r="D161" s="72" t="s">
        <v>18</v>
      </c>
      <c r="E161" s="72" t="s">
        <v>56</v>
      </c>
      <c r="F161" s="72">
        <v>1</v>
      </c>
      <c r="G161" s="73">
        <f t="shared" si="33"/>
        <v>40</v>
      </c>
      <c r="H161" s="73">
        <f t="shared" si="34"/>
        <v>40</v>
      </c>
      <c r="I161" s="73">
        <f t="shared" si="27"/>
        <v>39.043999999999997</v>
      </c>
      <c r="J161" s="72" t="s">
        <v>78</v>
      </c>
      <c r="K161" s="74"/>
      <c r="M161" s="99" t="s">
        <v>18</v>
      </c>
      <c r="N161" s="80">
        <f t="shared" si="35"/>
        <v>16</v>
      </c>
      <c r="O161" s="76">
        <f t="shared" si="32"/>
        <v>16</v>
      </c>
      <c r="P161" s="100" t="s">
        <v>56</v>
      </c>
      <c r="Y161" s="91" t="s">
        <v>334</v>
      </c>
      <c r="Z161" s="92">
        <v>7</v>
      </c>
      <c r="AA161" s="92">
        <f t="shared" si="31"/>
        <v>0.70000000000000007</v>
      </c>
    </row>
    <row r="162" spans="1:27" x14ac:dyDescent="0.25">
      <c r="A162" s="95">
        <v>45582</v>
      </c>
      <c r="B162" s="72" t="s">
        <v>516</v>
      </c>
      <c r="C162" s="72" t="s">
        <v>8</v>
      </c>
      <c r="D162" s="72" t="s">
        <v>18</v>
      </c>
      <c r="E162" s="72" t="s">
        <v>56</v>
      </c>
      <c r="F162" s="72">
        <v>1</v>
      </c>
      <c r="G162" s="73">
        <f t="shared" si="33"/>
        <v>40</v>
      </c>
      <c r="H162" s="73">
        <f t="shared" si="34"/>
        <v>40</v>
      </c>
      <c r="I162" s="73">
        <f t="shared" si="27"/>
        <v>40</v>
      </c>
      <c r="J162" s="72" t="s">
        <v>83</v>
      </c>
      <c r="K162" s="74"/>
      <c r="M162" s="99" t="s">
        <v>18</v>
      </c>
      <c r="N162" s="80">
        <f t="shared" si="35"/>
        <v>16</v>
      </c>
      <c r="O162" s="76">
        <f t="shared" si="32"/>
        <v>16</v>
      </c>
      <c r="P162" s="100" t="s">
        <v>56</v>
      </c>
      <c r="Y162" s="91" t="s">
        <v>335</v>
      </c>
      <c r="Z162" s="92">
        <v>7</v>
      </c>
      <c r="AA162" s="92">
        <f t="shared" si="31"/>
        <v>0.70000000000000007</v>
      </c>
    </row>
    <row r="163" spans="1:27" x14ac:dyDescent="0.25">
      <c r="A163" s="95">
        <v>45582</v>
      </c>
      <c r="B163" s="72" t="s">
        <v>809</v>
      </c>
      <c r="C163" s="72" t="s">
        <v>8</v>
      </c>
      <c r="D163" s="72" t="s">
        <v>18</v>
      </c>
      <c r="E163" s="72" t="s">
        <v>82</v>
      </c>
      <c r="F163" s="72">
        <v>1</v>
      </c>
      <c r="G163" s="73">
        <f t="shared" si="33"/>
        <v>40</v>
      </c>
      <c r="H163" s="73">
        <f t="shared" si="34"/>
        <v>40</v>
      </c>
      <c r="I163" s="73">
        <f t="shared" si="27"/>
        <v>40</v>
      </c>
      <c r="J163" s="72" t="s">
        <v>83</v>
      </c>
      <c r="K163" s="74"/>
      <c r="M163" s="99"/>
      <c r="N163" s="80" t="e">
        <f t="shared" si="35"/>
        <v>#N/A</v>
      </c>
      <c r="O163" s="76"/>
      <c r="P163" s="100"/>
      <c r="Y163" s="91" t="s">
        <v>337</v>
      </c>
      <c r="Z163" s="92">
        <v>6.8327</v>
      </c>
      <c r="AA163" s="92">
        <f t="shared" si="31"/>
        <v>0.68327000000000004</v>
      </c>
    </row>
    <row r="164" spans="1:27" x14ac:dyDescent="0.25">
      <c r="A164" s="95">
        <v>45582</v>
      </c>
      <c r="B164" s="72" t="s">
        <v>843</v>
      </c>
      <c r="C164" s="72" t="s">
        <v>8</v>
      </c>
      <c r="D164" s="72" t="s">
        <v>17</v>
      </c>
      <c r="E164" s="72" t="s">
        <v>56</v>
      </c>
      <c r="F164" s="72">
        <v>1</v>
      </c>
      <c r="G164" s="73">
        <f t="shared" si="33"/>
        <v>50</v>
      </c>
      <c r="H164" s="73">
        <f t="shared" si="34"/>
        <v>50</v>
      </c>
      <c r="I164" s="73">
        <f t="shared" si="27"/>
        <v>50</v>
      </c>
      <c r="J164" s="72" t="s">
        <v>83</v>
      </c>
      <c r="K164" s="74"/>
      <c r="M164" s="99" t="s">
        <v>17</v>
      </c>
      <c r="N164" s="80">
        <f t="shared" si="35"/>
        <v>20</v>
      </c>
      <c r="O164" s="76">
        <f>N164*F164</f>
        <v>20</v>
      </c>
      <c r="P164" s="100" t="s">
        <v>56</v>
      </c>
      <c r="Y164" s="91" t="s">
        <v>339</v>
      </c>
      <c r="Z164" s="92">
        <v>6.6506999999999996</v>
      </c>
      <c r="AA164" s="92">
        <f t="shared" si="31"/>
        <v>0.66507000000000005</v>
      </c>
    </row>
    <row r="165" spans="1:27" x14ac:dyDescent="0.25">
      <c r="A165" s="95">
        <v>45582</v>
      </c>
      <c r="B165" s="72" t="s">
        <v>585</v>
      </c>
      <c r="C165" s="72" t="s">
        <v>8</v>
      </c>
      <c r="D165" s="72" t="s">
        <v>40</v>
      </c>
      <c r="E165" s="72" t="s">
        <v>82</v>
      </c>
      <c r="F165" s="72">
        <v>1</v>
      </c>
      <c r="G165" s="73">
        <f t="shared" si="33"/>
        <v>45</v>
      </c>
      <c r="H165" s="73">
        <f t="shared" si="34"/>
        <v>45</v>
      </c>
      <c r="I165" s="73">
        <f t="shared" si="27"/>
        <v>45</v>
      </c>
      <c r="J165" s="72" t="s">
        <v>83</v>
      </c>
      <c r="K165" s="74"/>
      <c r="M165" s="99"/>
      <c r="N165" s="80" t="e">
        <f t="shared" si="35"/>
        <v>#N/A</v>
      </c>
      <c r="O165" s="76"/>
      <c r="P165" s="100"/>
      <c r="Y165" s="91" t="s">
        <v>341</v>
      </c>
      <c r="Z165" s="92">
        <v>3.5</v>
      </c>
      <c r="AA165" s="92">
        <f t="shared" si="31"/>
        <v>0.35000000000000003</v>
      </c>
    </row>
    <row r="166" spans="1:27" x14ac:dyDescent="0.25">
      <c r="A166" s="95">
        <v>45582</v>
      </c>
      <c r="B166" s="72" t="s">
        <v>585</v>
      </c>
      <c r="C166" s="72" t="s">
        <v>8</v>
      </c>
      <c r="D166" s="72" t="s">
        <v>37</v>
      </c>
      <c r="E166" s="72" t="s">
        <v>82</v>
      </c>
      <c r="F166" s="72">
        <v>1</v>
      </c>
      <c r="G166" s="73">
        <f t="shared" si="33"/>
        <v>7</v>
      </c>
      <c r="H166" s="73">
        <f t="shared" si="34"/>
        <v>7</v>
      </c>
      <c r="I166" s="73">
        <f t="shared" si="27"/>
        <v>7</v>
      </c>
      <c r="J166" s="72" t="s">
        <v>83</v>
      </c>
      <c r="K166" s="74"/>
      <c r="M166" s="99"/>
      <c r="N166" s="80" t="e">
        <f t="shared" si="35"/>
        <v>#N/A</v>
      </c>
      <c r="O166" s="76"/>
      <c r="P166" s="100"/>
      <c r="Y166" s="91" t="s">
        <v>343</v>
      </c>
      <c r="Z166" s="92">
        <v>3.5</v>
      </c>
      <c r="AA166" s="92">
        <f t="shared" si="31"/>
        <v>0.35000000000000003</v>
      </c>
    </row>
    <row r="167" spans="1:27" x14ac:dyDescent="0.25">
      <c r="A167" s="95">
        <v>45582</v>
      </c>
      <c r="B167" s="72" t="s">
        <v>585</v>
      </c>
      <c r="C167" s="72" t="s">
        <v>8</v>
      </c>
      <c r="D167" s="72" t="s">
        <v>778</v>
      </c>
      <c r="E167" s="72" t="s">
        <v>82</v>
      </c>
      <c r="F167" s="72">
        <v>1</v>
      </c>
      <c r="G167" s="73">
        <v>3</v>
      </c>
      <c r="H167" s="73">
        <f t="shared" si="34"/>
        <v>3</v>
      </c>
      <c r="I167" s="73">
        <f t="shared" si="27"/>
        <v>3</v>
      </c>
      <c r="J167" s="72" t="s">
        <v>83</v>
      </c>
      <c r="K167" s="74"/>
      <c r="M167" s="99"/>
      <c r="N167" s="80" t="e">
        <f t="shared" si="35"/>
        <v>#N/A</v>
      </c>
      <c r="O167" s="76"/>
      <c r="P167" s="100"/>
      <c r="Y167" s="91" t="s">
        <v>345</v>
      </c>
      <c r="Z167" s="92">
        <v>3.41635</v>
      </c>
      <c r="AA167" s="92">
        <f t="shared" si="31"/>
        <v>0.34163500000000002</v>
      </c>
    </row>
    <row r="168" spans="1:27" x14ac:dyDescent="0.25">
      <c r="A168" s="95">
        <v>45582</v>
      </c>
      <c r="B168" s="72" t="s">
        <v>504</v>
      </c>
      <c r="C168" s="72" t="s">
        <v>8</v>
      </c>
      <c r="D168" s="72" t="s">
        <v>13</v>
      </c>
      <c r="E168" s="72" t="s">
        <v>82</v>
      </c>
      <c r="F168" s="72">
        <v>1</v>
      </c>
      <c r="G168" s="73">
        <f t="shared" ref="G168:G175" si="36">VLOOKUP(D168,$S$3:$T$70,2,0)</f>
        <v>30</v>
      </c>
      <c r="H168" s="73">
        <f t="shared" si="34"/>
        <v>30</v>
      </c>
      <c r="I168" s="73">
        <f t="shared" si="27"/>
        <v>30</v>
      </c>
      <c r="J168" s="72" t="s">
        <v>79</v>
      </c>
      <c r="K168" s="74"/>
      <c r="M168" s="99"/>
      <c r="N168" s="80" t="e">
        <f t="shared" si="35"/>
        <v>#N/A</v>
      </c>
      <c r="O168" s="76"/>
      <c r="P168" s="100"/>
      <c r="Y168" s="91" t="s">
        <v>347</v>
      </c>
      <c r="Z168" s="92">
        <v>3.3253499999999998</v>
      </c>
      <c r="AA168" s="92">
        <f t="shared" si="31"/>
        <v>0.33253500000000003</v>
      </c>
    </row>
    <row r="169" spans="1:27" x14ac:dyDescent="0.25">
      <c r="A169" s="95">
        <v>45582</v>
      </c>
      <c r="B169" s="72" t="s">
        <v>504</v>
      </c>
      <c r="C169" s="72" t="s">
        <v>8</v>
      </c>
      <c r="D169" s="72" t="s">
        <v>21</v>
      </c>
      <c r="E169" s="72" t="s">
        <v>82</v>
      </c>
      <c r="F169" s="72">
        <v>1</v>
      </c>
      <c r="G169" s="73">
        <f t="shared" si="36"/>
        <v>10</v>
      </c>
      <c r="H169" s="73">
        <f t="shared" si="34"/>
        <v>10</v>
      </c>
      <c r="I169" s="73">
        <f t="shared" si="27"/>
        <v>10</v>
      </c>
      <c r="J169" s="72" t="s">
        <v>79</v>
      </c>
      <c r="K169" s="74"/>
      <c r="M169" s="99"/>
      <c r="N169" s="80" t="e">
        <f t="shared" si="35"/>
        <v>#N/A</v>
      </c>
      <c r="O169" s="76"/>
      <c r="P169" s="100"/>
      <c r="Y169" s="91" t="s">
        <v>348</v>
      </c>
      <c r="Z169" s="92">
        <v>5</v>
      </c>
      <c r="AA169" s="92">
        <f t="shared" si="31"/>
        <v>0.5</v>
      </c>
    </row>
    <row r="170" spans="1:27" x14ac:dyDescent="0.25">
      <c r="A170" s="95">
        <v>45582</v>
      </c>
      <c r="B170" s="72" t="s">
        <v>196</v>
      </c>
      <c r="C170" s="72" t="s">
        <v>8</v>
      </c>
      <c r="D170" s="72" t="s">
        <v>18</v>
      </c>
      <c r="E170" s="72" t="s">
        <v>82</v>
      </c>
      <c r="F170" s="72">
        <v>4</v>
      </c>
      <c r="G170" s="73">
        <f t="shared" si="36"/>
        <v>40</v>
      </c>
      <c r="H170" s="73">
        <v>140</v>
      </c>
      <c r="I170" s="73">
        <f t="shared" si="27"/>
        <v>140</v>
      </c>
      <c r="J170" s="72" t="s">
        <v>83</v>
      </c>
      <c r="K170" s="74"/>
      <c r="M170" s="99"/>
      <c r="N170" s="80" t="e">
        <f t="shared" si="35"/>
        <v>#N/A</v>
      </c>
      <c r="O170" s="76"/>
      <c r="P170" s="100"/>
      <c r="Y170" s="91" t="s">
        <v>349</v>
      </c>
      <c r="Z170" s="92">
        <v>5</v>
      </c>
      <c r="AA170" s="92">
        <f t="shared" si="31"/>
        <v>0.5</v>
      </c>
    </row>
    <row r="171" spans="1:27" x14ac:dyDescent="0.25">
      <c r="A171" s="95">
        <v>45582</v>
      </c>
      <c r="B171" s="72" t="s">
        <v>844</v>
      </c>
      <c r="C171" s="72" t="s">
        <v>8</v>
      </c>
      <c r="D171" s="72" t="s">
        <v>17</v>
      </c>
      <c r="E171" s="72" t="s">
        <v>82</v>
      </c>
      <c r="F171" s="72">
        <v>1</v>
      </c>
      <c r="G171" s="73">
        <f t="shared" si="36"/>
        <v>50</v>
      </c>
      <c r="H171" s="73">
        <f t="shared" ref="H171:H196" si="37">F171*G171</f>
        <v>50</v>
      </c>
      <c r="I171" s="73">
        <f t="shared" si="27"/>
        <v>50</v>
      </c>
      <c r="J171" s="72" t="s">
        <v>83</v>
      </c>
      <c r="K171" s="74"/>
      <c r="M171" s="99"/>
      <c r="N171" s="80" t="e">
        <f t="shared" si="35"/>
        <v>#N/A</v>
      </c>
      <c r="O171" s="76"/>
      <c r="P171" s="100"/>
      <c r="Y171" s="91" t="s">
        <v>351</v>
      </c>
      <c r="Z171" s="92">
        <v>4.8804999999999996</v>
      </c>
      <c r="AA171" s="92">
        <f t="shared" si="31"/>
        <v>0.48804999999999998</v>
      </c>
    </row>
    <row r="172" spans="1:27" x14ac:dyDescent="0.25">
      <c r="A172" s="95">
        <v>45582</v>
      </c>
      <c r="B172" s="72" t="s">
        <v>583</v>
      </c>
      <c r="C172" s="72" t="s">
        <v>8</v>
      </c>
      <c r="D172" s="72" t="s">
        <v>13</v>
      </c>
      <c r="E172" s="72" t="s">
        <v>82</v>
      </c>
      <c r="F172" s="72">
        <v>1</v>
      </c>
      <c r="G172" s="73">
        <f t="shared" si="36"/>
        <v>30</v>
      </c>
      <c r="H172" s="73">
        <f t="shared" si="37"/>
        <v>30</v>
      </c>
      <c r="I172" s="73">
        <f t="shared" si="27"/>
        <v>30</v>
      </c>
      <c r="J172" s="72" t="s">
        <v>83</v>
      </c>
      <c r="K172" s="74"/>
      <c r="M172" s="99"/>
      <c r="N172" s="80" t="e">
        <f t="shared" si="35"/>
        <v>#N/A</v>
      </c>
      <c r="O172" s="76"/>
      <c r="P172" s="100"/>
      <c r="Y172" s="91" t="s">
        <v>352</v>
      </c>
      <c r="Z172" s="92">
        <v>4.7504999999999997</v>
      </c>
      <c r="AA172" s="92">
        <f t="shared" si="31"/>
        <v>0.47504999999999997</v>
      </c>
    </row>
    <row r="173" spans="1:27" x14ac:dyDescent="0.25">
      <c r="A173" s="95">
        <v>45582</v>
      </c>
      <c r="B173" s="72" t="s">
        <v>545</v>
      </c>
      <c r="C173" s="72" t="s">
        <v>10</v>
      </c>
      <c r="D173" s="72" t="s">
        <v>18</v>
      </c>
      <c r="E173" s="72" t="s">
        <v>56</v>
      </c>
      <c r="F173" s="72">
        <v>1</v>
      </c>
      <c r="G173" s="73">
        <f t="shared" si="36"/>
        <v>40</v>
      </c>
      <c r="H173" s="73">
        <f t="shared" si="37"/>
        <v>40</v>
      </c>
      <c r="I173" s="73">
        <f t="shared" si="27"/>
        <v>40</v>
      </c>
      <c r="J173" s="72" t="s">
        <v>79</v>
      </c>
      <c r="K173" s="74"/>
      <c r="M173" s="99" t="s">
        <v>18</v>
      </c>
      <c r="N173" s="80">
        <f t="shared" si="35"/>
        <v>16</v>
      </c>
      <c r="O173" s="76">
        <f>N173*F173</f>
        <v>16</v>
      </c>
      <c r="P173" s="100" t="s">
        <v>56</v>
      </c>
      <c r="Y173" s="91" t="s">
        <v>353</v>
      </c>
      <c r="Z173" s="92">
        <v>7</v>
      </c>
      <c r="AA173" s="92">
        <f t="shared" si="31"/>
        <v>0.70000000000000007</v>
      </c>
    </row>
    <row r="174" spans="1:27" x14ac:dyDescent="0.25">
      <c r="A174" s="95">
        <v>45583</v>
      </c>
      <c r="B174" s="72" t="s">
        <v>545</v>
      </c>
      <c r="C174" s="72" t="s">
        <v>10</v>
      </c>
      <c r="D174" s="72" t="s">
        <v>34</v>
      </c>
      <c r="E174" s="72" t="s">
        <v>56</v>
      </c>
      <c r="F174" s="72">
        <v>1</v>
      </c>
      <c r="G174" s="73">
        <f t="shared" si="36"/>
        <v>10</v>
      </c>
      <c r="H174" s="73">
        <f t="shared" si="37"/>
        <v>10</v>
      </c>
      <c r="I174" s="73">
        <f t="shared" si="27"/>
        <v>10</v>
      </c>
      <c r="J174" s="72" t="s">
        <v>79</v>
      </c>
      <c r="K174" s="74"/>
      <c r="M174" s="99" t="s">
        <v>34</v>
      </c>
      <c r="N174" s="80">
        <f t="shared" si="35"/>
        <v>1</v>
      </c>
      <c r="O174" s="76">
        <f>N174*F174</f>
        <v>1</v>
      </c>
      <c r="P174" s="100" t="s">
        <v>56</v>
      </c>
      <c r="Y174" s="91" t="s">
        <v>355</v>
      </c>
      <c r="Z174" s="92">
        <v>7</v>
      </c>
      <c r="AA174" s="92">
        <f t="shared" si="31"/>
        <v>0.70000000000000007</v>
      </c>
    </row>
    <row r="175" spans="1:27" x14ac:dyDescent="0.25">
      <c r="A175" s="95">
        <v>45583</v>
      </c>
      <c r="B175" s="72" t="s">
        <v>491</v>
      </c>
      <c r="C175" s="72" t="s">
        <v>8</v>
      </c>
      <c r="D175" s="72" t="s">
        <v>15</v>
      </c>
      <c r="E175" s="72" t="s">
        <v>82</v>
      </c>
      <c r="F175" s="72">
        <v>1</v>
      </c>
      <c r="G175" s="73">
        <f t="shared" si="36"/>
        <v>70</v>
      </c>
      <c r="H175" s="73">
        <f t="shared" si="37"/>
        <v>70</v>
      </c>
      <c r="I175" s="73">
        <f t="shared" si="27"/>
        <v>68.326999999999998</v>
      </c>
      <c r="J175" s="72" t="s">
        <v>78</v>
      </c>
      <c r="K175" s="74"/>
      <c r="M175" s="72"/>
      <c r="N175" s="80" t="e">
        <f t="shared" si="35"/>
        <v>#N/A</v>
      </c>
      <c r="O175" s="76"/>
      <c r="P175" s="100"/>
      <c r="Q175" s="106"/>
      <c r="Y175" s="91" t="s">
        <v>357</v>
      </c>
      <c r="Z175" s="92">
        <v>6.8327</v>
      </c>
      <c r="AA175" s="92">
        <f t="shared" si="31"/>
        <v>0.68327000000000004</v>
      </c>
    </row>
    <row r="176" spans="1:27" x14ac:dyDescent="0.25">
      <c r="A176" s="95">
        <v>45583</v>
      </c>
      <c r="B176" s="72" t="s">
        <v>839</v>
      </c>
      <c r="C176" s="72" t="s">
        <v>8</v>
      </c>
      <c r="D176" s="72" t="s">
        <v>36</v>
      </c>
      <c r="E176" s="72" t="s">
        <v>82</v>
      </c>
      <c r="F176" s="72">
        <v>1</v>
      </c>
      <c r="G176" s="73">
        <v>35</v>
      </c>
      <c r="H176" s="73">
        <f t="shared" si="37"/>
        <v>35</v>
      </c>
      <c r="I176" s="73">
        <f t="shared" si="27"/>
        <v>33.253500000000003</v>
      </c>
      <c r="J176" s="72" t="s">
        <v>86</v>
      </c>
      <c r="K176" s="74"/>
      <c r="M176" s="72"/>
      <c r="N176" s="80" t="e">
        <f t="shared" si="35"/>
        <v>#N/A</v>
      </c>
      <c r="O176" s="76"/>
      <c r="P176" s="100"/>
      <c r="Y176" s="91" t="s">
        <v>359</v>
      </c>
      <c r="Z176" s="92">
        <v>6.6506999999999996</v>
      </c>
      <c r="AA176" s="92">
        <f t="shared" si="31"/>
        <v>0.66507000000000005</v>
      </c>
    </row>
    <row r="177" spans="1:28" x14ac:dyDescent="0.25">
      <c r="A177" s="95">
        <v>45583</v>
      </c>
      <c r="B177" s="72" t="s">
        <v>839</v>
      </c>
      <c r="C177" s="72" t="s">
        <v>8</v>
      </c>
      <c r="D177" s="72" t="s">
        <v>31</v>
      </c>
      <c r="E177" s="72" t="s">
        <v>82</v>
      </c>
      <c r="F177" s="72">
        <v>1</v>
      </c>
      <c r="G177" s="73">
        <f t="shared" ref="G177:G184" si="38">VLOOKUP(D177,$S$3:$T$70,2,0)</f>
        <v>15</v>
      </c>
      <c r="H177" s="73">
        <f t="shared" si="37"/>
        <v>15</v>
      </c>
      <c r="I177" s="73">
        <f t="shared" si="27"/>
        <v>14.2515</v>
      </c>
      <c r="J177" s="72" t="s">
        <v>86</v>
      </c>
      <c r="K177" s="74"/>
      <c r="M177" s="72"/>
      <c r="N177" s="80" t="e">
        <f t="shared" si="35"/>
        <v>#N/A</v>
      </c>
      <c r="O177" s="76"/>
      <c r="P177" s="100"/>
      <c r="Y177" s="91" t="s">
        <v>361</v>
      </c>
      <c r="Z177" s="92">
        <v>7</v>
      </c>
      <c r="AA177" s="92">
        <f t="shared" si="31"/>
        <v>0.70000000000000007</v>
      </c>
    </row>
    <row r="178" spans="1:28" x14ac:dyDescent="0.25">
      <c r="A178" s="95">
        <v>45583</v>
      </c>
      <c r="B178" s="72" t="s">
        <v>56</v>
      </c>
      <c r="C178" s="72" t="s">
        <v>8</v>
      </c>
      <c r="D178" s="72" t="s">
        <v>18</v>
      </c>
      <c r="E178" s="72" t="s">
        <v>56</v>
      </c>
      <c r="F178" s="72">
        <v>1</v>
      </c>
      <c r="G178" s="73">
        <f t="shared" si="38"/>
        <v>40</v>
      </c>
      <c r="H178" s="73">
        <f t="shared" si="37"/>
        <v>40</v>
      </c>
      <c r="I178" s="73">
        <f t="shared" si="27"/>
        <v>38.003999999999998</v>
      </c>
      <c r="J178" s="72" t="s">
        <v>86</v>
      </c>
      <c r="K178" s="74"/>
      <c r="M178" s="99" t="s">
        <v>18</v>
      </c>
      <c r="N178" s="80">
        <f t="shared" si="35"/>
        <v>16</v>
      </c>
      <c r="O178" s="76">
        <f>N178*F178</f>
        <v>16</v>
      </c>
      <c r="P178" s="100" t="s">
        <v>56</v>
      </c>
      <c r="Y178" s="91" t="s">
        <v>363</v>
      </c>
      <c r="Z178" s="92">
        <v>7</v>
      </c>
      <c r="AA178" s="92">
        <f t="shared" si="31"/>
        <v>0.70000000000000007</v>
      </c>
    </row>
    <row r="179" spans="1:28" x14ac:dyDescent="0.25">
      <c r="A179" s="95">
        <v>45583</v>
      </c>
      <c r="B179" s="72" t="s">
        <v>692</v>
      </c>
      <c r="C179" s="72" t="s">
        <v>8</v>
      </c>
      <c r="D179" s="72" t="s">
        <v>18</v>
      </c>
      <c r="E179" s="72" t="s">
        <v>56</v>
      </c>
      <c r="F179" s="72">
        <v>1</v>
      </c>
      <c r="G179" s="73">
        <f t="shared" si="38"/>
        <v>40</v>
      </c>
      <c r="H179" s="73">
        <f t="shared" si="37"/>
        <v>40</v>
      </c>
      <c r="I179" s="73">
        <f t="shared" si="27"/>
        <v>38.003999999999998</v>
      </c>
      <c r="J179" s="72" t="s">
        <v>86</v>
      </c>
      <c r="K179" s="74"/>
      <c r="M179" s="99" t="s">
        <v>18</v>
      </c>
      <c r="N179" s="80">
        <f t="shared" si="35"/>
        <v>16</v>
      </c>
      <c r="O179" s="76">
        <f>N179*F179</f>
        <v>16</v>
      </c>
      <c r="P179" s="100" t="s">
        <v>56</v>
      </c>
      <c r="Y179" s="91" t="s">
        <v>365</v>
      </c>
      <c r="Z179" s="92">
        <v>6.8327</v>
      </c>
      <c r="AA179" s="92">
        <f t="shared" si="31"/>
        <v>0.68327000000000004</v>
      </c>
    </row>
    <row r="180" spans="1:28" x14ac:dyDescent="0.25">
      <c r="A180" s="95">
        <v>45583</v>
      </c>
      <c r="B180" s="72" t="s">
        <v>247</v>
      </c>
      <c r="C180" s="72" t="s">
        <v>8</v>
      </c>
      <c r="D180" s="72" t="s">
        <v>15</v>
      </c>
      <c r="E180" s="72" t="s">
        <v>82</v>
      </c>
      <c r="F180" s="72">
        <v>1</v>
      </c>
      <c r="G180" s="73">
        <f t="shared" si="38"/>
        <v>70</v>
      </c>
      <c r="H180" s="73">
        <f t="shared" si="37"/>
        <v>70</v>
      </c>
      <c r="I180" s="73">
        <f t="shared" si="27"/>
        <v>70</v>
      </c>
      <c r="J180" s="72" t="s">
        <v>83</v>
      </c>
      <c r="K180" s="74"/>
      <c r="M180" s="99"/>
      <c r="N180" s="80" t="e">
        <f t="shared" si="35"/>
        <v>#N/A</v>
      </c>
      <c r="O180" s="76"/>
      <c r="P180" s="100"/>
      <c r="Y180" s="91" t="s">
        <v>367</v>
      </c>
      <c r="Z180" s="92">
        <v>6.6506999999999996</v>
      </c>
      <c r="AA180" s="92">
        <f t="shared" si="31"/>
        <v>0.66507000000000005</v>
      </c>
    </row>
    <row r="181" spans="1:28" x14ac:dyDescent="0.25">
      <c r="A181" s="95">
        <v>45583</v>
      </c>
      <c r="B181" s="72" t="s">
        <v>247</v>
      </c>
      <c r="C181" s="72" t="s">
        <v>8</v>
      </c>
      <c r="D181" s="72" t="s">
        <v>16</v>
      </c>
      <c r="E181" s="72" t="s">
        <v>82</v>
      </c>
      <c r="F181" s="72">
        <v>1</v>
      </c>
      <c r="G181" s="73">
        <f t="shared" si="38"/>
        <v>80</v>
      </c>
      <c r="H181" s="73">
        <f t="shared" si="37"/>
        <v>80</v>
      </c>
      <c r="I181" s="73">
        <f t="shared" si="27"/>
        <v>80</v>
      </c>
      <c r="J181" s="72" t="s">
        <v>83</v>
      </c>
      <c r="K181" s="74"/>
      <c r="M181" s="99"/>
      <c r="N181" s="80" t="e">
        <f t="shared" si="35"/>
        <v>#N/A</v>
      </c>
      <c r="O181" s="76"/>
      <c r="P181" s="100"/>
      <c r="Y181" s="91" t="s">
        <v>368</v>
      </c>
      <c r="Z181" s="92">
        <v>3.5</v>
      </c>
      <c r="AA181" s="92">
        <f t="shared" si="31"/>
        <v>0.35000000000000003</v>
      </c>
      <c r="AB181" s="92"/>
    </row>
    <row r="182" spans="1:28" x14ac:dyDescent="0.25">
      <c r="A182" s="95">
        <v>45583</v>
      </c>
      <c r="B182" s="72" t="s">
        <v>809</v>
      </c>
      <c r="C182" s="72" t="s">
        <v>8</v>
      </c>
      <c r="D182" s="72" t="s">
        <v>18</v>
      </c>
      <c r="E182" s="72" t="s">
        <v>82</v>
      </c>
      <c r="F182" s="72">
        <v>1</v>
      </c>
      <c r="G182" s="73">
        <f t="shared" si="38"/>
        <v>40</v>
      </c>
      <c r="H182" s="73">
        <f t="shared" si="37"/>
        <v>40</v>
      </c>
      <c r="I182" s="73">
        <f t="shared" si="27"/>
        <v>40</v>
      </c>
      <c r="J182" s="72" t="s">
        <v>83</v>
      </c>
      <c r="K182" s="74"/>
      <c r="M182" s="99"/>
      <c r="N182" s="80" t="e">
        <f t="shared" si="35"/>
        <v>#N/A</v>
      </c>
      <c r="O182" s="76"/>
      <c r="P182" s="100"/>
      <c r="Y182" s="91" t="s">
        <v>370</v>
      </c>
      <c r="Z182" s="92">
        <v>3.5</v>
      </c>
      <c r="AA182" s="92">
        <f t="shared" si="31"/>
        <v>0.35000000000000003</v>
      </c>
    </row>
    <row r="183" spans="1:28" x14ac:dyDescent="0.25">
      <c r="A183" s="95">
        <v>45583</v>
      </c>
      <c r="B183" s="72" t="s">
        <v>217</v>
      </c>
      <c r="C183" s="72" t="s">
        <v>8</v>
      </c>
      <c r="D183" s="72" t="s">
        <v>15</v>
      </c>
      <c r="E183" s="72" t="s">
        <v>82</v>
      </c>
      <c r="F183" s="72">
        <v>1</v>
      </c>
      <c r="G183" s="73">
        <f t="shared" si="38"/>
        <v>70</v>
      </c>
      <c r="H183" s="73">
        <f t="shared" si="37"/>
        <v>70</v>
      </c>
      <c r="I183" s="73">
        <f t="shared" si="27"/>
        <v>70</v>
      </c>
      <c r="J183" s="72" t="s">
        <v>83</v>
      </c>
      <c r="K183" s="74"/>
      <c r="M183" s="99"/>
      <c r="N183" s="80" t="e">
        <f t="shared" si="35"/>
        <v>#N/A</v>
      </c>
      <c r="O183" s="76"/>
      <c r="P183" s="100"/>
      <c r="Y183" s="91" t="s">
        <v>372</v>
      </c>
      <c r="Z183" s="92">
        <v>3.41635</v>
      </c>
      <c r="AA183" s="92">
        <f t="shared" si="31"/>
        <v>0.34163500000000002</v>
      </c>
    </row>
    <row r="184" spans="1:28" x14ac:dyDescent="0.25">
      <c r="A184" s="95">
        <v>45583</v>
      </c>
      <c r="B184" s="72" t="s">
        <v>576</v>
      </c>
      <c r="C184" s="72" t="s">
        <v>8</v>
      </c>
      <c r="D184" s="72" t="s">
        <v>18</v>
      </c>
      <c r="E184" s="72" t="s">
        <v>56</v>
      </c>
      <c r="F184" s="72">
        <v>1</v>
      </c>
      <c r="G184" s="73">
        <f t="shared" si="38"/>
        <v>40</v>
      </c>
      <c r="H184" s="73">
        <f t="shared" si="37"/>
        <v>40</v>
      </c>
      <c r="I184" s="73">
        <f t="shared" si="27"/>
        <v>39.043999999999997</v>
      </c>
      <c r="J184" s="72" t="s">
        <v>78</v>
      </c>
      <c r="K184" s="74"/>
      <c r="M184" s="99" t="s">
        <v>18</v>
      </c>
      <c r="N184" s="80">
        <f t="shared" si="35"/>
        <v>16</v>
      </c>
      <c r="O184" s="76">
        <f>N184*F184</f>
        <v>16</v>
      </c>
      <c r="P184" s="100" t="s">
        <v>56</v>
      </c>
      <c r="Y184" s="91" t="s">
        <v>374</v>
      </c>
      <c r="Z184" s="92">
        <v>3.3253499999999998</v>
      </c>
      <c r="AA184" s="92">
        <f t="shared" si="31"/>
        <v>0.33253500000000003</v>
      </c>
    </row>
    <row r="185" spans="1:28" x14ac:dyDescent="0.25">
      <c r="A185" s="95">
        <v>45583</v>
      </c>
      <c r="B185" s="72" t="s">
        <v>569</v>
      </c>
      <c r="C185" s="72" t="s">
        <v>8</v>
      </c>
      <c r="D185" s="72" t="s">
        <v>18</v>
      </c>
      <c r="E185" s="72" t="s">
        <v>82</v>
      </c>
      <c r="F185" s="72">
        <v>1</v>
      </c>
      <c r="G185" s="73">
        <v>30</v>
      </c>
      <c r="H185" s="73">
        <f t="shared" si="37"/>
        <v>30</v>
      </c>
      <c r="I185" s="73">
        <f t="shared" si="27"/>
        <v>30</v>
      </c>
      <c r="J185" s="72" t="s">
        <v>83</v>
      </c>
      <c r="K185" s="74"/>
      <c r="M185" s="99"/>
      <c r="N185" s="80" t="e">
        <f t="shared" si="35"/>
        <v>#N/A</v>
      </c>
      <c r="O185" s="76"/>
      <c r="P185" s="100"/>
      <c r="Y185" s="91" t="s">
        <v>375</v>
      </c>
      <c r="Z185" s="92">
        <v>3.5</v>
      </c>
      <c r="AA185" s="92">
        <f t="shared" si="31"/>
        <v>0.35000000000000003</v>
      </c>
    </row>
    <row r="186" spans="1:28" x14ac:dyDescent="0.25">
      <c r="A186" s="95">
        <v>45583</v>
      </c>
      <c r="B186" s="72" t="s">
        <v>845</v>
      </c>
      <c r="C186" s="72" t="s">
        <v>8</v>
      </c>
      <c r="D186" s="72" t="s">
        <v>59</v>
      </c>
      <c r="E186" s="72" t="s">
        <v>56</v>
      </c>
      <c r="F186" s="72">
        <v>2</v>
      </c>
      <c r="G186" s="73">
        <v>14.5</v>
      </c>
      <c r="H186" s="73">
        <f t="shared" si="37"/>
        <v>29</v>
      </c>
      <c r="I186" s="73">
        <f t="shared" si="27"/>
        <v>29</v>
      </c>
      <c r="J186" s="72" t="s">
        <v>83</v>
      </c>
      <c r="K186" s="74"/>
      <c r="M186" s="99" t="s">
        <v>59</v>
      </c>
      <c r="N186" s="80">
        <f>H186*0.1</f>
        <v>2.9000000000000004</v>
      </c>
      <c r="O186" s="76">
        <f>N186*F186</f>
        <v>5.8000000000000007</v>
      </c>
      <c r="P186" s="100" t="s">
        <v>56</v>
      </c>
      <c r="Y186" s="91" t="s">
        <v>376</v>
      </c>
      <c r="Z186" s="92">
        <v>3.5</v>
      </c>
      <c r="AA186" s="92">
        <f t="shared" si="31"/>
        <v>0.35000000000000003</v>
      </c>
    </row>
    <row r="187" spans="1:28" x14ac:dyDescent="0.25">
      <c r="A187" s="95">
        <v>45583</v>
      </c>
      <c r="B187" s="72" t="s">
        <v>513</v>
      </c>
      <c r="C187" s="72" t="s">
        <v>8</v>
      </c>
      <c r="D187" s="72" t="s">
        <v>18</v>
      </c>
      <c r="E187" s="72" t="s">
        <v>56</v>
      </c>
      <c r="F187" s="72">
        <v>1</v>
      </c>
      <c r="G187" s="73">
        <f t="shared" ref="G187:G216" si="39">VLOOKUP(D187,$S$3:$T$70,2,0)</f>
        <v>40</v>
      </c>
      <c r="H187" s="73">
        <f t="shared" si="37"/>
        <v>40</v>
      </c>
      <c r="I187" s="73">
        <f t="shared" si="27"/>
        <v>39.043999999999997</v>
      </c>
      <c r="J187" s="72" t="s">
        <v>78</v>
      </c>
      <c r="K187" s="74"/>
      <c r="M187" s="99" t="s">
        <v>18</v>
      </c>
      <c r="N187" s="80">
        <f t="shared" ref="N187:N208" si="40">VLOOKUP(M187,$S$3:$U$70,3,0)</f>
        <v>16</v>
      </c>
      <c r="O187" s="76">
        <f>N187*F187</f>
        <v>16</v>
      </c>
      <c r="P187" s="100" t="s">
        <v>56</v>
      </c>
      <c r="Y187" s="91" t="s">
        <v>378</v>
      </c>
      <c r="Z187" s="92">
        <v>3.41635</v>
      </c>
      <c r="AA187" s="92">
        <f t="shared" si="31"/>
        <v>0.34163500000000002</v>
      </c>
    </row>
    <row r="188" spans="1:28" x14ac:dyDescent="0.25">
      <c r="A188" s="95">
        <v>45584</v>
      </c>
      <c r="B188" s="72" t="s">
        <v>577</v>
      </c>
      <c r="C188" s="72" t="s">
        <v>8</v>
      </c>
      <c r="D188" s="72" t="s">
        <v>15</v>
      </c>
      <c r="E188" s="72" t="s">
        <v>82</v>
      </c>
      <c r="F188" s="72">
        <v>1</v>
      </c>
      <c r="G188" s="73">
        <f t="shared" si="39"/>
        <v>70</v>
      </c>
      <c r="H188" s="73">
        <f t="shared" si="37"/>
        <v>70</v>
      </c>
      <c r="I188" s="73">
        <f t="shared" si="27"/>
        <v>66.507000000000005</v>
      </c>
      <c r="J188" s="72" t="s">
        <v>86</v>
      </c>
      <c r="K188" s="74"/>
      <c r="M188" s="99"/>
      <c r="N188" s="80" t="e">
        <f t="shared" si="40"/>
        <v>#N/A</v>
      </c>
      <c r="O188" s="76"/>
      <c r="P188" s="100"/>
      <c r="Y188" s="91" t="s">
        <v>380</v>
      </c>
      <c r="Z188" s="92">
        <v>3.3253499999999998</v>
      </c>
      <c r="AA188" s="92">
        <f t="shared" si="31"/>
        <v>0.33253500000000003</v>
      </c>
    </row>
    <row r="189" spans="1:28" x14ac:dyDescent="0.25">
      <c r="A189" s="95">
        <v>45584</v>
      </c>
      <c r="B189" s="72" t="s">
        <v>204</v>
      </c>
      <c r="C189" s="72" t="s">
        <v>8</v>
      </c>
      <c r="D189" s="72" t="s">
        <v>18</v>
      </c>
      <c r="E189" s="72" t="s">
        <v>56</v>
      </c>
      <c r="F189" s="72">
        <v>1</v>
      </c>
      <c r="G189" s="73">
        <f t="shared" si="39"/>
        <v>40</v>
      </c>
      <c r="H189" s="73">
        <f t="shared" si="37"/>
        <v>40</v>
      </c>
      <c r="I189" s="73">
        <f t="shared" si="27"/>
        <v>39.043999999999997</v>
      </c>
      <c r="J189" s="72" t="s">
        <v>78</v>
      </c>
      <c r="K189" s="74"/>
      <c r="M189" s="99" t="s">
        <v>18</v>
      </c>
      <c r="N189" s="80">
        <f t="shared" si="40"/>
        <v>16</v>
      </c>
      <c r="O189" s="76">
        <f>N189*F189</f>
        <v>16</v>
      </c>
      <c r="P189" s="100" t="s">
        <v>56</v>
      </c>
    </row>
    <row r="190" spans="1:28" x14ac:dyDescent="0.25">
      <c r="A190" s="95">
        <v>45584</v>
      </c>
      <c r="B190" s="72" t="s">
        <v>204</v>
      </c>
      <c r="C190" s="72" t="s">
        <v>8</v>
      </c>
      <c r="D190" s="72" t="s">
        <v>63</v>
      </c>
      <c r="E190" s="72" t="s">
        <v>56</v>
      </c>
      <c r="F190" s="72">
        <v>1</v>
      </c>
      <c r="G190" s="73">
        <f t="shared" si="39"/>
        <v>20</v>
      </c>
      <c r="H190" s="73">
        <f t="shared" si="37"/>
        <v>20</v>
      </c>
      <c r="I190" s="73">
        <f t="shared" si="27"/>
        <v>19.521999999999998</v>
      </c>
      <c r="J190" s="72" t="s">
        <v>78</v>
      </c>
      <c r="K190" s="74"/>
      <c r="M190" s="99" t="s">
        <v>63</v>
      </c>
      <c r="N190" s="80">
        <f t="shared" si="40"/>
        <v>2</v>
      </c>
      <c r="O190" s="76">
        <f>N190*F190</f>
        <v>2</v>
      </c>
      <c r="P190" s="100" t="s">
        <v>56</v>
      </c>
    </row>
    <row r="191" spans="1:28" x14ac:dyDescent="0.25">
      <c r="A191" s="95">
        <v>45584</v>
      </c>
      <c r="B191" s="72" t="s">
        <v>518</v>
      </c>
      <c r="C191" s="72" t="s">
        <v>8</v>
      </c>
      <c r="D191" s="72" t="s">
        <v>17</v>
      </c>
      <c r="E191" s="72" t="s">
        <v>82</v>
      </c>
      <c r="F191" s="72">
        <v>1</v>
      </c>
      <c r="G191" s="73">
        <f t="shared" si="39"/>
        <v>50</v>
      </c>
      <c r="H191" s="73">
        <f t="shared" si="37"/>
        <v>50</v>
      </c>
      <c r="I191" s="73">
        <f t="shared" si="27"/>
        <v>48.805</v>
      </c>
      <c r="J191" s="72" t="s">
        <v>78</v>
      </c>
      <c r="K191" s="74"/>
      <c r="M191" s="99"/>
      <c r="N191" s="80" t="e">
        <f t="shared" si="40"/>
        <v>#N/A</v>
      </c>
      <c r="O191" s="76"/>
      <c r="P191" s="100"/>
    </row>
    <row r="192" spans="1:28" x14ac:dyDescent="0.25">
      <c r="A192" s="95">
        <v>45584</v>
      </c>
      <c r="B192" s="72" t="s">
        <v>846</v>
      </c>
      <c r="C192" s="72" t="s">
        <v>8</v>
      </c>
      <c r="D192" s="72" t="s">
        <v>48</v>
      </c>
      <c r="E192" s="72" t="s">
        <v>82</v>
      </c>
      <c r="F192" s="72">
        <v>1</v>
      </c>
      <c r="G192" s="73">
        <f t="shared" si="39"/>
        <v>10</v>
      </c>
      <c r="H192" s="73">
        <f t="shared" si="37"/>
        <v>10</v>
      </c>
      <c r="I192" s="73">
        <f t="shared" si="27"/>
        <v>9.7609999999999992</v>
      </c>
      <c r="J192" s="72" t="s">
        <v>78</v>
      </c>
      <c r="K192" s="74"/>
      <c r="M192" s="99"/>
      <c r="N192" s="80" t="e">
        <f t="shared" si="40"/>
        <v>#N/A</v>
      </c>
      <c r="O192" s="76"/>
      <c r="P192" s="100"/>
    </row>
    <row r="193" spans="1:17" x14ac:dyDescent="0.25">
      <c r="A193" s="95">
        <v>45584</v>
      </c>
      <c r="B193" s="72" t="s">
        <v>846</v>
      </c>
      <c r="C193" s="72" t="s">
        <v>8</v>
      </c>
      <c r="D193" s="72" t="s">
        <v>774</v>
      </c>
      <c r="E193" s="72" t="s">
        <v>82</v>
      </c>
      <c r="F193" s="72">
        <v>1</v>
      </c>
      <c r="G193" s="73">
        <f t="shared" si="39"/>
        <v>4.5</v>
      </c>
      <c r="H193" s="73">
        <f t="shared" si="37"/>
        <v>4.5</v>
      </c>
      <c r="I193" s="73">
        <f t="shared" si="27"/>
        <v>4.3924500000000002</v>
      </c>
      <c r="J193" s="72" t="s">
        <v>78</v>
      </c>
      <c r="K193" s="74"/>
      <c r="M193" s="99"/>
      <c r="N193" s="80" t="e">
        <f t="shared" si="40"/>
        <v>#N/A</v>
      </c>
      <c r="O193" s="76"/>
      <c r="P193" s="100"/>
    </row>
    <row r="194" spans="1:17" x14ac:dyDescent="0.25">
      <c r="A194" s="95">
        <v>45584</v>
      </c>
      <c r="B194" s="72" t="s">
        <v>847</v>
      </c>
      <c r="C194" s="72" t="s">
        <v>8</v>
      </c>
      <c r="D194" s="72" t="s">
        <v>18</v>
      </c>
      <c r="E194" s="72" t="s">
        <v>56</v>
      </c>
      <c r="F194" s="72">
        <v>1</v>
      </c>
      <c r="G194" s="73">
        <f t="shared" si="39"/>
        <v>40</v>
      </c>
      <c r="H194" s="73">
        <f t="shared" si="37"/>
        <v>40</v>
      </c>
      <c r="I194" s="73">
        <f t="shared" si="27"/>
        <v>40</v>
      </c>
      <c r="J194" s="72" t="s">
        <v>79</v>
      </c>
      <c r="K194" s="74"/>
      <c r="M194" s="99" t="s">
        <v>18</v>
      </c>
      <c r="N194" s="80">
        <f t="shared" si="40"/>
        <v>16</v>
      </c>
      <c r="O194" s="76">
        <f>N194*F194</f>
        <v>16</v>
      </c>
      <c r="P194" s="100" t="s">
        <v>56</v>
      </c>
    </row>
    <row r="195" spans="1:17" x14ac:dyDescent="0.25">
      <c r="A195" s="95">
        <v>45584</v>
      </c>
      <c r="B195" s="72" t="s">
        <v>848</v>
      </c>
      <c r="C195" s="72" t="s">
        <v>8</v>
      </c>
      <c r="D195" s="72" t="s">
        <v>16</v>
      </c>
      <c r="E195" s="72" t="s">
        <v>56</v>
      </c>
      <c r="F195" s="72">
        <v>1</v>
      </c>
      <c r="G195" s="73">
        <f t="shared" si="39"/>
        <v>80</v>
      </c>
      <c r="H195" s="73">
        <f t="shared" si="37"/>
        <v>80</v>
      </c>
      <c r="I195" s="73">
        <f t="shared" ref="I195:I258" si="41">IF(J195="Cartão de Debito",H195-(H195*$AC$5),IF(J195="Cartão de Credito",H195-(H195*$AC$6), IF(J195="Pix",H195-(H195*$AC$7), IF(J195="Dinheiro (R$)", H195-(H195*$AC$8)))))</f>
        <v>76.007999999999996</v>
      </c>
      <c r="J195" s="72" t="s">
        <v>86</v>
      </c>
      <c r="K195" s="74"/>
      <c r="M195" s="99" t="s">
        <v>16</v>
      </c>
      <c r="N195" s="80">
        <f t="shared" si="40"/>
        <v>32</v>
      </c>
      <c r="O195" s="76">
        <f>N195*F195</f>
        <v>32</v>
      </c>
      <c r="P195" s="100" t="s">
        <v>56</v>
      </c>
    </row>
    <row r="196" spans="1:17" x14ac:dyDescent="0.25">
      <c r="A196" s="95">
        <v>45584</v>
      </c>
      <c r="B196" s="72" t="s">
        <v>204</v>
      </c>
      <c r="C196" s="72" t="s">
        <v>8</v>
      </c>
      <c r="D196" s="72" t="s">
        <v>17</v>
      </c>
      <c r="E196" s="72" t="s">
        <v>56</v>
      </c>
      <c r="F196" s="72">
        <v>1</v>
      </c>
      <c r="G196" s="73">
        <f t="shared" si="39"/>
        <v>50</v>
      </c>
      <c r="H196" s="73">
        <f t="shared" si="37"/>
        <v>50</v>
      </c>
      <c r="I196" s="73">
        <f t="shared" si="41"/>
        <v>48.805</v>
      </c>
      <c r="J196" s="72" t="s">
        <v>78</v>
      </c>
      <c r="K196" s="74"/>
      <c r="M196" s="99" t="s">
        <v>17</v>
      </c>
      <c r="N196" s="80">
        <f t="shared" si="40"/>
        <v>20</v>
      </c>
      <c r="O196" s="76">
        <f>N196*F196</f>
        <v>20</v>
      </c>
      <c r="P196" s="100"/>
    </row>
    <row r="197" spans="1:17" x14ac:dyDescent="0.25">
      <c r="A197" s="95">
        <v>45584</v>
      </c>
      <c r="B197" s="72" t="s">
        <v>204</v>
      </c>
      <c r="C197" s="72" t="s">
        <v>8</v>
      </c>
      <c r="D197" s="72" t="s">
        <v>18</v>
      </c>
      <c r="E197" s="72" t="s">
        <v>82</v>
      </c>
      <c r="F197" s="72">
        <v>4</v>
      </c>
      <c r="G197" s="73">
        <f t="shared" si="39"/>
        <v>40</v>
      </c>
      <c r="H197" s="73">
        <v>170</v>
      </c>
      <c r="I197" s="73">
        <f t="shared" si="41"/>
        <v>170</v>
      </c>
      <c r="J197" s="72" t="s">
        <v>83</v>
      </c>
      <c r="K197" s="74"/>
      <c r="M197" s="99"/>
      <c r="N197" s="80" t="e">
        <f t="shared" si="40"/>
        <v>#N/A</v>
      </c>
      <c r="O197" s="76"/>
      <c r="P197" s="100"/>
    </row>
    <row r="198" spans="1:17" x14ac:dyDescent="0.25">
      <c r="A198" s="95">
        <v>45584</v>
      </c>
      <c r="B198" s="72" t="s">
        <v>849</v>
      </c>
      <c r="C198" s="72" t="s">
        <v>8</v>
      </c>
      <c r="D198" s="72" t="s">
        <v>18</v>
      </c>
      <c r="E198" s="72" t="s">
        <v>56</v>
      </c>
      <c r="F198" s="72">
        <v>1</v>
      </c>
      <c r="G198" s="73">
        <f t="shared" si="39"/>
        <v>40</v>
      </c>
      <c r="H198" s="73">
        <f t="shared" ref="H198:H229" si="42">F198*G198</f>
        <v>40</v>
      </c>
      <c r="I198" s="73">
        <f t="shared" si="41"/>
        <v>40</v>
      </c>
      <c r="J198" s="72" t="s">
        <v>83</v>
      </c>
      <c r="K198" s="74"/>
      <c r="M198" s="99" t="s">
        <v>18</v>
      </c>
      <c r="N198" s="80">
        <f t="shared" si="40"/>
        <v>16</v>
      </c>
      <c r="O198" s="76">
        <f>N198*F198</f>
        <v>16</v>
      </c>
      <c r="P198" s="100" t="s">
        <v>56</v>
      </c>
    </row>
    <row r="199" spans="1:17" x14ac:dyDescent="0.25">
      <c r="A199" s="95">
        <v>45584</v>
      </c>
      <c r="B199" s="72" t="s">
        <v>783</v>
      </c>
      <c r="C199" s="72" t="s">
        <v>8</v>
      </c>
      <c r="D199" s="72" t="s">
        <v>18</v>
      </c>
      <c r="E199" s="72" t="s">
        <v>82</v>
      </c>
      <c r="F199" s="72">
        <v>1</v>
      </c>
      <c r="G199" s="73">
        <f t="shared" si="39"/>
        <v>40</v>
      </c>
      <c r="H199" s="73">
        <f t="shared" si="42"/>
        <v>40</v>
      </c>
      <c r="I199" s="73">
        <f t="shared" si="41"/>
        <v>40</v>
      </c>
      <c r="J199" s="72" t="s">
        <v>83</v>
      </c>
      <c r="K199" s="74"/>
      <c r="M199" s="99"/>
      <c r="N199" s="80" t="e">
        <f t="shared" si="40"/>
        <v>#N/A</v>
      </c>
      <c r="O199" s="76"/>
      <c r="P199" s="100"/>
    </row>
    <row r="200" spans="1:17" x14ac:dyDescent="0.25">
      <c r="A200" s="95">
        <v>45584</v>
      </c>
      <c r="B200" s="72" t="s">
        <v>734</v>
      </c>
      <c r="C200" s="72" t="s">
        <v>8</v>
      </c>
      <c r="D200" s="72" t="s">
        <v>18</v>
      </c>
      <c r="E200" s="72" t="s">
        <v>56</v>
      </c>
      <c r="F200" s="72">
        <v>1</v>
      </c>
      <c r="G200" s="73">
        <f t="shared" si="39"/>
        <v>40</v>
      </c>
      <c r="H200" s="73">
        <f t="shared" si="42"/>
        <v>40</v>
      </c>
      <c r="I200" s="73">
        <f t="shared" si="41"/>
        <v>40</v>
      </c>
      <c r="J200" s="72" t="s">
        <v>83</v>
      </c>
      <c r="K200" s="74"/>
      <c r="M200" s="99" t="s">
        <v>18</v>
      </c>
      <c r="N200" s="80">
        <f t="shared" si="40"/>
        <v>16</v>
      </c>
      <c r="O200" s="76">
        <f>N200*F200</f>
        <v>16</v>
      </c>
      <c r="P200" s="100" t="s">
        <v>56</v>
      </c>
      <c r="Q200" s="106"/>
    </row>
    <row r="201" spans="1:17" x14ac:dyDescent="0.25">
      <c r="A201" s="95">
        <v>45584</v>
      </c>
      <c r="B201" s="72" t="s">
        <v>775</v>
      </c>
      <c r="C201" s="72" t="s">
        <v>8</v>
      </c>
      <c r="D201" s="72" t="s">
        <v>21</v>
      </c>
      <c r="E201" s="72" t="s">
        <v>82</v>
      </c>
      <c r="F201" s="72">
        <v>1</v>
      </c>
      <c r="G201" s="73">
        <f t="shared" si="39"/>
        <v>10</v>
      </c>
      <c r="H201" s="73">
        <f t="shared" si="42"/>
        <v>10</v>
      </c>
      <c r="I201" s="73">
        <f t="shared" si="41"/>
        <v>10</v>
      </c>
      <c r="J201" s="72" t="s">
        <v>83</v>
      </c>
      <c r="K201" s="74"/>
      <c r="M201" s="99"/>
      <c r="N201" s="80" t="e">
        <f t="shared" si="40"/>
        <v>#N/A</v>
      </c>
      <c r="O201" s="76"/>
      <c r="P201" s="100"/>
    </row>
    <row r="202" spans="1:17" x14ac:dyDescent="0.25">
      <c r="A202" s="95">
        <v>45587</v>
      </c>
      <c r="B202" s="72" t="s">
        <v>806</v>
      </c>
      <c r="C202" s="72" t="s">
        <v>8</v>
      </c>
      <c r="D202" s="72" t="s">
        <v>15</v>
      </c>
      <c r="E202" s="72" t="s">
        <v>82</v>
      </c>
      <c r="F202" s="72">
        <v>1</v>
      </c>
      <c r="G202" s="73">
        <f t="shared" si="39"/>
        <v>70</v>
      </c>
      <c r="H202" s="73">
        <f t="shared" si="42"/>
        <v>70</v>
      </c>
      <c r="I202" s="73">
        <f t="shared" si="41"/>
        <v>70</v>
      </c>
      <c r="J202" s="72" t="s">
        <v>83</v>
      </c>
      <c r="K202" s="74"/>
      <c r="M202" s="99"/>
      <c r="N202" s="80" t="e">
        <f t="shared" si="40"/>
        <v>#N/A</v>
      </c>
      <c r="O202" s="76"/>
      <c r="P202" s="100"/>
    </row>
    <row r="203" spans="1:17" x14ac:dyDescent="0.25">
      <c r="A203" s="95">
        <v>45587</v>
      </c>
      <c r="B203" s="72" t="s">
        <v>194</v>
      </c>
      <c r="C203" s="72" t="s">
        <v>8</v>
      </c>
      <c r="D203" s="72" t="s">
        <v>17</v>
      </c>
      <c r="E203" s="72" t="s">
        <v>82</v>
      </c>
      <c r="F203" s="72">
        <v>1</v>
      </c>
      <c r="G203" s="73">
        <f t="shared" si="39"/>
        <v>50</v>
      </c>
      <c r="H203" s="73">
        <f t="shared" si="42"/>
        <v>50</v>
      </c>
      <c r="I203" s="73">
        <f t="shared" si="41"/>
        <v>50</v>
      </c>
      <c r="J203" s="72" t="s">
        <v>83</v>
      </c>
      <c r="K203" s="74"/>
      <c r="M203" s="99"/>
      <c r="N203" s="80" t="e">
        <f t="shared" si="40"/>
        <v>#N/A</v>
      </c>
      <c r="O203" s="76"/>
      <c r="P203" s="100"/>
    </row>
    <row r="204" spans="1:17" x14ac:dyDescent="0.25">
      <c r="A204" s="95">
        <v>45587</v>
      </c>
      <c r="B204" s="72" t="s">
        <v>604</v>
      </c>
      <c r="C204" s="72" t="s">
        <v>8</v>
      </c>
      <c r="D204" s="72" t="s">
        <v>18</v>
      </c>
      <c r="E204" s="72" t="s">
        <v>82</v>
      </c>
      <c r="F204" s="72">
        <v>1</v>
      </c>
      <c r="G204" s="73">
        <f t="shared" si="39"/>
        <v>40</v>
      </c>
      <c r="H204" s="73">
        <f t="shared" si="42"/>
        <v>40</v>
      </c>
      <c r="I204" s="73">
        <f t="shared" si="41"/>
        <v>40</v>
      </c>
      <c r="J204" s="72" t="s">
        <v>83</v>
      </c>
      <c r="K204" s="74"/>
      <c r="M204" s="99"/>
      <c r="N204" s="80" t="e">
        <f t="shared" si="40"/>
        <v>#N/A</v>
      </c>
      <c r="O204" s="76"/>
      <c r="P204" s="100"/>
    </row>
    <row r="205" spans="1:17" x14ac:dyDescent="0.25">
      <c r="A205" s="95">
        <v>45587</v>
      </c>
      <c r="B205" s="72" t="s">
        <v>149</v>
      </c>
      <c r="C205" s="72" t="s">
        <v>8</v>
      </c>
      <c r="D205" s="72" t="s">
        <v>15</v>
      </c>
      <c r="E205" s="72" t="s">
        <v>56</v>
      </c>
      <c r="F205" s="72">
        <v>1</v>
      </c>
      <c r="G205" s="73">
        <f t="shared" si="39"/>
        <v>70</v>
      </c>
      <c r="H205" s="73">
        <f t="shared" si="42"/>
        <v>70</v>
      </c>
      <c r="I205" s="73">
        <f t="shared" si="41"/>
        <v>66.507000000000005</v>
      </c>
      <c r="J205" s="72" t="s">
        <v>86</v>
      </c>
      <c r="K205" s="74"/>
      <c r="M205" s="99" t="s">
        <v>15</v>
      </c>
      <c r="N205" s="80">
        <f t="shared" si="40"/>
        <v>28</v>
      </c>
      <c r="O205" s="76">
        <f>N205*F205</f>
        <v>28</v>
      </c>
      <c r="P205" s="100" t="s">
        <v>56</v>
      </c>
      <c r="Q205" s="106"/>
    </row>
    <row r="206" spans="1:17" x14ac:dyDescent="0.25">
      <c r="A206" s="95">
        <v>45587</v>
      </c>
      <c r="B206" s="72" t="s">
        <v>561</v>
      </c>
      <c r="C206" s="72" t="s">
        <v>8</v>
      </c>
      <c r="D206" s="72" t="s">
        <v>18</v>
      </c>
      <c r="E206" s="72" t="s">
        <v>82</v>
      </c>
      <c r="F206" s="72">
        <v>1</v>
      </c>
      <c r="G206" s="73">
        <f t="shared" si="39"/>
        <v>40</v>
      </c>
      <c r="H206" s="73">
        <f t="shared" si="42"/>
        <v>40</v>
      </c>
      <c r="I206" s="73">
        <f t="shared" si="41"/>
        <v>40</v>
      </c>
      <c r="J206" s="72" t="s">
        <v>83</v>
      </c>
      <c r="K206" s="74"/>
      <c r="M206" s="99"/>
      <c r="N206" s="80" t="e">
        <f t="shared" si="40"/>
        <v>#N/A</v>
      </c>
      <c r="O206" s="76"/>
      <c r="P206" s="100"/>
    </row>
    <row r="207" spans="1:17" x14ac:dyDescent="0.25">
      <c r="A207" s="95">
        <v>45587</v>
      </c>
      <c r="B207" s="72" t="s">
        <v>225</v>
      </c>
      <c r="C207" s="72" t="s">
        <v>10</v>
      </c>
      <c r="D207" s="72" t="s">
        <v>18</v>
      </c>
      <c r="E207" s="72" t="s">
        <v>56</v>
      </c>
      <c r="F207" s="72">
        <v>1</v>
      </c>
      <c r="G207" s="73">
        <f t="shared" si="39"/>
        <v>40</v>
      </c>
      <c r="H207" s="73">
        <f t="shared" si="42"/>
        <v>40</v>
      </c>
      <c r="I207" s="73">
        <f t="shared" si="41"/>
        <v>39.043999999999997</v>
      </c>
      <c r="J207" s="72" t="s">
        <v>78</v>
      </c>
      <c r="K207" s="74"/>
      <c r="M207" s="99" t="s">
        <v>18</v>
      </c>
      <c r="N207" s="80">
        <f t="shared" si="40"/>
        <v>16</v>
      </c>
      <c r="O207" s="76">
        <f>N207*F207</f>
        <v>16</v>
      </c>
      <c r="P207" s="100" t="s">
        <v>56</v>
      </c>
    </row>
    <row r="208" spans="1:17" x14ac:dyDescent="0.25">
      <c r="A208" s="95">
        <v>45587</v>
      </c>
      <c r="B208" s="72" t="s">
        <v>225</v>
      </c>
      <c r="C208" s="72" t="s">
        <v>10</v>
      </c>
      <c r="D208" s="72" t="s">
        <v>774</v>
      </c>
      <c r="E208" s="72" t="s">
        <v>56</v>
      </c>
      <c r="F208" s="72">
        <v>1</v>
      </c>
      <c r="G208" s="73">
        <f t="shared" si="39"/>
        <v>4.5</v>
      </c>
      <c r="H208" s="73">
        <f t="shared" si="42"/>
        <v>4.5</v>
      </c>
      <c r="I208" s="73">
        <f t="shared" si="41"/>
        <v>4.3924500000000002</v>
      </c>
      <c r="J208" s="72" t="s">
        <v>78</v>
      </c>
      <c r="K208" s="74"/>
      <c r="M208" s="99" t="s">
        <v>774</v>
      </c>
      <c r="N208" s="80">
        <f t="shared" si="40"/>
        <v>0.45</v>
      </c>
      <c r="O208" s="76">
        <f>N208*F208</f>
        <v>0.45</v>
      </c>
      <c r="P208" s="100" t="s">
        <v>56</v>
      </c>
    </row>
    <row r="209" spans="1:17" x14ac:dyDescent="0.25">
      <c r="A209" s="95">
        <v>45587</v>
      </c>
      <c r="B209" s="72" t="s">
        <v>538</v>
      </c>
      <c r="C209" s="72" t="s">
        <v>8</v>
      </c>
      <c r="D209" s="72" t="s">
        <v>18</v>
      </c>
      <c r="E209" s="72" t="s">
        <v>82</v>
      </c>
      <c r="F209" s="72">
        <v>1</v>
      </c>
      <c r="G209" s="73">
        <f t="shared" si="39"/>
        <v>40</v>
      </c>
      <c r="H209" s="73">
        <f t="shared" si="42"/>
        <v>40</v>
      </c>
      <c r="I209" s="73">
        <f t="shared" si="41"/>
        <v>39.043999999999997</v>
      </c>
      <c r="J209" s="72" t="s">
        <v>78</v>
      </c>
      <c r="K209" s="74"/>
      <c r="M209" s="99"/>
      <c r="N209" s="80">
        <f>H209*0.4</f>
        <v>16</v>
      </c>
      <c r="O209" s="76">
        <f>N209*F209</f>
        <v>16</v>
      </c>
      <c r="P209" s="100"/>
    </row>
    <row r="210" spans="1:17" x14ac:dyDescent="0.25">
      <c r="A210" s="95">
        <v>45587</v>
      </c>
      <c r="B210" s="72" t="s">
        <v>536</v>
      </c>
      <c r="C210" s="72" t="s">
        <v>8</v>
      </c>
      <c r="D210" s="72" t="s">
        <v>18</v>
      </c>
      <c r="E210" s="72" t="s">
        <v>82</v>
      </c>
      <c r="F210" s="72">
        <v>1</v>
      </c>
      <c r="G210" s="73">
        <f t="shared" si="39"/>
        <v>40</v>
      </c>
      <c r="H210" s="73">
        <f t="shared" si="42"/>
        <v>40</v>
      </c>
      <c r="I210" s="73">
        <f t="shared" si="41"/>
        <v>40</v>
      </c>
      <c r="J210" s="72" t="s">
        <v>83</v>
      </c>
      <c r="K210" s="74"/>
      <c r="M210" s="99"/>
      <c r="N210" s="80" t="e">
        <f t="shared" ref="N210:N241" si="43">VLOOKUP(M210,$S$3:$U$70,3,0)</f>
        <v>#N/A</v>
      </c>
      <c r="O210" s="76"/>
      <c r="P210" s="100"/>
    </row>
    <row r="211" spans="1:17" x14ac:dyDescent="0.25">
      <c r="A211" s="95">
        <v>45587</v>
      </c>
      <c r="B211" s="72" t="s">
        <v>561</v>
      </c>
      <c r="C211" s="72" t="s">
        <v>8</v>
      </c>
      <c r="D211" s="72" t="s">
        <v>18</v>
      </c>
      <c r="E211" s="72" t="s">
        <v>82</v>
      </c>
      <c r="F211" s="72">
        <v>1</v>
      </c>
      <c r="G211" s="73">
        <f t="shared" si="39"/>
        <v>40</v>
      </c>
      <c r="H211" s="73">
        <f t="shared" si="42"/>
        <v>40</v>
      </c>
      <c r="I211" s="73">
        <f t="shared" si="41"/>
        <v>40</v>
      </c>
      <c r="J211" s="72" t="s">
        <v>83</v>
      </c>
      <c r="K211" s="74"/>
      <c r="M211" s="99"/>
      <c r="N211" s="80" t="e">
        <f t="shared" si="43"/>
        <v>#N/A</v>
      </c>
      <c r="O211" s="76"/>
      <c r="P211" s="100"/>
    </row>
    <row r="212" spans="1:17" x14ac:dyDescent="0.25">
      <c r="A212" s="95">
        <v>45587</v>
      </c>
      <c r="B212" s="72" t="s">
        <v>561</v>
      </c>
      <c r="C212" s="72" t="s">
        <v>8</v>
      </c>
      <c r="D212" s="72" t="s">
        <v>20</v>
      </c>
      <c r="E212" s="72" t="s">
        <v>56</v>
      </c>
      <c r="F212" s="72">
        <v>1</v>
      </c>
      <c r="G212" s="73">
        <f t="shared" si="39"/>
        <v>15</v>
      </c>
      <c r="H212" s="73">
        <f t="shared" si="42"/>
        <v>15</v>
      </c>
      <c r="I212" s="73">
        <f t="shared" si="41"/>
        <v>15</v>
      </c>
      <c r="J212" s="72" t="s">
        <v>83</v>
      </c>
      <c r="K212" s="74"/>
      <c r="M212" s="99" t="s">
        <v>20</v>
      </c>
      <c r="N212" s="80">
        <f t="shared" si="43"/>
        <v>6</v>
      </c>
      <c r="O212" s="76">
        <f>N212*F212</f>
        <v>6</v>
      </c>
      <c r="P212" s="100" t="s">
        <v>56</v>
      </c>
    </row>
    <row r="213" spans="1:17" x14ac:dyDescent="0.25">
      <c r="A213" s="95">
        <v>45588</v>
      </c>
      <c r="B213" s="72" t="s">
        <v>611</v>
      </c>
      <c r="C213" s="72" t="s">
        <v>8</v>
      </c>
      <c r="D213" s="72" t="s">
        <v>40</v>
      </c>
      <c r="E213" s="72" t="s">
        <v>82</v>
      </c>
      <c r="F213" s="72">
        <v>1</v>
      </c>
      <c r="G213" s="73">
        <f t="shared" si="39"/>
        <v>45</v>
      </c>
      <c r="H213" s="73">
        <f t="shared" si="42"/>
        <v>45</v>
      </c>
      <c r="I213" s="73">
        <f t="shared" si="41"/>
        <v>45</v>
      </c>
      <c r="J213" s="72" t="s">
        <v>83</v>
      </c>
      <c r="K213" s="74"/>
      <c r="M213" s="99"/>
      <c r="N213" s="80" t="e">
        <f t="shared" si="43"/>
        <v>#N/A</v>
      </c>
      <c r="O213" s="76"/>
      <c r="P213" s="100"/>
    </row>
    <row r="214" spans="1:17" x14ac:dyDescent="0.25">
      <c r="A214" s="95">
        <v>45588</v>
      </c>
      <c r="B214" s="72" t="s">
        <v>566</v>
      </c>
      <c r="C214" s="72" t="s">
        <v>8</v>
      </c>
      <c r="D214" s="72" t="s">
        <v>18</v>
      </c>
      <c r="E214" s="72" t="s">
        <v>82</v>
      </c>
      <c r="F214" s="72">
        <v>1</v>
      </c>
      <c r="G214" s="73">
        <f t="shared" si="39"/>
        <v>40</v>
      </c>
      <c r="H214" s="73">
        <f t="shared" si="42"/>
        <v>40</v>
      </c>
      <c r="I214" s="73">
        <f t="shared" si="41"/>
        <v>40</v>
      </c>
      <c r="J214" s="72" t="s">
        <v>83</v>
      </c>
      <c r="K214" s="74"/>
      <c r="M214" s="99"/>
      <c r="N214" s="80" t="e">
        <f t="shared" si="43"/>
        <v>#N/A</v>
      </c>
      <c r="O214" s="76"/>
      <c r="P214" s="100"/>
    </row>
    <row r="215" spans="1:17" x14ac:dyDescent="0.25">
      <c r="A215" s="95">
        <v>45588</v>
      </c>
      <c r="B215" s="72" t="s">
        <v>528</v>
      </c>
      <c r="C215" s="72" t="s">
        <v>8</v>
      </c>
      <c r="D215" s="72" t="s">
        <v>18</v>
      </c>
      <c r="E215" s="72" t="s">
        <v>56</v>
      </c>
      <c r="F215" s="72">
        <v>1</v>
      </c>
      <c r="G215" s="73">
        <f t="shared" si="39"/>
        <v>40</v>
      </c>
      <c r="H215" s="73">
        <f t="shared" si="42"/>
        <v>40</v>
      </c>
      <c r="I215" s="73">
        <f t="shared" si="41"/>
        <v>39.043999999999997</v>
      </c>
      <c r="J215" s="72" t="s">
        <v>78</v>
      </c>
      <c r="K215" s="74"/>
      <c r="M215" s="99" t="s">
        <v>18</v>
      </c>
      <c r="N215" s="80">
        <f t="shared" si="43"/>
        <v>16</v>
      </c>
      <c r="O215" s="76">
        <f>N215*F215</f>
        <v>16</v>
      </c>
      <c r="P215" s="100" t="s">
        <v>56</v>
      </c>
    </row>
    <row r="216" spans="1:17" x14ac:dyDescent="0.25">
      <c r="A216" s="95">
        <v>45588</v>
      </c>
      <c r="B216" s="72" t="s">
        <v>653</v>
      </c>
      <c r="C216" s="72" t="s">
        <v>8</v>
      </c>
      <c r="D216" s="72" t="s">
        <v>40</v>
      </c>
      <c r="E216" s="72" t="s">
        <v>56</v>
      </c>
      <c r="F216" s="72">
        <v>1</v>
      </c>
      <c r="G216" s="73">
        <f t="shared" si="39"/>
        <v>45</v>
      </c>
      <c r="H216" s="73">
        <f t="shared" si="42"/>
        <v>45</v>
      </c>
      <c r="I216" s="73">
        <f t="shared" si="41"/>
        <v>45</v>
      </c>
      <c r="J216" s="72" t="s">
        <v>79</v>
      </c>
      <c r="K216" s="74"/>
      <c r="M216" s="72" t="s">
        <v>40</v>
      </c>
      <c r="N216" s="80">
        <f t="shared" si="43"/>
        <v>18</v>
      </c>
      <c r="O216" s="76">
        <f>N216*F216</f>
        <v>18</v>
      </c>
      <c r="P216" s="100" t="s">
        <v>56</v>
      </c>
    </row>
    <row r="217" spans="1:17" x14ac:dyDescent="0.25">
      <c r="A217" s="95">
        <v>45588</v>
      </c>
      <c r="B217" s="72" t="s">
        <v>198</v>
      </c>
      <c r="C217" s="72" t="s">
        <v>8</v>
      </c>
      <c r="D217" s="72" t="s">
        <v>19</v>
      </c>
      <c r="E217" s="72" t="s">
        <v>82</v>
      </c>
      <c r="F217" s="72">
        <v>1</v>
      </c>
      <c r="G217" s="73">
        <v>35</v>
      </c>
      <c r="H217" s="73">
        <f t="shared" si="42"/>
        <v>35</v>
      </c>
      <c r="I217" s="73">
        <f t="shared" si="41"/>
        <v>35</v>
      </c>
      <c r="J217" s="72" t="s">
        <v>79</v>
      </c>
      <c r="K217" s="74"/>
      <c r="M217" s="99"/>
      <c r="N217" s="80" t="e">
        <f t="shared" si="43"/>
        <v>#N/A</v>
      </c>
      <c r="O217" s="76"/>
      <c r="P217" s="100"/>
    </row>
    <row r="218" spans="1:17" x14ac:dyDescent="0.25">
      <c r="A218" s="95">
        <v>45588</v>
      </c>
      <c r="B218" s="72" t="s">
        <v>850</v>
      </c>
      <c r="C218" s="72" t="s">
        <v>8</v>
      </c>
      <c r="D218" s="72" t="s">
        <v>40</v>
      </c>
      <c r="E218" s="72" t="s">
        <v>82</v>
      </c>
      <c r="F218" s="72">
        <v>1</v>
      </c>
      <c r="G218" s="73">
        <f>VLOOKUP(D218,$S$3:$T$70,2,0)</f>
        <v>45</v>
      </c>
      <c r="H218" s="73">
        <f t="shared" si="42"/>
        <v>45</v>
      </c>
      <c r="I218" s="73">
        <f t="shared" si="41"/>
        <v>43.924500000000002</v>
      </c>
      <c r="J218" s="72" t="s">
        <v>78</v>
      </c>
      <c r="K218" s="74"/>
      <c r="M218" s="99"/>
      <c r="N218" s="80" t="e">
        <f t="shared" si="43"/>
        <v>#N/A</v>
      </c>
      <c r="O218" s="76"/>
      <c r="P218" s="100"/>
    </row>
    <row r="219" spans="1:17" x14ac:dyDescent="0.25">
      <c r="A219" s="95">
        <v>45588</v>
      </c>
      <c r="B219" s="72" t="s">
        <v>564</v>
      </c>
      <c r="C219" s="72" t="s">
        <v>8</v>
      </c>
      <c r="D219" s="72" t="s">
        <v>18</v>
      </c>
      <c r="E219" s="72" t="s">
        <v>82</v>
      </c>
      <c r="F219" s="72">
        <v>1</v>
      </c>
      <c r="G219" s="73">
        <f>VLOOKUP(D219,$S$3:$T$70,2,0)</f>
        <v>40</v>
      </c>
      <c r="H219" s="73">
        <f t="shared" si="42"/>
        <v>40</v>
      </c>
      <c r="I219" s="73">
        <f t="shared" si="41"/>
        <v>40</v>
      </c>
      <c r="J219" s="72" t="s">
        <v>79</v>
      </c>
      <c r="K219" s="74"/>
      <c r="M219" s="72"/>
      <c r="N219" s="80" t="e">
        <f t="shared" si="43"/>
        <v>#N/A</v>
      </c>
      <c r="O219" s="76"/>
      <c r="P219" s="100"/>
    </row>
    <row r="220" spans="1:17" x14ac:dyDescent="0.25">
      <c r="A220" s="95">
        <v>45589</v>
      </c>
      <c r="B220" s="72" t="s">
        <v>202</v>
      </c>
      <c r="C220" s="72" t="s">
        <v>8</v>
      </c>
      <c r="D220" s="72" t="s">
        <v>607</v>
      </c>
      <c r="E220" s="72" t="s">
        <v>82</v>
      </c>
      <c r="F220" s="72">
        <v>1</v>
      </c>
      <c r="G220" s="73">
        <v>30</v>
      </c>
      <c r="H220" s="73">
        <f t="shared" si="42"/>
        <v>30</v>
      </c>
      <c r="I220" s="73">
        <f t="shared" si="41"/>
        <v>30</v>
      </c>
      <c r="J220" s="72" t="s">
        <v>83</v>
      </c>
      <c r="K220" s="74"/>
      <c r="M220" s="72"/>
      <c r="N220" s="80" t="e">
        <f t="shared" si="43"/>
        <v>#N/A</v>
      </c>
      <c r="O220" s="76"/>
      <c r="P220" s="100"/>
      <c r="Q220" s="106"/>
    </row>
    <row r="221" spans="1:17" x14ac:dyDescent="0.25">
      <c r="A221" s="95">
        <v>45589</v>
      </c>
      <c r="B221" s="72" t="s">
        <v>604</v>
      </c>
      <c r="C221" s="72" t="s">
        <v>8</v>
      </c>
      <c r="D221" s="72" t="s">
        <v>608</v>
      </c>
      <c r="E221" s="72" t="s">
        <v>82</v>
      </c>
      <c r="F221" s="72">
        <v>1</v>
      </c>
      <c r="G221" s="73">
        <v>30</v>
      </c>
      <c r="H221" s="73">
        <f t="shared" si="42"/>
        <v>30</v>
      </c>
      <c r="I221" s="73">
        <f t="shared" si="41"/>
        <v>30</v>
      </c>
      <c r="J221" s="72" t="s">
        <v>83</v>
      </c>
      <c r="K221" s="74"/>
      <c r="M221" s="99"/>
      <c r="N221" s="80" t="e">
        <f t="shared" si="43"/>
        <v>#N/A</v>
      </c>
      <c r="O221" s="76"/>
      <c r="P221" s="100"/>
    </row>
    <row r="222" spans="1:17" x14ac:dyDescent="0.25">
      <c r="A222" s="95">
        <v>45589</v>
      </c>
      <c r="B222" s="72" t="s">
        <v>202</v>
      </c>
      <c r="C222" s="72" t="s">
        <v>8</v>
      </c>
      <c r="D222" s="72" t="s">
        <v>774</v>
      </c>
      <c r="E222" s="72" t="s">
        <v>82</v>
      </c>
      <c r="F222" s="72">
        <v>1</v>
      </c>
      <c r="G222" s="73">
        <f t="shared" ref="G222:G263" si="44">VLOOKUP(D222,$S$3:$T$70,2,0)</f>
        <v>4.5</v>
      </c>
      <c r="H222" s="73">
        <f t="shared" si="42"/>
        <v>4.5</v>
      </c>
      <c r="I222" s="73">
        <f t="shared" si="41"/>
        <v>4.5</v>
      </c>
      <c r="J222" s="72" t="s">
        <v>83</v>
      </c>
      <c r="K222" s="74"/>
      <c r="M222" s="99"/>
      <c r="N222" s="80" t="e">
        <f t="shared" si="43"/>
        <v>#N/A</v>
      </c>
      <c r="O222" s="76"/>
      <c r="P222" s="100"/>
    </row>
    <row r="223" spans="1:17" x14ac:dyDescent="0.25">
      <c r="A223" s="95">
        <v>45589</v>
      </c>
      <c r="B223" s="72" t="s">
        <v>481</v>
      </c>
      <c r="C223" s="72" t="s">
        <v>8</v>
      </c>
      <c r="D223" s="72" t="s">
        <v>17</v>
      </c>
      <c r="E223" s="72" t="s">
        <v>82</v>
      </c>
      <c r="F223" s="72">
        <v>1</v>
      </c>
      <c r="G223" s="73">
        <f t="shared" si="44"/>
        <v>50</v>
      </c>
      <c r="H223" s="73">
        <f t="shared" si="42"/>
        <v>50</v>
      </c>
      <c r="I223" s="73">
        <f t="shared" si="41"/>
        <v>50</v>
      </c>
      <c r="J223" s="72" t="s">
        <v>79</v>
      </c>
      <c r="K223" s="74"/>
      <c r="M223" s="99"/>
      <c r="N223" s="80" t="e">
        <f t="shared" si="43"/>
        <v>#N/A</v>
      </c>
      <c r="O223" s="76"/>
      <c r="P223" s="100"/>
    </row>
    <row r="224" spans="1:17" x14ac:dyDescent="0.25">
      <c r="A224" s="95">
        <v>45589</v>
      </c>
      <c r="B224" s="72" t="s">
        <v>851</v>
      </c>
      <c r="C224" s="72" t="s">
        <v>9</v>
      </c>
      <c r="D224" s="72" t="s">
        <v>13</v>
      </c>
      <c r="E224" s="72" t="s">
        <v>82</v>
      </c>
      <c r="F224" s="72">
        <v>1</v>
      </c>
      <c r="G224" s="73">
        <f t="shared" si="44"/>
        <v>30</v>
      </c>
      <c r="H224" s="73">
        <f t="shared" si="42"/>
        <v>30</v>
      </c>
      <c r="I224" s="73">
        <f t="shared" si="41"/>
        <v>29.283000000000001</v>
      </c>
      <c r="J224" s="72" t="s">
        <v>78</v>
      </c>
      <c r="K224" s="74"/>
      <c r="M224" s="99"/>
      <c r="N224" s="80" t="e">
        <f t="shared" si="43"/>
        <v>#N/A</v>
      </c>
      <c r="O224" s="76"/>
      <c r="P224" s="100"/>
    </row>
    <row r="225" spans="1:17" x14ac:dyDescent="0.25">
      <c r="A225" s="95">
        <v>45589</v>
      </c>
      <c r="B225" s="72" t="s">
        <v>852</v>
      </c>
      <c r="C225" s="72" t="s">
        <v>9</v>
      </c>
      <c r="D225" s="72" t="s">
        <v>24</v>
      </c>
      <c r="E225" s="72" t="s">
        <v>82</v>
      </c>
      <c r="F225" s="72">
        <v>1</v>
      </c>
      <c r="G225" s="73">
        <f t="shared" si="44"/>
        <v>10</v>
      </c>
      <c r="H225" s="73">
        <f t="shared" si="42"/>
        <v>10</v>
      </c>
      <c r="I225" s="73">
        <f t="shared" si="41"/>
        <v>9.7609999999999992</v>
      </c>
      <c r="J225" s="72" t="s">
        <v>78</v>
      </c>
      <c r="K225" s="74"/>
      <c r="M225" s="99"/>
      <c r="N225" s="80" t="e">
        <f t="shared" si="43"/>
        <v>#N/A</v>
      </c>
      <c r="O225" s="76"/>
      <c r="P225" s="100"/>
      <c r="Q225" s="106"/>
    </row>
    <row r="226" spans="1:17" x14ac:dyDescent="0.25">
      <c r="A226" s="95">
        <v>45589</v>
      </c>
      <c r="B226" s="72" t="s">
        <v>174</v>
      </c>
      <c r="C226" s="72" t="s">
        <v>8</v>
      </c>
      <c r="D226" s="72" t="s">
        <v>18</v>
      </c>
      <c r="E226" s="72" t="s">
        <v>56</v>
      </c>
      <c r="F226" s="72">
        <v>1</v>
      </c>
      <c r="G226" s="73">
        <f t="shared" si="44"/>
        <v>40</v>
      </c>
      <c r="H226" s="73">
        <f t="shared" si="42"/>
        <v>40</v>
      </c>
      <c r="I226" s="73">
        <f t="shared" si="41"/>
        <v>40</v>
      </c>
      <c r="J226" s="72" t="s">
        <v>83</v>
      </c>
      <c r="K226" s="74"/>
      <c r="M226" s="99" t="s">
        <v>18</v>
      </c>
      <c r="N226" s="80">
        <f t="shared" si="43"/>
        <v>16</v>
      </c>
      <c r="O226" s="76">
        <f>N226*F226</f>
        <v>16</v>
      </c>
      <c r="P226" s="100" t="s">
        <v>56</v>
      </c>
    </row>
    <row r="227" spans="1:17" x14ac:dyDescent="0.25">
      <c r="A227" s="95">
        <v>45589</v>
      </c>
      <c r="B227" s="72" t="s">
        <v>459</v>
      </c>
      <c r="C227" s="72" t="s">
        <v>8</v>
      </c>
      <c r="D227" s="72" t="s">
        <v>18</v>
      </c>
      <c r="E227" s="72" t="s">
        <v>56</v>
      </c>
      <c r="F227" s="72">
        <v>1</v>
      </c>
      <c r="G227" s="73">
        <f t="shared" si="44"/>
        <v>40</v>
      </c>
      <c r="H227" s="73">
        <f t="shared" si="42"/>
        <v>40</v>
      </c>
      <c r="I227" s="73">
        <f t="shared" si="41"/>
        <v>38.003999999999998</v>
      </c>
      <c r="J227" s="72" t="s">
        <v>86</v>
      </c>
      <c r="K227" s="74"/>
      <c r="M227" s="99" t="s">
        <v>18</v>
      </c>
      <c r="N227" s="80">
        <f t="shared" si="43"/>
        <v>16</v>
      </c>
      <c r="O227" s="76">
        <f>N227*F227</f>
        <v>16</v>
      </c>
      <c r="P227" s="100" t="s">
        <v>56</v>
      </c>
    </row>
    <row r="228" spans="1:17" x14ac:dyDescent="0.25">
      <c r="A228" s="95">
        <v>45589</v>
      </c>
      <c r="B228" s="72" t="s">
        <v>459</v>
      </c>
      <c r="C228" s="72" t="s">
        <v>8</v>
      </c>
      <c r="D228" s="72" t="s">
        <v>45</v>
      </c>
      <c r="E228" s="72" t="s">
        <v>56</v>
      </c>
      <c r="F228" s="72">
        <v>2</v>
      </c>
      <c r="G228" s="73">
        <f t="shared" si="44"/>
        <v>3.5</v>
      </c>
      <c r="H228" s="73">
        <f t="shared" si="42"/>
        <v>7</v>
      </c>
      <c r="I228" s="73">
        <f t="shared" si="41"/>
        <v>6.6506999999999996</v>
      </c>
      <c r="J228" s="72" t="s">
        <v>86</v>
      </c>
      <c r="K228" s="74"/>
      <c r="M228" s="99" t="s">
        <v>45</v>
      </c>
      <c r="N228" s="80">
        <f t="shared" si="43"/>
        <v>0.35000000000000003</v>
      </c>
      <c r="O228" s="76">
        <f>N228*F228</f>
        <v>0.70000000000000007</v>
      </c>
      <c r="P228" s="100" t="s">
        <v>56</v>
      </c>
    </row>
    <row r="229" spans="1:17" x14ac:dyDescent="0.25">
      <c r="A229" s="95">
        <v>45589</v>
      </c>
      <c r="B229" s="72" t="s">
        <v>588</v>
      </c>
      <c r="C229" s="72" t="s">
        <v>8</v>
      </c>
      <c r="D229" s="72" t="s">
        <v>21</v>
      </c>
      <c r="E229" s="72" t="s">
        <v>56</v>
      </c>
      <c r="F229" s="72">
        <v>1</v>
      </c>
      <c r="G229" s="73">
        <f t="shared" si="44"/>
        <v>10</v>
      </c>
      <c r="H229" s="73">
        <f t="shared" si="42"/>
        <v>10</v>
      </c>
      <c r="I229" s="73">
        <f t="shared" si="41"/>
        <v>9.5009999999999994</v>
      </c>
      <c r="J229" s="72" t="s">
        <v>86</v>
      </c>
      <c r="K229" s="74"/>
      <c r="M229" s="99" t="s">
        <v>21</v>
      </c>
      <c r="N229" s="80">
        <f t="shared" si="43"/>
        <v>4</v>
      </c>
      <c r="O229" s="76">
        <f>N229*F229</f>
        <v>4</v>
      </c>
      <c r="P229" s="100" t="s">
        <v>56</v>
      </c>
    </row>
    <row r="230" spans="1:17" x14ac:dyDescent="0.25">
      <c r="A230" s="95">
        <v>45589</v>
      </c>
      <c r="B230" s="72" t="s">
        <v>588</v>
      </c>
      <c r="C230" s="72" t="s">
        <v>8</v>
      </c>
      <c r="D230" s="72" t="s">
        <v>13</v>
      </c>
      <c r="E230" s="72" t="s">
        <v>56</v>
      </c>
      <c r="F230" s="72">
        <v>1</v>
      </c>
      <c r="G230" s="73">
        <f t="shared" si="44"/>
        <v>30</v>
      </c>
      <c r="H230" s="73">
        <f t="shared" ref="H230:H261" si="45">F230*G230</f>
        <v>30</v>
      </c>
      <c r="I230" s="73">
        <f t="shared" si="41"/>
        <v>28.503</v>
      </c>
      <c r="J230" s="72" t="s">
        <v>86</v>
      </c>
      <c r="K230" s="74"/>
      <c r="M230" s="99" t="s">
        <v>13</v>
      </c>
      <c r="N230" s="80">
        <f t="shared" si="43"/>
        <v>12</v>
      </c>
      <c r="O230" s="76">
        <f>N230*F230</f>
        <v>12</v>
      </c>
      <c r="P230" s="100" t="s">
        <v>56</v>
      </c>
    </row>
    <row r="231" spans="1:17" x14ac:dyDescent="0.25">
      <c r="A231" s="95">
        <v>45589</v>
      </c>
      <c r="B231" s="72" t="s">
        <v>761</v>
      </c>
      <c r="C231" s="72" t="s">
        <v>8</v>
      </c>
      <c r="D231" s="72" t="s">
        <v>18</v>
      </c>
      <c r="E231" s="72" t="s">
        <v>82</v>
      </c>
      <c r="F231" s="72">
        <v>1</v>
      </c>
      <c r="G231" s="73">
        <f t="shared" si="44"/>
        <v>40</v>
      </c>
      <c r="H231" s="73">
        <f t="shared" si="45"/>
        <v>40</v>
      </c>
      <c r="I231" s="73">
        <f t="shared" si="41"/>
        <v>40</v>
      </c>
      <c r="J231" s="72" t="s">
        <v>83</v>
      </c>
      <c r="K231" s="74"/>
      <c r="M231" s="99"/>
      <c r="N231" s="80" t="e">
        <f t="shared" si="43"/>
        <v>#N/A</v>
      </c>
      <c r="O231" s="76"/>
      <c r="P231" s="100"/>
    </row>
    <row r="232" spans="1:17" x14ac:dyDescent="0.25">
      <c r="A232" s="95">
        <v>45589</v>
      </c>
      <c r="B232" s="72" t="s">
        <v>853</v>
      </c>
      <c r="C232" s="72" t="s">
        <v>8</v>
      </c>
      <c r="D232" s="72" t="s">
        <v>60</v>
      </c>
      <c r="E232" s="72" t="s">
        <v>82</v>
      </c>
      <c r="F232" s="72">
        <v>1</v>
      </c>
      <c r="G232" s="73">
        <f t="shared" si="44"/>
        <v>90</v>
      </c>
      <c r="H232" s="73">
        <f t="shared" si="45"/>
        <v>90</v>
      </c>
      <c r="I232" s="73">
        <f t="shared" si="41"/>
        <v>90</v>
      </c>
      <c r="J232" s="72" t="s">
        <v>83</v>
      </c>
      <c r="K232" s="74"/>
      <c r="M232" s="99"/>
      <c r="N232" s="80" t="e">
        <f t="shared" si="43"/>
        <v>#N/A</v>
      </c>
      <c r="O232" s="76"/>
      <c r="P232" s="100"/>
    </row>
    <row r="233" spans="1:17" x14ac:dyDescent="0.25">
      <c r="A233" s="95">
        <v>45589</v>
      </c>
      <c r="B233" s="72" t="s">
        <v>761</v>
      </c>
      <c r="C233" s="72" t="s">
        <v>8</v>
      </c>
      <c r="D233" s="72" t="s">
        <v>777</v>
      </c>
      <c r="E233" s="72" t="s">
        <v>82</v>
      </c>
      <c r="F233" s="72">
        <v>1</v>
      </c>
      <c r="G233" s="73">
        <f t="shared" si="44"/>
        <v>4</v>
      </c>
      <c r="H233" s="73">
        <f t="shared" si="45"/>
        <v>4</v>
      </c>
      <c r="I233" s="73">
        <f t="shared" si="41"/>
        <v>4</v>
      </c>
      <c r="J233" s="72" t="s">
        <v>83</v>
      </c>
      <c r="K233" s="74"/>
      <c r="M233" s="99"/>
      <c r="N233" s="80" t="e">
        <f t="shared" si="43"/>
        <v>#N/A</v>
      </c>
      <c r="O233" s="76"/>
      <c r="P233" s="100"/>
    </row>
    <row r="234" spans="1:17" x14ac:dyDescent="0.25">
      <c r="A234" s="95">
        <v>45589</v>
      </c>
      <c r="B234" s="72" t="s">
        <v>178</v>
      </c>
      <c r="C234" s="72" t="s">
        <v>8</v>
      </c>
      <c r="D234" s="72" t="s">
        <v>18</v>
      </c>
      <c r="E234" s="72" t="s">
        <v>82</v>
      </c>
      <c r="F234" s="72">
        <v>1</v>
      </c>
      <c r="G234" s="73">
        <f t="shared" si="44"/>
        <v>40</v>
      </c>
      <c r="H234" s="73">
        <f t="shared" si="45"/>
        <v>40</v>
      </c>
      <c r="I234" s="73">
        <f t="shared" si="41"/>
        <v>38.003999999999998</v>
      </c>
      <c r="J234" s="72" t="s">
        <v>86</v>
      </c>
      <c r="K234" s="74"/>
      <c r="M234" s="99"/>
      <c r="N234" s="80" t="e">
        <f t="shared" si="43"/>
        <v>#N/A</v>
      </c>
      <c r="O234" s="76"/>
      <c r="P234" s="100"/>
    </row>
    <row r="235" spans="1:17" x14ac:dyDescent="0.25">
      <c r="A235" s="95">
        <v>45589</v>
      </c>
      <c r="B235" s="72" t="s">
        <v>178</v>
      </c>
      <c r="C235" s="72" t="s">
        <v>8</v>
      </c>
      <c r="D235" s="72" t="s">
        <v>60</v>
      </c>
      <c r="E235" s="72" t="s">
        <v>82</v>
      </c>
      <c r="F235" s="72">
        <v>1</v>
      </c>
      <c r="G235" s="73">
        <f t="shared" si="44"/>
        <v>90</v>
      </c>
      <c r="H235" s="73">
        <f t="shared" si="45"/>
        <v>90</v>
      </c>
      <c r="I235" s="73">
        <f t="shared" si="41"/>
        <v>85.509</v>
      </c>
      <c r="J235" s="72" t="s">
        <v>86</v>
      </c>
      <c r="K235" s="74"/>
      <c r="M235" s="99"/>
      <c r="N235" s="80" t="e">
        <f t="shared" si="43"/>
        <v>#N/A</v>
      </c>
      <c r="O235" s="76"/>
      <c r="P235" s="100"/>
    </row>
    <row r="236" spans="1:17" x14ac:dyDescent="0.25">
      <c r="A236" s="95">
        <v>45589</v>
      </c>
      <c r="B236" s="72" t="s">
        <v>178</v>
      </c>
      <c r="C236" s="72" t="s">
        <v>8</v>
      </c>
      <c r="D236" s="72" t="s">
        <v>44</v>
      </c>
      <c r="E236" s="72" t="s">
        <v>82</v>
      </c>
      <c r="F236" s="72">
        <v>1</v>
      </c>
      <c r="G236" s="73">
        <f t="shared" si="44"/>
        <v>5</v>
      </c>
      <c r="H236" s="73">
        <f t="shared" si="45"/>
        <v>5</v>
      </c>
      <c r="I236" s="73">
        <f t="shared" si="41"/>
        <v>4.7504999999999997</v>
      </c>
      <c r="J236" s="72" t="s">
        <v>86</v>
      </c>
      <c r="K236" s="74"/>
      <c r="M236" s="99"/>
      <c r="N236" s="80" t="e">
        <f t="shared" si="43"/>
        <v>#N/A</v>
      </c>
      <c r="O236" s="76"/>
      <c r="P236" s="100"/>
    </row>
    <row r="237" spans="1:17" x14ac:dyDescent="0.25">
      <c r="A237" s="95">
        <v>45589</v>
      </c>
      <c r="B237" s="72" t="s">
        <v>483</v>
      </c>
      <c r="C237" s="72" t="s">
        <v>8</v>
      </c>
      <c r="D237" s="72" t="s">
        <v>15</v>
      </c>
      <c r="E237" s="72" t="s">
        <v>56</v>
      </c>
      <c r="F237" s="72">
        <v>1</v>
      </c>
      <c r="G237" s="73">
        <f t="shared" si="44"/>
        <v>70</v>
      </c>
      <c r="H237" s="73">
        <f t="shared" si="45"/>
        <v>70</v>
      </c>
      <c r="I237" s="73">
        <f t="shared" si="41"/>
        <v>70</v>
      </c>
      <c r="J237" s="72" t="s">
        <v>83</v>
      </c>
      <c r="K237" s="74"/>
      <c r="M237" s="99" t="s">
        <v>15</v>
      </c>
      <c r="N237" s="80">
        <f t="shared" si="43"/>
        <v>28</v>
      </c>
      <c r="O237" s="76">
        <f>N237*F237</f>
        <v>28</v>
      </c>
      <c r="P237" s="100" t="s">
        <v>56</v>
      </c>
    </row>
    <row r="238" spans="1:17" x14ac:dyDescent="0.25">
      <c r="A238" s="95">
        <v>45589</v>
      </c>
      <c r="B238" s="72" t="s">
        <v>276</v>
      </c>
      <c r="C238" s="72" t="s">
        <v>8</v>
      </c>
      <c r="D238" s="72" t="s">
        <v>40</v>
      </c>
      <c r="E238" s="72" t="s">
        <v>82</v>
      </c>
      <c r="F238" s="72">
        <v>1</v>
      </c>
      <c r="G238" s="73">
        <f t="shared" si="44"/>
        <v>45</v>
      </c>
      <c r="H238" s="73">
        <f t="shared" si="45"/>
        <v>45</v>
      </c>
      <c r="I238" s="73">
        <f t="shared" si="41"/>
        <v>43.924500000000002</v>
      </c>
      <c r="J238" s="72" t="s">
        <v>78</v>
      </c>
      <c r="K238" s="74"/>
      <c r="M238" s="99"/>
      <c r="N238" s="80" t="e">
        <f t="shared" si="43"/>
        <v>#N/A</v>
      </c>
      <c r="O238" s="76"/>
      <c r="P238" s="100"/>
    </row>
    <row r="239" spans="1:17" x14ac:dyDescent="0.25">
      <c r="A239" s="95">
        <v>45590</v>
      </c>
      <c r="B239" s="72" t="s">
        <v>225</v>
      </c>
      <c r="C239" s="72" t="s">
        <v>8</v>
      </c>
      <c r="D239" s="72" t="s">
        <v>15</v>
      </c>
      <c r="E239" s="72" t="s">
        <v>56</v>
      </c>
      <c r="F239" s="72">
        <v>1</v>
      </c>
      <c r="G239" s="73">
        <f t="shared" si="44"/>
        <v>70</v>
      </c>
      <c r="H239" s="73">
        <f t="shared" si="45"/>
        <v>70</v>
      </c>
      <c r="I239" s="73">
        <f t="shared" si="41"/>
        <v>66.507000000000005</v>
      </c>
      <c r="J239" s="72" t="s">
        <v>86</v>
      </c>
      <c r="K239" s="74"/>
      <c r="M239" s="99" t="s">
        <v>15</v>
      </c>
      <c r="N239" s="80">
        <f t="shared" si="43"/>
        <v>28</v>
      </c>
      <c r="O239" s="76">
        <f>N239*F239</f>
        <v>28</v>
      </c>
      <c r="P239" s="100" t="s">
        <v>56</v>
      </c>
    </row>
    <row r="240" spans="1:17" x14ac:dyDescent="0.25">
      <c r="A240" s="95">
        <v>45590</v>
      </c>
      <c r="B240" s="72" t="s">
        <v>634</v>
      </c>
      <c r="C240" s="72" t="s">
        <v>8</v>
      </c>
      <c r="D240" s="72" t="s">
        <v>13</v>
      </c>
      <c r="E240" s="72" t="s">
        <v>56</v>
      </c>
      <c r="F240" s="72">
        <v>1</v>
      </c>
      <c r="G240" s="73">
        <f t="shared" si="44"/>
        <v>30</v>
      </c>
      <c r="H240" s="73">
        <f t="shared" si="45"/>
        <v>30</v>
      </c>
      <c r="I240" s="73">
        <f t="shared" si="41"/>
        <v>30</v>
      </c>
      <c r="J240" s="72" t="s">
        <v>83</v>
      </c>
      <c r="K240" s="74"/>
      <c r="M240" s="99" t="s">
        <v>13</v>
      </c>
      <c r="N240" s="80">
        <f t="shared" si="43"/>
        <v>12</v>
      </c>
      <c r="O240" s="76">
        <f>N240*F240</f>
        <v>12</v>
      </c>
      <c r="P240" s="100" t="s">
        <v>56</v>
      </c>
    </row>
    <row r="241" spans="1:17" x14ac:dyDescent="0.25">
      <c r="A241" s="95">
        <v>45590</v>
      </c>
      <c r="B241" s="72" t="s">
        <v>238</v>
      </c>
      <c r="C241" s="72" t="s">
        <v>8</v>
      </c>
      <c r="D241" s="72" t="s">
        <v>18</v>
      </c>
      <c r="E241" s="72" t="s">
        <v>56</v>
      </c>
      <c r="F241" s="72">
        <v>1</v>
      </c>
      <c r="G241" s="73">
        <f t="shared" si="44"/>
        <v>40</v>
      </c>
      <c r="H241" s="73">
        <f t="shared" si="45"/>
        <v>40</v>
      </c>
      <c r="I241" s="73">
        <f t="shared" si="41"/>
        <v>39.043999999999997</v>
      </c>
      <c r="J241" s="72" t="s">
        <v>78</v>
      </c>
      <c r="K241" s="74"/>
      <c r="M241" s="99" t="s">
        <v>18</v>
      </c>
      <c r="N241" s="80">
        <f t="shared" si="43"/>
        <v>16</v>
      </c>
      <c r="O241" s="76">
        <f>N241*F241</f>
        <v>16</v>
      </c>
      <c r="P241" s="100" t="s">
        <v>56</v>
      </c>
    </row>
    <row r="242" spans="1:17" x14ac:dyDescent="0.25">
      <c r="A242" s="95">
        <v>45590</v>
      </c>
      <c r="B242" s="72" t="s">
        <v>605</v>
      </c>
      <c r="C242" s="72" t="s">
        <v>8</v>
      </c>
      <c r="D242" s="72" t="s">
        <v>17</v>
      </c>
      <c r="E242" s="72" t="s">
        <v>56</v>
      </c>
      <c r="F242" s="72">
        <v>1</v>
      </c>
      <c r="G242" s="73">
        <f t="shared" si="44"/>
        <v>50</v>
      </c>
      <c r="H242" s="73">
        <f t="shared" si="45"/>
        <v>50</v>
      </c>
      <c r="I242" s="73">
        <f t="shared" si="41"/>
        <v>50</v>
      </c>
      <c r="J242" s="72" t="s">
        <v>83</v>
      </c>
      <c r="K242" s="74"/>
      <c r="M242" s="99" t="s">
        <v>17</v>
      </c>
      <c r="N242" s="80">
        <f t="shared" ref="N242:N273" si="46">VLOOKUP(M242,$S$3:$U$70,3,0)</f>
        <v>20</v>
      </c>
      <c r="O242" s="76">
        <f>N242*F242</f>
        <v>20</v>
      </c>
      <c r="P242" s="100" t="s">
        <v>56</v>
      </c>
    </row>
    <row r="243" spans="1:17" x14ac:dyDescent="0.25">
      <c r="A243" s="95">
        <v>45590</v>
      </c>
      <c r="B243" s="72" t="s">
        <v>568</v>
      </c>
      <c r="C243" s="72" t="s">
        <v>8</v>
      </c>
      <c r="D243" s="72" t="s">
        <v>18</v>
      </c>
      <c r="E243" s="72" t="s">
        <v>82</v>
      </c>
      <c r="F243" s="72">
        <v>1</v>
      </c>
      <c r="G243" s="73">
        <f t="shared" si="44"/>
        <v>40</v>
      </c>
      <c r="H243" s="73">
        <f t="shared" si="45"/>
        <v>40</v>
      </c>
      <c r="I243" s="73">
        <f t="shared" si="41"/>
        <v>40</v>
      </c>
      <c r="J243" s="72" t="s">
        <v>83</v>
      </c>
      <c r="K243" s="74"/>
      <c r="M243" s="99"/>
      <c r="N243" s="80" t="e">
        <f t="shared" si="46"/>
        <v>#N/A</v>
      </c>
      <c r="O243" s="76"/>
      <c r="P243" s="100"/>
    </row>
    <row r="244" spans="1:17" x14ac:dyDescent="0.25">
      <c r="A244" s="95">
        <v>45590</v>
      </c>
      <c r="B244" s="72" t="s">
        <v>516</v>
      </c>
      <c r="C244" s="72" t="s">
        <v>8</v>
      </c>
      <c r="D244" s="72" t="s">
        <v>40</v>
      </c>
      <c r="E244" s="72" t="s">
        <v>82</v>
      </c>
      <c r="F244" s="72">
        <v>1</v>
      </c>
      <c r="G244" s="73">
        <f t="shared" si="44"/>
        <v>45</v>
      </c>
      <c r="H244" s="73">
        <f t="shared" si="45"/>
        <v>45</v>
      </c>
      <c r="I244" s="73">
        <f t="shared" si="41"/>
        <v>45</v>
      </c>
      <c r="J244" s="72" t="s">
        <v>83</v>
      </c>
      <c r="K244" s="74"/>
      <c r="M244" s="99"/>
      <c r="N244" s="80" t="e">
        <f t="shared" si="46"/>
        <v>#N/A</v>
      </c>
      <c r="O244" s="76"/>
      <c r="P244" s="100"/>
    </row>
    <row r="245" spans="1:17" x14ac:dyDescent="0.25">
      <c r="A245" s="95">
        <v>45590</v>
      </c>
      <c r="B245" s="72" t="s">
        <v>498</v>
      </c>
      <c r="C245" s="72" t="s">
        <v>8</v>
      </c>
      <c r="D245" s="72" t="s">
        <v>24</v>
      </c>
      <c r="E245" s="72" t="s">
        <v>82</v>
      </c>
      <c r="F245" s="72">
        <v>1</v>
      </c>
      <c r="G245" s="73">
        <f t="shared" si="44"/>
        <v>10</v>
      </c>
      <c r="H245" s="73">
        <f t="shared" si="45"/>
        <v>10</v>
      </c>
      <c r="I245" s="73">
        <f t="shared" si="41"/>
        <v>10</v>
      </c>
      <c r="J245" s="72" t="s">
        <v>83</v>
      </c>
      <c r="K245" s="74"/>
      <c r="M245" s="99"/>
      <c r="N245" s="80" t="e">
        <f t="shared" si="46"/>
        <v>#N/A</v>
      </c>
      <c r="O245" s="76"/>
      <c r="P245" s="100"/>
    </row>
    <row r="246" spans="1:17" x14ac:dyDescent="0.25">
      <c r="A246" s="95">
        <v>45590</v>
      </c>
      <c r="B246" s="72" t="s">
        <v>498</v>
      </c>
      <c r="C246" s="72" t="s">
        <v>8</v>
      </c>
      <c r="D246" s="72" t="s">
        <v>13</v>
      </c>
      <c r="E246" s="72" t="s">
        <v>82</v>
      </c>
      <c r="F246" s="72">
        <v>1</v>
      </c>
      <c r="G246" s="73">
        <f t="shared" si="44"/>
        <v>30</v>
      </c>
      <c r="H246" s="73">
        <f t="shared" si="45"/>
        <v>30</v>
      </c>
      <c r="I246" s="73">
        <f t="shared" si="41"/>
        <v>30</v>
      </c>
      <c r="J246" s="72" t="s">
        <v>83</v>
      </c>
      <c r="K246" s="74"/>
      <c r="M246" s="99"/>
      <c r="N246" s="80" t="e">
        <f t="shared" si="46"/>
        <v>#N/A</v>
      </c>
      <c r="O246" s="76"/>
      <c r="P246" s="100"/>
      <c r="Q246" s="106"/>
    </row>
    <row r="247" spans="1:17" x14ac:dyDescent="0.25">
      <c r="A247" s="95">
        <v>45590</v>
      </c>
      <c r="B247" s="72" t="s">
        <v>593</v>
      </c>
      <c r="C247" s="72" t="s">
        <v>8</v>
      </c>
      <c r="D247" s="72" t="s">
        <v>17</v>
      </c>
      <c r="E247" s="72" t="s">
        <v>82</v>
      </c>
      <c r="F247" s="72">
        <v>1</v>
      </c>
      <c r="G247" s="73">
        <f t="shared" si="44"/>
        <v>50</v>
      </c>
      <c r="H247" s="73">
        <f t="shared" si="45"/>
        <v>50</v>
      </c>
      <c r="I247" s="73">
        <f t="shared" si="41"/>
        <v>48.805</v>
      </c>
      <c r="J247" s="72" t="s">
        <v>78</v>
      </c>
      <c r="K247" s="74"/>
      <c r="M247" s="99"/>
      <c r="N247" s="80" t="e">
        <f t="shared" si="46"/>
        <v>#N/A</v>
      </c>
      <c r="O247" s="76"/>
      <c r="P247" s="100"/>
    </row>
    <row r="248" spans="1:17" x14ac:dyDescent="0.25">
      <c r="A248" s="95">
        <v>45590</v>
      </c>
      <c r="B248" s="72" t="s">
        <v>827</v>
      </c>
      <c r="C248" s="72" t="s">
        <v>8</v>
      </c>
      <c r="D248" s="72" t="s">
        <v>17</v>
      </c>
      <c r="E248" s="72" t="s">
        <v>82</v>
      </c>
      <c r="F248" s="72">
        <v>1</v>
      </c>
      <c r="G248" s="73">
        <f t="shared" si="44"/>
        <v>50</v>
      </c>
      <c r="H248" s="73">
        <f t="shared" si="45"/>
        <v>50</v>
      </c>
      <c r="I248" s="73">
        <f t="shared" si="41"/>
        <v>50</v>
      </c>
      <c r="J248" s="72" t="s">
        <v>83</v>
      </c>
      <c r="K248" s="74"/>
      <c r="M248" s="99"/>
      <c r="N248" s="80" t="e">
        <f t="shared" si="46"/>
        <v>#N/A</v>
      </c>
      <c r="O248" s="76"/>
      <c r="P248" s="100"/>
    </row>
    <row r="249" spans="1:17" x14ac:dyDescent="0.25">
      <c r="A249" s="95">
        <v>45590</v>
      </c>
      <c r="B249" s="72" t="s">
        <v>823</v>
      </c>
      <c r="C249" s="72" t="s">
        <v>8</v>
      </c>
      <c r="D249" s="72" t="s">
        <v>17</v>
      </c>
      <c r="E249" s="72" t="s">
        <v>82</v>
      </c>
      <c r="F249" s="72">
        <v>1</v>
      </c>
      <c r="G249" s="73">
        <f t="shared" si="44"/>
        <v>50</v>
      </c>
      <c r="H249" s="73">
        <f t="shared" si="45"/>
        <v>50</v>
      </c>
      <c r="I249" s="73">
        <f t="shared" si="41"/>
        <v>50</v>
      </c>
      <c r="J249" s="72" t="s">
        <v>83</v>
      </c>
      <c r="K249" s="74"/>
      <c r="M249" s="99"/>
      <c r="N249" s="80" t="e">
        <f t="shared" si="46"/>
        <v>#N/A</v>
      </c>
      <c r="O249" s="76"/>
      <c r="P249" s="100"/>
    </row>
    <row r="250" spans="1:17" x14ac:dyDescent="0.25">
      <c r="A250" s="95">
        <v>45590</v>
      </c>
      <c r="B250" s="72" t="s">
        <v>854</v>
      </c>
      <c r="C250" s="72" t="s">
        <v>8</v>
      </c>
      <c r="D250" s="72" t="s">
        <v>18</v>
      </c>
      <c r="E250" s="72" t="s">
        <v>56</v>
      </c>
      <c r="F250" s="72">
        <v>1</v>
      </c>
      <c r="G250" s="73">
        <f t="shared" si="44"/>
        <v>40</v>
      </c>
      <c r="H250" s="73">
        <f t="shared" si="45"/>
        <v>40</v>
      </c>
      <c r="I250" s="73">
        <f t="shared" si="41"/>
        <v>40</v>
      </c>
      <c r="J250" s="72" t="s">
        <v>83</v>
      </c>
      <c r="K250" s="74"/>
      <c r="M250" s="99" t="s">
        <v>18</v>
      </c>
      <c r="N250" s="80">
        <f t="shared" si="46"/>
        <v>16</v>
      </c>
      <c r="O250" s="76">
        <f>N250*F250</f>
        <v>16</v>
      </c>
      <c r="P250" s="100" t="s">
        <v>56</v>
      </c>
    </row>
    <row r="251" spans="1:17" x14ac:dyDescent="0.25">
      <c r="A251" s="95">
        <v>45590</v>
      </c>
      <c r="B251" s="72" t="s">
        <v>823</v>
      </c>
      <c r="C251" s="72" t="s">
        <v>8</v>
      </c>
      <c r="D251" s="72" t="s">
        <v>17</v>
      </c>
      <c r="E251" s="72" t="s">
        <v>56</v>
      </c>
      <c r="F251" s="72">
        <v>1</v>
      </c>
      <c r="G251" s="73">
        <f t="shared" si="44"/>
        <v>50</v>
      </c>
      <c r="H251" s="73">
        <f t="shared" si="45"/>
        <v>50</v>
      </c>
      <c r="I251" s="73">
        <f t="shared" si="41"/>
        <v>50</v>
      </c>
      <c r="J251" s="72" t="s">
        <v>83</v>
      </c>
      <c r="K251" s="74"/>
      <c r="M251" s="99" t="s">
        <v>17</v>
      </c>
      <c r="N251" s="80">
        <f t="shared" si="46"/>
        <v>20</v>
      </c>
      <c r="O251" s="76">
        <f>N251*F251</f>
        <v>20</v>
      </c>
      <c r="P251" s="100" t="s">
        <v>56</v>
      </c>
    </row>
    <row r="252" spans="1:17" x14ac:dyDescent="0.25">
      <c r="A252" s="95">
        <v>45590</v>
      </c>
      <c r="B252" s="72" t="s">
        <v>855</v>
      </c>
      <c r="C252" s="72" t="s">
        <v>8</v>
      </c>
      <c r="D252" s="72" t="s">
        <v>18</v>
      </c>
      <c r="E252" s="72" t="s">
        <v>56</v>
      </c>
      <c r="F252" s="72">
        <v>1</v>
      </c>
      <c r="G252" s="73">
        <f t="shared" si="44"/>
        <v>40</v>
      </c>
      <c r="H252" s="73">
        <f t="shared" si="45"/>
        <v>40</v>
      </c>
      <c r="I252" s="73">
        <f t="shared" si="41"/>
        <v>39.043999999999997</v>
      </c>
      <c r="J252" s="72" t="s">
        <v>78</v>
      </c>
      <c r="K252" s="74"/>
      <c r="M252" s="99" t="s">
        <v>18</v>
      </c>
      <c r="N252" s="80">
        <f t="shared" si="46"/>
        <v>16</v>
      </c>
      <c r="O252" s="76">
        <f>N252*F252</f>
        <v>16</v>
      </c>
      <c r="P252" s="100" t="s">
        <v>56</v>
      </c>
    </row>
    <row r="253" spans="1:17" x14ac:dyDescent="0.25">
      <c r="A253" s="95">
        <v>45591</v>
      </c>
      <c r="B253" s="72" t="s">
        <v>708</v>
      </c>
      <c r="C253" s="72" t="s">
        <v>8</v>
      </c>
      <c r="D253" s="72" t="s">
        <v>40</v>
      </c>
      <c r="E253" s="72" t="s">
        <v>82</v>
      </c>
      <c r="F253" s="72">
        <v>1</v>
      </c>
      <c r="G253" s="73">
        <f t="shared" si="44"/>
        <v>45</v>
      </c>
      <c r="H253" s="73">
        <f t="shared" si="45"/>
        <v>45</v>
      </c>
      <c r="I253" s="73">
        <f t="shared" si="41"/>
        <v>45</v>
      </c>
      <c r="J253" s="72" t="s">
        <v>83</v>
      </c>
      <c r="K253" s="74"/>
      <c r="M253" s="99"/>
      <c r="N253" s="80" t="e">
        <f t="shared" si="46"/>
        <v>#N/A</v>
      </c>
      <c r="O253" s="76"/>
      <c r="P253" s="100"/>
    </row>
    <row r="254" spans="1:17" x14ac:dyDescent="0.25">
      <c r="A254" s="95">
        <v>45591</v>
      </c>
      <c r="B254" s="72" t="s">
        <v>81</v>
      </c>
      <c r="C254" s="72" t="s">
        <v>8</v>
      </c>
      <c r="D254" s="72" t="s">
        <v>18</v>
      </c>
      <c r="E254" s="72" t="s">
        <v>56</v>
      </c>
      <c r="F254" s="72">
        <v>2</v>
      </c>
      <c r="G254" s="73">
        <f t="shared" si="44"/>
        <v>40</v>
      </c>
      <c r="H254" s="73">
        <f t="shared" si="45"/>
        <v>80</v>
      </c>
      <c r="I254" s="73">
        <f t="shared" si="41"/>
        <v>78.087999999999994</v>
      </c>
      <c r="J254" s="72" t="s">
        <v>78</v>
      </c>
      <c r="K254" s="74"/>
      <c r="M254" s="99" t="s">
        <v>18</v>
      </c>
      <c r="N254" s="80">
        <f t="shared" si="46"/>
        <v>16</v>
      </c>
      <c r="O254" s="76">
        <f>N254*F254</f>
        <v>32</v>
      </c>
      <c r="P254" s="100" t="s">
        <v>56</v>
      </c>
    </row>
    <row r="255" spans="1:17" x14ac:dyDescent="0.25">
      <c r="A255" s="95">
        <v>45591</v>
      </c>
      <c r="B255" s="72" t="s">
        <v>856</v>
      </c>
      <c r="C255" s="72" t="s">
        <v>96</v>
      </c>
      <c r="D255" s="72" t="s">
        <v>37</v>
      </c>
      <c r="E255" s="72" t="s">
        <v>56</v>
      </c>
      <c r="F255" s="72">
        <v>1</v>
      </c>
      <c r="G255" s="73">
        <f t="shared" si="44"/>
        <v>7</v>
      </c>
      <c r="H255" s="73">
        <f t="shared" si="45"/>
        <v>7</v>
      </c>
      <c r="I255" s="73">
        <f t="shared" si="41"/>
        <v>7</v>
      </c>
      <c r="J255" s="72" t="s">
        <v>83</v>
      </c>
      <c r="K255" s="74"/>
      <c r="M255" s="99" t="s">
        <v>37</v>
      </c>
      <c r="N255" s="80">
        <f t="shared" si="46"/>
        <v>0.70000000000000007</v>
      </c>
      <c r="O255" s="76">
        <f>N255*F255</f>
        <v>0.70000000000000007</v>
      </c>
      <c r="P255" s="100" t="s">
        <v>56</v>
      </c>
    </row>
    <row r="256" spans="1:17" x14ac:dyDescent="0.25">
      <c r="A256" s="95">
        <v>45591</v>
      </c>
      <c r="B256" s="72" t="s">
        <v>324</v>
      </c>
      <c r="C256" s="72" t="s">
        <v>8</v>
      </c>
      <c r="D256" s="72" t="s">
        <v>17</v>
      </c>
      <c r="E256" s="72" t="s">
        <v>82</v>
      </c>
      <c r="F256" s="72">
        <v>1</v>
      </c>
      <c r="G256" s="73">
        <f t="shared" si="44"/>
        <v>50</v>
      </c>
      <c r="H256" s="73">
        <f t="shared" si="45"/>
        <v>50</v>
      </c>
      <c r="I256" s="73">
        <f t="shared" si="41"/>
        <v>48.805</v>
      </c>
      <c r="J256" s="72" t="s">
        <v>78</v>
      </c>
      <c r="K256" s="74"/>
      <c r="M256" s="99"/>
      <c r="N256" s="80" t="e">
        <f t="shared" si="46"/>
        <v>#N/A</v>
      </c>
      <c r="O256" s="76"/>
      <c r="P256" s="100"/>
    </row>
    <row r="257" spans="1:17" x14ac:dyDescent="0.25">
      <c r="A257" s="95">
        <v>45591</v>
      </c>
      <c r="B257" s="72" t="s">
        <v>324</v>
      </c>
      <c r="C257" s="72" t="s">
        <v>8</v>
      </c>
      <c r="D257" s="72" t="s">
        <v>17</v>
      </c>
      <c r="E257" s="72" t="s">
        <v>82</v>
      </c>
      <c r="F257" s="72">
        <v>1</v>
      </c>
      <c r="G257" s="73">
        <f t="shared" si="44"/>
        <v>50</v>
      </c>
      <c r="H257" s="73">
        <f t="shared" si="45"/>
        <v>50</v>
      </c>
      <c r="I257" s="73">
        <f t="shared" si="41"/>
        <v>47.505000000000003</v>
      </c>
      <c r="J257" s="72" t="s">
        <v>86</v>
      </c>
      <c r="K257" s="74"/>
      <c r="M257" s="99"/>
      <c r="N257" s="80" t="e">
        <f t="shared" si="46"/>
        <v>#N/A</v>
      </c>
      <c r="O257" s="76"/>
      <c r="P257" s="100"/>
    </row>
    <row r="258" spans="1:17" x14ac:dyDescent="0.25">
      <c r="A258" s="95">
        <v>45591</v>
      </c>
      <c r="B258" s="72" t="s">
        <v>857</v>
      </c>
      <c r="C258" s="72" t="s">
        <v>8</v>
      </c>
      <c r="D258" s="72" t="s">
        <v>18</v>
      </c>
      <c r="E258" s="72" t="s">
        <v>82</v>
      </c>
      <c r="F258" s="72">
        <v>1</v>
      </c>
      <c r="G258" s="73">
        <f t="shared" si="44"/>
        <v>40</v>
      </c>
      <c r="H258" s="73">
        <f t="shared" si="45"/>
        <v>40</v>
      </c>
      <c r="I258" s="73">
        <f t="shared" si="41"/>
        <v>40</v>
      </c>
      <c r="J258" s="72" t="s">
        <v>83</v>
      </c>
      <c r="K258" s="74"/>
      <c r="M258" s="99"/>
      <c r="N258" s="80" t="e">
        <f t="shared" si="46"/>
        <v>#N/A</v>
      </c>
      <c r="O258" s="76"/>
      <c r="P258" s="100"/>
    </row>
    <row r="259" spans="1:17" x14ac:dyDescent="0.25">
      <c r="A259" s="95">
        <v>45591</v>
      </c>
      <c r="B259" s="72" t="s">
        <v>511</v>
      </c>
      <c r="C259" s="72" t="s">
        <v>10</v>
      </c>
      <c r="D259" s="72" t="s">
        <v>18</v>
      </c>
      <c r="E259" s="72" t="s">
        <v>56</v>
      </c>
      <c r="F259" s="72">
        <v>1</v>
      </c>
      <c r="G259" s="73">
        <f t="shared" si="44"/>
        <v>40</v>
      </c>
      <c r="H259" s="73">
        <f t="shared" si="45"/>
        <v>40</v>
      </c>
      <c r="I259" s="73">
        <f t="shared" ref="I259:I322" si="47">IF(J259="Cartão de Debito",H259-(H259*$AC$5),IF(J259="Cartão de Credito",H259-(H259*$AC$6), IF(J259="Pix",H259-(H259*$AC$7), IF(J259="Dinheiro (R$)", H259-(H259*$AC$8)))))</f>
        <v>39.043999999999997</v>
      </c>
      <c r="J259" s="72" t="s">
        <v>78</v>
      </c>
      <c r="K259" s="74"/>
      <c r="M259" s="99" t="s">
        <v>18</v>
      </c>
      <c r="N259" s="80">
        <f t="shared" si="46"/>
        <v>16</v>
      </c>
      <c r="O259" s="76">
        <f>N259*F259</f>
        <v>16</v>
      </c>
      <c r="P259" s="100" t="s">
        <v>56</v>
      </c>
    </row>
    <row r="260" spans="1:17" x14ac:dyDescent="0.25">
      <c r="A260" s="95">
        <v>45591</v>
      </c>
      <c r="B260" s="72" t="s">
        <v>182</v>
      </c>
      <c r="C260" s="72" t="s">
        <v>8</v>
      </c>
      <c r="D260" s="72" t="s">
        <v>18</v>
      </c>
      <c r="E260" s="72" t="s">
        <v>56</v>
      </c>
      <c r="F260" s="72">
        <v>1</v>
      </c>
      <c r="G260" s="73">
        <f t="shared" si="44"/>
        <v>40</v>
      </c>
      <c r="H260" s="73">
        <f t="shared" si="45"/>
        <v>40</v>
      </c>
      <c r="I260" s="73">
        <f t="shared" si="47"/>
        <v>40</v>
      </c>
      <c r="J260" s="72" t="s">
        <v>83</v>
      </c>
      <c r="K260" s="74"/>
      <c r="M260" s="99" t="s">
        <v>18</v>
      </c>
      <c r="N260" s="80">
        <f t="shared" si="46"/>
        <v>16</v>
      </c>
      <c r="O260" s="76">
        <f>N260*F260</f>
        <v>16</v>
      </c>
      <c r="P260" s="100" t="s">
        <v>56</v>
      </c>
    </row>
    <row r="261" spans="1:17" x14ac:dyDescent="0.25">
      <c r="A261" s="95">
        <v>45591</v>
      </c>
      <c r="B261" s="72" t="s">
        <v>256</v>
      </c>
      <c r="C261" s="72" t="s">
        <v>8</v>
      </c>
      <c r="D261" s="72" t="s">
        <v>15</v>
      </c>
      <c r="E261" s="72" t="s">
        <v>82</v>
      </c>
      <c r="F261" s="72">
        <v>1</v>
      </c>
      <c r="G261" s="73">
        <f t="shared" si="44"/>
        <v>70</v>
      </c>
      <c r="H261" s="73">
        <f t="shared" si="45"/>
        <v>70</v>
      </c>
      <c r="I261" s="73">
        <f t="shared" si="47"/>
        <v>68.326999999999998</v>
      </c>
      <c r="J261" s="72" t="s">
        <v>78</v>
      </c>
      <c r="K261" s="74"/>
      <c r="M261" s="99"/>
      <c r="N261" s="80" t="e">
        <f t="shared" si="46"/>
        <v>#N/A</v>
      </c>
      <c r="O261" s="76"/>
      <c r="P261" s="100"/>
    </row>
    <row r="262" spans="1:17" x14ac:dyDescent="0.25">
      <c r="A262" s="95">
        <v>45591</v>
      </c>
      <c r="B262" s="72" t="s">
        <v>256</v>
      </c>
      <c r="C262" s="72" t="s">
        <v>8</v>
      </c>
      <c r="D262" s="72" t="s">
        <v>64</v>
      </c>
      <c r="E262" s="72" t="s">
        <v>82</v>
      </c>
      <c r="F262" s="72">
        <v>1</v>
      </c>
      <c r="G262" s="73">
        <f t="shared" si="44"/>
        <v>30</v>
      </c>
      <c r="H262" s="73">
        <f t="shared" ref="H262:H293" si="48">F262*G262</f>
        <v>30</v>
      </c>
      <c r="I262" s="73">
        <f t="shared" si="47"/>
        <v>29.283000000000001</v>
      </c>
      <c r="J262" s="72" t="s">
        <v>78</v>
      </c>
      <c r="K262" s="74"/>
      <c r="M262" s="99"/>
      <c r="N262" s="80" t="e">
        <f t="shared" si="46"/>
        <v>#N/A</v>
      </c>
      <c r="O262" s="76"/>
      <c r="P262" s="100"/>
      <c r="Q262" s="106"/>
    </row>
    <row r="263" spans="1:17" x14ac:dyDescent="0.25">
      <c r="A263" s="95">
        <v>45591</v>
      </c>
      <c r="B263" s="72" t="s">
        <v>256</v>
      </c>
      <c r="C263" s="72" t="s">
        <v>8</v>
      </c>
      <c r="D263" s="72" t="s">
        <v>26</v>
      </c>
      <c r="E263" s="72" t="s">
        <v>82</v>
      </c>
      <c r="F263" s="72">
        <v>1</v>
      </c>
      <c r="G263" s="73">
        <f t="shared" si="44"/>
        <v>35</v>
      </c>
      <c r="H263" s="73">
        <f t="shared" si="48"/>
        <v>35</v>
      </c>
      <c r="I263" s="73">
        <f t="shared" si="47"/>
        <v>34.163499999999999</v>
      </c>
      <c r="J263" s="72" t="s">
        <v>78</v>
      </c>
      <c r="K263" s="74"/>
      <c r="M263" s="99"/>
      <c r="N263" s="80" t="e">
        <f t="shared" si="46"/>
        <v>#N/A</v>
      </c>
      <c r="O263" s="76"/>
      <c r="P263" s="100"/>
    </row>
    <row r="264" spans="1:17" x14ac:dyDescent="0.25">
      <c r="A264" s="95">
        <v>45591</v>
      </c>
      <c r="B264" s="72" t="s">
        <v>256</v>
      </c>
      <c r="C264" s="72" t="s">
        <v>8</v>
      </c>
      <c r="D264" s="72" t="s">
        <v>61</v>
      </c>
      <c r="E264" s="72" t="s">
        <v>82</v>
      </c>
      <c r="F264" s="72">
        <v>2</v>
      </c>
      <c r="G264" s="73">
        <v>30</v>
      </c>
      <c r="H264" s="73">
        <f t="shared" si="48"/>
        <v>60</v>
      </c>
      <c r="I264" s="73">
        <f t="shared" si="47"/>
        <v>58.566000000000003</v>
      </c>
      <c r="J264" s="72" t="s">
        <v>78</v>
      </c>
      <c r="K264" s="74"/>
      <c r="M264" s="99"/>
      <c r="N264" s="80" t="e">
        <f t="shared" si="46"/>
        <v>#N/A</v>
      </c>
      <c r="O264" s="76"/>
      <c r="P264" s="100"/>
    </row>
    <row r="265" spans="1:17" x14ac:dyDescent="0.25">
      <c r="A265" s="95">
        <v>45591</v>
      </c>
      <c r="B265" s="72" t="s">
        <v>775</v>
      </c>
      <c r="C265" s="72" t="s">
        <v>8</v>
      </c>
      <c r="D265" s="72" t="s">
        <v>18</v>
      </c>
      <c r="E265" s="72" t="s">
        <v>82</v>
      </c>
      <c r="F265" s="72">
        <v>1</v>
      </c>
      <c r="G265" s="73">
        <f>VLOOKUP(D265,$S$3:$T$70,2,0)</f>
        <v>40</v>
      </c>
      <c r="H265" s="73">
        <f t="shared" si="48"/>
        <v>40</v>
      </c>
      <c r="I265" s="73">
        <f t="shared" si="47"/>
        <v>39.043999999999997</v>
      </c>
      <c r="J265" s="72" t="s">
        <v>78</v>
      </c>
      <c r="K265" s="74"/>
      <c r="M265" s="99"/>
      <c r="N265" s="80" t="e">
        <f t="shared" si="46"/>
        <v>#N/A</v>
      </c>
      <c r="O265" s="76"/>
      <c r="P265" s="100"/>
    </row>
    <row r="266" spans="1:17" x14ac:dyDescent="0.25">
      <c r="A266" s="95">
        <v>45594</v>
      </c>
      <c r="B266" s="72" t="s">
        <v>517</v>
      </c>
      <c r="C266" s="72" t="s">
        <v>8</v>
      </c>
      <c r="D266" s="72" t="s">
        <v>18</v>
      </c>
      <c r="E266" s="72" t="s">
        <v>82</v>
      </c>
      <c r="F266" s="72">
        <v>1</v>
      </c>
      <c r="G266" s="73">
        <f>VLOOKUP(D266,$S$3:$T$70,2,0)</f>
        <v>40</v>
      </c>
      <c r="H266" s="73">
        <f t="shared" si="48"/>
        <v>40</v>
      </c>
      <c r="I266" s="73">
        <f t="shared" si="47"/>
        <v>40</v>
      </c>
      <c r="J266" s="72" t="s">
        <v>79</v>
      </c>
      <c r="K266" s="74"/>
      <c r="M266" s="99"/>
      <c r="N266" s="80" t="e">
        <f t="shared" si="46"/>
        <v>#N/A</v>
      </c>
      <c r="O266" s="76"/>
      <c r="P266" s="100"/>
    </row>
    <row r="267" spans="1:17" x14ac:dyDescent="0.25">
      <c r="A267" s="95">
        <v>45594</v>
      </c>
      <c r="B267" s="72" t="s">
        <v>483</v>
      </c>
      <c r="C267" s="72" t="s">
        <v>8</v>
      </c>
      <c r="D267" s="72" t="s">
        <v>36</v>
      </c>
      <c r="E267" s="72" t="s">
        <v>82</v>
      </c>
      <c r="F267" s="72">
        <v>1</v>
      </c>
      <c r="G267" s="73">
        <f>VLOOKUP(D267,$S$3:$T$70,2,0)</f>
        <v>30</v>
      </c>
      <c r="H267" s="73">
        <f t="shared" si="48"/>
        <v>30</v>
      </c>
      <c r="I267" s="73">
        <f t="shared" si="47"/>
        <v>30</v>
      </c>
      <c r="J267" s="72" t="s">
        <v>83</v>
      </c>
      <c r="K267" s="74"/>
      <c r="M267" s="99"/>
      <c r="N267" s="80" t="e">
        <f t="shared" si="46"/>
        <v>#N/A</v>
      </c>
      <c r="O267" s="76"/>
      <c r="P267" s="100"/>
    </row>
    <row r="268" spans="1:17" x14ac:dyDescent="0.25">
      <c r="A268" s="95">
        <v>45594</v>
      </c>
      <c r="B268" s="72" t="s">
        <v>483</v>
      </c>
      <c r="C268" s="72" t="s">
        <v>8</v>
      </c>
      <c r="D268" s="72" t="s">
        <v>18</v>
      </c>
      <c r="E268" s="72" t="s">
        <v>82</v>
      </c>
      <c r="F268" s="72">
        <v>1</v>
      </c>
      <c r="G268" s="73">
        <f>VLOOKUP(D268,$S$3:$T$70,2,0)</f>
        <v>40</v>
      </c>
      <c r="H268" s="73">
        <f t="shared" si="48"/>
        <v>40</v>
      </c>
      <c r="I268" s="73">
        <f t="shared" si="47"/>
        <v>40</v>
      </c>
      <c r="J268" s="72" t="s">
        <v>83</v>
      </c>
      <c r="K268" s="74"/>
      <c r="M268" s="99"/>
      <c r="N268" s="80" t="e">
        <f t="shared" si="46"/>
        <v>#N/A</v>
      </c>
      <c r="O268" s="76"/>
      <c r="P268" s="100"/>
    </row>
    <row r="269" spans="1:17" x14ac:dyDescent="0.25">
      <c r="A269" s="95">
        <v>45594</v>
      </c>
      <c r="B269" s="72" t="s">
        <v>545</v>
      </c>
      <c r="C269" s="72" t="s">
        <v>8</v>
      </c>
      <c r="D269" s="72" t="s">
        <v>18</v>
      </c>
      <c r="E269" s="72" t="s">
        <v>82</v>
      </c>
      <c r="F269" s="72">
        <v>1</v>
      </c>
      <c r="G269" s="73">
        <f>VLOOKUP(D269,$S$3:$T$70,2,0)</f>
        <v>40</v>
      </c>
      <c r="H269" s="73">
        <f t="shared" si="48"/>
        <v>40</v>
      </c>
      <c r="I269" s="73">
        <f t="shared" si="47"/>
        <v>40</v>
      </c>
      <c r="J269" s="72" t="s">
        <v>83</v>
      </c>
      <c r="K269" s="74"/>
      <c r="M269" s="99"/>
      <c r="N269" s="80" t="e">
        <f t="shared" si="46"/>
        <v>#N/A</v>
      </c>
      <c r="O269" s="76"/>
      <c r="P269" s="100"/>
    </row>
    <row r="270" spans="1:17" x14ac:dyDescent="0.25">
      <c r="A270" s="95">
        <v>45594</v>
      </c>
      <c r="B270" s="72" t="s">
        <v>858</v>
      </c>
      <c r="C270" s="72" t="s">
        <v>8</v>
      </c>
      <c r="D270" s="72" t="s">
        <v>18</v>
      </c>
      <c r="E270" s="72" t="s">
        <v>82</v>
      </c>
      <c r="F270" s="72">
        <v>1</v>
      </c>
      <c r="G270" s="73">
        <v>35</v>
      </c>
      <c r="H270" s="73">
        <f t="shared" si="48"/>
        <v>35</v>
      </c>
      <c r="I270" s="73">
        <f t="shared" si="47"/>
        <v>35</v>
      </c>
      <c r="J270" s="72" t="s">
        <v>83</v>
      </c>
      <c r="K270" s="74"/>
      <c r="M270" s="99"/>
      <c r="N270" s="80" t="e">
        <f t="shared" si="46"/>
        <v>#N/A</v>
      </c>
      <c r="O270" s="76"/>
      <c r="P270" s="100"/>
    </row>
    <row r="271" spans="1:17" x14ac:dyDescent="0.25">
      <c r="A271" s="95">
        <v>45594</v>
      </c>
      <c r="B271" s="72" t="s">
        <v>734</v>
      </c>
      <c r="C271" s="72" t="s">
        <v>8</v>
      </c>
      <c r="D271" s="72" t="s">
        <v>19</v>
      </c>
      <c r="E271" s="72" t="s">
        <v>56</v>
      </c>
      <c r="F271" s="72">
        <v>1</v>
      </c>
      <c r="G271" s="73">
        <f>VLOOKUP(D271,$S$3:$T$70,2,0)</f>
        <v>40</v>
      </c>
      <c r="H271" s="73">
        <f t="shared" si="48"/>
        <v>40</v>
      </c>
      <c r="I271" s="73">
        <f t="shared" si="47"/>
        <v>39.043999999999997</v>
      </c>
      <c r="J271" s="72" t="s">
        <v>78</v>
      </c>
      <c r="K271" s="74"/>
      <c r="M271" s="99" t="s">
        <v>19</v>
      </c>
      <c r="N271" s="80">
        <f t="shared" si="46"/>
        <v>16</v>
      </c>
      <c r="O271" s="76">
        <f>N271*F271</f>
        <v>16</v>
      </c>
      <c r="P271" s="100" t="s">
        <v>56</v>
      </c>
    </row>
    <row r="272" spans="1:17" x14ac:dyDescent="0.25">
      <c r="A272" s="95">
        <v>45594</v>
      </c>
      <c r="B272" s="72" t="s">
        <v>804</v>
      </c>
      <c r="C272" s="72" t="s">
        <v>8</v>
      </c>
      <c r="D272" s="72" t="s">
        <v>18</v>
      </c>
      <c r="E272" s="72" t="s">
        <v>82</v>
      </c>
      <c r="F272" s="72">
        <v>1</v>
      </c>
      <c r="G272" s="73">
        <f>VLOOKUP(D272,$S$3:$T$70,2,0)</f>
        <v>40</v>
      </c>
      <c r="H272" s="73">
        <f t="shared" si="48"/>
        <v>40</v>
      </c>
      <c r="I272" s="73">
        <f t="shared" si="47"/>
        <v>40</v>
      </c>
      <c r="J272" s="72" t="s">
        <v>83</v>
      </c>
      <c r="K272" s="74"/>
      <c r="M272" s="99"/>
      <c r="N272" s="80" t="e">
        <f t="shared" si="46"/>
        <v>#N/A</v>
      </c>
      <c r="O272" s="76"/>
      <c r="P272" s="100"/>
    </row>
    <row r="273" spans="1:16" x14ac:dyDescent="0.25">
      <c r="A273" s="95">
        <v>45594</v>
      </c>
      <c r="B273" s="72" t="s">
        <v>859</v>
      </c>
      <c r="C273" s="72" t="s">
        <v>8</v>
      </c>
      <c r="D273" s="72" t="s">
        <v>183</v>
      </c>
      <c r="E273" s="72" t="s">
        <v>82</v>
      </c>
      <c r="F273" s="72">
        <v>1</v>
      </c>
      <c r="G273" s="73">
        <v>5</v>
      </c>
      <c r="H273" s="73">
        <f t="shared" si="48"/>
        <v>5</v>
      </c>
      <c r="I273" s="73">
        <f t="shared" si="47"/>
        <v>5</v>
      </c>
      <c r="J273" s="72" t="s">
        <v>83</v>
      </c>
      <c r="K273" s="74"/>
      <c r="M273" s="99"/>
      <c r="N273" s="80" t="e">
        <f t="shared" si="46"/>
        <v>#N/A</v>
      </c>
      <c r="O273" s="76"/>
      <c r="P273" s="100"/>
    </row>
    <row r="274" spans="1:16" x14ac:dyDescent="0.25">
      <c r="A274" s="95">
        <v>45594</v>
      </c>
      <c r="B274" s="72" t="s">
        <v>860</v>
      </c>
      <c r="C274" s="72" t="s">
        <v>8</v>
      </c>
      <c r="D274" s="72" t="s">
        <v>18</v>
      </c>
      <c r="E274" s="72" t="s">
        <v>82</v>
      </c>
      <c r="F274" s="72">
        <v>1</v>
      </c>
      <c r="G274" s="73">
        <f t="shared" ref="G274:G305" si="49">VLOOKUP(D274,$S$3:$T$70,2,0)</f>
        <v>40</v>
      </c>
      <c r="H274" s="73">
        <f t="shared" si="48"/>
        <v>40</v>
      </c>
      <c r="I274" s="73">
        <f t="shared" si="47"/>
        <v>40</v>
      </c>
      <c r="J274" s="72" t="s">
        <v>79</v>
      </c>
      <c r="K274" s="74"/>
      <c r="M274" s="99"/>
      <c r="N274" s="80" t="e">
        <f t="shared" ref="N274:N305" si="50">VLOOKUP(M274,$S$3:$U$70,3,0)</f>
        <v>#N/A</v>
      </c>
      <c r="O274" s="76"/>
      <c r="P274" s="100"/>
    </row>
    <row r="275" spans="1:16" x14ac:dyDescent="0.25">
      <c r="A275" s="95">
        <v>45595</v>
      </c>
      <c r="B275" s="72" t="s">
        <v>482</v>
      </c>
      <c r="C275" s="72" t="s">
        <v>8</v>
      </c>
      <c r="D275" s="72" t="s">
        <v>17</v>
      </c>
      <c r="E275" s="72" t="s">
        <v>82</v>
      </c>
      <c r="F275" s="72">
        <v>1</v>
      </c>
      <c r="G275" s="73">
        <f t="shared" si="49"/>
        <v>50</v>
      </c>
      <c r="H275" s="73">
        <f t="shared" si="48"/>
        <v>50</v>
      </c>
      <c r="I275" s="73">
        <f t="shared" si="47"/>
        <v>48.805</v>
      </c>
      <c r="J275" s="72" t="s">
        <v>78</v>
      </c>
      <c r="K275" s="74"/>
      <c r="M275" s="99"/>
      <c r="N275" s="80" t="e">
        <f t="shared" si="50"/>
        <v>#N/A</v>
      </c>
      <c r="O275" s="76"/>
      <c r="P275" s="100"/>
    </row>
    <row r="276" spans="1:16" x14ac:dyDescent="0.25">
      <c r="A276" s="95">
        <v>45595</v>
      </c>
      <c r="B276" s="72" t="s">
        <v>244</v>
      </c>
      <c r="C276" s="72" t="s">
        <v>8</v>
      </c>
      <c r="D276" s="72" t="s">
        <v>22</v>
      </c>
      <c r="E276" s="72" t="s">
        <v>82</v>
      </c>
      <c r="F276" s="72">
        <v>1</v>
      </c>
      <c r="G276" s="73">
        <f t="shared" si="49"/>
        <v>30</v>
      </c>
      <c r="H276" s="73">
        <f t="shared" si="48"/>
        <v>30</v>
      </c>
      <c r="I276" s="73">
        <f t="shared" si="47"/>
        <v>30</v>
      </c>
      <c r="J276" s="72" t="s">
        <v>83</v>
      </c>
      <c r="K276" s="74"/>
      <c r="M276" s="99"/>
      <c r="N276" s="80" t="e">
        <f t="shared" si="50"/>
        <v>#N/A</v>
      </c>
      <c r="O276" s="76"/>
      <c r="P276" s="100"/>
    </row>
    <row r="277" spans="1:16" x14ac:dyDescent="0.25">
      <c r="A277" s="95">
        <v>45595</v>
      </c>
      <c r="B277" s="72" t="s">
        <v>861</v>
      </c>
      <c r="C277" s="72" t="s">
        <v>10</v>
      </c>
      <c r="D277" s="72" t="s">
        <v>18</v>
      </c>
      <c r="E277" s="72" t="s">
        <v>56</v>
      </c>
      <c r="F277" s="72">
        <v>1</v>
      </c>
      <c r="G277" s="73">
        <f t="shared" si="49"/>
        <v>40</v>
      </c>
      <c r="H277" s="73">
        <f t="shared" si="48"/>
        <v>40</v>
      </c>
      <c r="I277" s="73">
        <f t="shared" si="47"/>
        <v>38.003999999999998</v>
      </c>
      <c r="J277" s="72" t="s">
        <v>86</v>
      </c>
      <c r="K277" s="74"/>
      <c r="M277" s="99" t="s">
        <v>18</v>
      </c>
      <c r="N277" s="80">
        <f t="shared" si="50"/>
        <v>16</v>
      </c>
      <c r="O277" s="76">
        <f>N277*F277</f>
        <v>16</v>
      </c>
      <c r="P277" s="100" t="s">
        <v>56</v>
      </c>
    </row>
    <row r="278" spans="1:16" x14ac:dyDescent="0.25">
      <c r="A278" s="95">
        <v>45595</v>
      </c>
      <c r="B278" s="72" t="s">
        <v>194</v>
      </c>
      <c r="C278" s="72" t="s">
        <v>8</v>
      </c>
      <c r="D278" s="72" t="s">
        <v>18</v>
      </c>
      <c r="E278" s="72" t="s">
        <v>82</v>
      </c>
      <c r="F278" s="72">
        <v>1</v>
      </c>
      <c r="G278" s="73">
        <f t="shared" si="49"/>
        <v>40</v>
      </c>
      <c r="H278" s="73">
        <f t="shared" si="48"/>
        <v>40</v>
      </c>
      <c r="I278" s="73">
        <f t="shared" si="47"/>
        <v>40</v>
      </c>
      <c r="J278" s="72" t="s">
        <v>83</v>
      </c>
      <c r="K278" s="74"/>
      <c r="M278" s="99"/>
      <c r="N278" s="80" t="e">
        <f t="shared" si="50"/>
        <v>#N/A</v>
      </c>
      <c r="O278" s="76"/>
      <c r="P278" s="100"/>
    </row>
    <row r="279" spans="1:16" x14ac:dyDescent="0.25">
      <c r="A279" s="95">
        <v>45595</v>
      </c>
      <c r="B279" s="72" t="s">
        <v>172</v>
      </c>
      <c r="C279" s="72" t="s">
        <v>8</v>
      </c>
      <c r="D279" s="72" t="s">
        <v>18</v>
      </c>
      <c r="E279" s="72" t="s">
        <v>56</v>
      </c>
      <c r="F279" s="72">
        <v>1</v>
      </c>
      <c r="G279" s="73">
        <f t="shared" si="49"/>
        <v>40</v>
      </c>
      <c r="H279" s="73">
        <f t="shared" si="48"/>
        <v>40</v>
      </c>
      <c r="I279" s="73">
        <f t="shared" si="47"/>
        <v>40</v>
      </c>
      <c r="J279" s="72" t="s">
        <v>83</v>
      </c>
      <c r="K279" s="74"/>
      <c r="M279" s="99" t="s">
        <v>18</v>
      </c>
      <c r="N279" s="80">
        <f t="shared" si="50"/>
        <v>16</v>
      </c>
      <c r="O279" s="76">
        <f>N279*F279</f>
        <v>16</v>
      </c>
      <c r="P279" s="100" t="s">
        <v>56</v>
      </c>
    </row>
    <row r="280" spans="1:16" x14ac:dyDescent="0.25">
      <c r="A280" s="95">
        <v>45595</v>
      </c>
      <c r="B280" s="72" t="s">
        <v>172</v>
      </c>
      <c r="C280" s="72" t="s">
        <v>8</v>
      </c>
      <c r="D280" s="72" t="s">
        <v>64</v>
      </c>
      <c r="E280" s="72" t="s">
        <v>56</v>
      </c>
      <c r="F280" s="72">
        <v>1</v>
      </c>
      <c r="G280" s="73">
        <f t="shared" si="49"/>
        <v>30</v>
      </c>
      <c r="H280" s="73">
        <f t="shared" si="48"/>
        <v>30</v>
      </c>
      <c r="I280" s="73">
        <f t="shared" si="47"/>
        <v>30</v>
      </c>
      <c r="J280" s="72" t="s">
        <v>83</v>
      </c>
      <c r="K280" s="74"/>
      <c r="M280" s="99" t="s">
        <v>64</v>
      </c>
      <c r="N280" s="80">
        <f t="shared" si="50"/>
        <v>3</v>
      </c>
      <c r="O280" s="76">
        <f>N280*F280</f>
        <v>3</v>
      </c>
      <c r="P280" s="100" t="s">
        <v>56</v>
      </c>
    </row>
    <row r="281" spans="1:16" x14ac:dyDescent="0.25">
      <c r="A281" s="95">
        <v>45595</v>
      </c>
      <c r="B281" s="72" t="s">
        <v>238</v>
      </c>
      <c r="C281" s="72" t="s">
        <v>8</v>
      </c>
      <c r="D281" s="72" t="s">
        <v>21</v>
      </c>
      <c r="E281" s="72" t="s">
        <v>82</v>
      </c>
      <c r="F281" s="72">
        <v>1</v>
      </c>
      <c r="G281" s="73">
        <f t="shared" si="49"/>
        <v>10</v>
      </c>
      <c r="H281" s="73">
        <f t="shared" si="48"/>
        <v>10</v>
      </c>
      <c r="I281" s="73">
        <f t="shared" si="47"/>
        <v>10</v>
      </c>
      <c r="J281" s="72" t="s">
        <v>83</v>
      </c>
      <c r="K281" s="74"/>
      <c r="M281" s="99"/>
      <c r="N281" s="80" t="e">
        <f t="shared" si="50"/>
        <v>#N/A</v>
      </c>
      <c r="O281" s="76"/>
      <c r="P281" s="100"/>
    </row>
    <row r="282" spans="1:16" x14ac:dyDescent="0.25">
      <c r="A282" s="95">
        <v>45595</v>
      </c>
      <c r="B282" s="72" t="s">
        <v>220</v>
      </c>
      <c r="C282" s="72" t="s">
        <v>8</v>
      </c>
      <c r="D282" s="72" t="s">
        <v>17</v>
      </c>
      <c r="E282" s="72" t="s">
        <v>82</v>
      </c>
      <c r="F282" s="72">
        <v>1</v>
      </c>
      <c r="G282" s="73">
        <f t="shared" si="49"/>
        <v>50</v>
      </c>
      <c r="H282" s="73">
        <f t="shared" si="48"/>
        <v>50</v>
      </c>
      <c r="I282" s="73">
        <f t="shared" si="47"/>
        <v>50</v>
      </c>
      <c r="J282" s="72" t="s">
        <v>83</v>
      </c>
      <c r="K282" s="74"/>
      <c r="M282" s="99"/>
      <c r="N282" s="80" t="e">
        <f t="shared" si="50"/>
        <v>#N/A</v>
      </c>
      <c r="O282" s="76"/>
      <c r="P282" s="100"/>
    </row>
    <row r="283" spans="1:16" x14ac:dyDescent="0.25">
      <c r="A283" s="95">
        <v>45595</v>
      </c>
      <c r="B283" s="72" t="s">
        <v>511</v>
      </c>
      <c r="C283" s="72" t="s">
        <v>8</v>
      </c>
      <c r="D283" s="72" t="s">
        <v>13</v>
      </c>
      <c r="E283" s="72" t="s">
        <v>56</v>
      </c>
      <c r="F283" s="72">
        <v>1</v>
      </c>
      <c r="G283" s="73">
        <f t="shared" si="49"/>
        <v>30</v>
      </c>
      <c r="H283" s="73">
        <f t="shared" si="48"/>
        <v>30</v>
      </c>
      <c r="I283" s="73">
        <f t="shared" si="47"/>
        <v>30</v>
      </c>
      <c r="J283" s="72" t="s">
        <v>83</v>
      </c>
      <c r="K283" s="74"/>
      <c r="M283" s="99" t="s">
        <v>13</v>
      </c>
      <c r="N283" s="80">
        <f t="shared" si="50"/>
        <v>12</v>
      </c>
      <c r="O283" s="76">
        <f>N283*F283</f>
        <v>12</v>
      </c>
      <c r="P283" s="100" t="s">
        <v>56</v>
      </c>
    </row>
    <row r="284" spans="1:16" x14ac:dyDescent="0.25">
      <c r="A284" s="95">
        <v>45595</v>
      </c>
      <c r="B284" s="72" t="s">
        <v>322</v>
      </c>
      <c r="C284" s="72" t="s">
        <v>8</v>
      </c>
      <c r="D284" s="72" t="s">
        <v>18</v>
      </c>
      <c r="E284" s="72" t="s">
        <v>82</v>
      </c>
      <c r="F284" s="72">
        <v>1</v>
      </c>
      <c r="G284" s="73">
        <f t="shared" si="49"/>
        <v>40</v>
      </c>
      <c r="H284" s="73">
        <f t="shared" si="48"/>
        <v>40</v>
      </c>
      <c r="I284" s="73">
        <f t="shared" si="47"/>
        <v>39.043999999999997</v>
      </c>
      <c r="J284" s="72" t="s">
        <v>78</v>
      </c>
      <c r="K284" s="74"/>
      <c r="M284" s="99"/>
      <c r="N284" s="80" t="e">
        <f t="shared" si="50"/>
        <v>#N/A</v>
      </c>
      <c r="O284" s="76"/>
      <c r="P284" s="100"/>
    </row>
    <row r="285" spans="1:16" x14ac:dyDescent="0.25">
      <c r="A285" s="95">
        <v>45596</v>
      </c>
      <c r="B285" s="72" t="s">
        <v>397</v>
      </c>
      <c r="C285" s="72" t="s">
        <v>8</v>
      </c>
      <c r="D285" s="72" t="s">
        <v>18</v>
      </c>
      <c r="E285" s="72" t="s">
        <v>56</v>
      </c>
      <c r="F285" s="72">
        <v>1</v>
      </c>
      <c r="G285" s="73">
        <f t="shared" si="49"/>
        <v>40</v>
      </c>
      <c r="H285" s="73">
        <f t="shared" si="48"/>
        <v>40</v>
      </c>
      <c r="I285" s="73">
        <f t="shared" si="47"/>
        <v>40</v>
      </c>
      <c r="J285" s="72" t="s">
        <v>79</v>
      </c>
      <c r="K285" s="74"/>
      <c r="M285" s="99" t="s">
        <v>18</v>
      </c>
      <c r="N285" s="80">
        <f t="shared" si="50"/>
        <v>16</v>
      </c>
      <c r="O285" s="76">
        <f>N285*F285</f>
        <v>16</v>
      </c>
      <c r="P285" s="100" t="s">
        <v>56</v>
      </c>
    </row>
    <row r="286" spans="1:16" x14ac:dyDescent="0.25">
      <c r="A286" s="95">
        <v>45596</v>
      </c>
      <c r="B286" s="72" t="s">
        <v>610</v>
      </c>
      <c r="C286" s="72" t="s">
        <v>8</v>
      </c>
      <c r="D286" s="72" t="s">
        <v>18</v>
      </c>
      <c r="E286" s="72" t="s">
        <v>82</v>
      </c>
      <c r="F286" s="72">
        <v>1</v>
      </c>
      <c r="G286" s="73">
        <f t="shared" si="49"/>
        <v>40</v>
      </c>
      <c r="H286" s="73">
        <f t="shared" si="48"/>
        <v>40</v>
      </c>
      <c r="I286" s="73">
        <f t="shared" si="47"/>
        <v>40</v>
      </c>
      <c r="J286" s="72" t="s">
        <v>83</v>
      </c>
      <c r="K286" s="74"/>
      <c r="M286" s="99"/>
      <c r="N286" s="80" t="e">
        <f t="shared" si="50"/>
        <v>#N/A</v>
      </c>
      <c r="O286" s="76"/>
      <c r="P286" s="100"/>
    </row>
    <row r="287" spans="1:16" x14ac:dyDescent="0.25">
      <c r="A287" s="95">
        <v>45596</v>
      </c>
      <c r="B287" s="72" t="s">
        <v>479</v>
      </c>
      <c r="C287" s="72" t="s">
        <v>8</v>
      </c>
      <c r="D287" s="72" t="s">
        <v>18</v>
      </c>
      <c r="E287" s="72" t="s">
        <v>82</v>
      </c>
      <c r="F287" s="72">
        <v>1</v>
      </c>
      <c r="G287" s="73">
        <f t="shared" si="49"/>
        <v>40</v>
      </c>
      <c r="H287" s="73">
        <f t="shared" si="48"/>
        <v>40</v>
      </c>
      <c r="I287" s="73">
        <f t="shared" si="47"/>
        <v>40</v>
      </c>
      <c r="J287" s="72" t="s">
        <v>79</v>
      </c>
      <c r="K287" s="74"/>
      <c r="M287" s="99"/>
      <c r="N287" s="80" t="e">
        <f t="shared" si="50"/>
        <v>#N/A</v>
      </c>
      <c r="O287" s="76"/>
      <c r="P287" s="100"/>
    </row>
    <row r="288" spans="1:16" x14ac:dyDescent="0.25">
      <c r="A288" s="95">
        <v>45596</v>
      </c>
      <c r="B288" s="72" t="s">
        <v>516</v>
      </c>
      <c r="C288" s="72" t="s">
        <v>8</v>
      </c>
      <c r="D288" s="72" t="s">
        <v>16</v>
      </c>
      <c r="E288" s="72" t="s">
        <v>82</v>
      </c>
      <c r="F288" s="72">
        <v>1</v>
      </c>
      <c r="G288" s="73">
        <f t="shared" si="49"/>
        <v>80</v>
      </c>
      <c r="H288" s="73">
        <f t="shared" si="48"/>
        <v>80</v>
      </c>
      <c r="I288" s="73">
        <f t="shared" si="47"/>
        <v>80</v>
      </c>
      <c r="J288" s="72" t="s">
        <v>83</v>
      </c>
      <c r="K288" s="74"/>
      <c r="M288" s="99"/>
      <c r="N288" s="80" t="e">
        <f t="shared" si="50"/>
        <v>#N/A</v>
      </c>
      <c r="O288" s="76"/>
      <c r="P288" s="100"/>
    </row>
    <row r="289" spans="1:17" x14ac:dyDescent="0.25">
      <c r="A289" s="95">
        <v>45596</v>
      </c>
      <c r="B289" s="72" t="s">
        <v>204</v>
      </c>
      <c r="C289" s="72" t="s">
        <v>8</v>
      </c>
      <c r="D289" s="72" t="s">
        <v>18</v>
      </c>
      <c r="E289" s="72" t="s">
        <v>56</v>
      </c>
      <c r="F289" s="72">
        <v>1</v>
      </c>
      <c r="G289" s="73">
        <f t="shared" si="49"/>
        <v>40</v>
      </c>
      <c r="H289" s="73">
        <f t="shared" si="48"/>
        <v>40</v>
      </c>
      <c r="I289" s="73">
        <f t="shared" si="47"/>
        <v>40</v>
      </c>
      <c r="J289" s="72" t="s">
        <v>79</v>
      </c>
      <c r="K289" s="74"/>
      <c r="M289" s="99" t="s">
        <v>18</v>
      </c>
      <c r="N289" s="80">
        <f t="shared" si="50"/>
        <v>16</v>
      </c>
      <c r="O289" s="76">
        <f>N289*F289</f>
        <v>16</v>
      </c>
      <c r="P289" s="100" t="s">
        <v>56</v>
      </c>
    </row>
    <row r="290" spans="1:17" x14ac:dyDescent="0.25">
      <c r="A290" s="95">
        <v>45596</v>
      </c>
      <c r="B290" s="72" t="s">
        <v>809</v>
      </c>
      <c r="C290" s="72" t="s">
        <v>8</v>
      </c>
      <c r="D290" s="72" t="s">
        <v>18</v>
      </c>
      <c r="E290" s="72" t="s">
        <v>82</v>
      </c>
      <c r="F290" s="72">
        <v>1</v>
      </c>
      <c r="G290" s="73">
        <f t="shared" si="49"/>
        <v>40</v>
      </c>
      <c r="H290" s="73">
        <f t="shared" si="48"/>
        <v>40</v>
      </c>
      <c r="I290" s="73">
        <f t="shared" si="47"/>
        <v>40</v>
      </c>
      <c r="J290" s="72" t="s">
        <v>83</v>
      </c>
      <c r="K290" s="74"/>
      <c r="M290" s="99"/>
      <c r="N290" s="80" t="e">
        <f t="shared" si="50"/>
        <v>#N/A</v>
      </c>
      <c r="O290" s="76"/>
      <c r="P290" s="100"/>
    </row>
    <row r="291" spans="1:17" x14ac:dyDescent="0.25">
      <c r="A291" s="95">
        <v>45596</v>
      </c>
      <c r="B291" s="72" t="s">
        <v>574</v>
      </c>
      <c r="C291" s="72" t="s">
        <v>8</v>
      </c>
      <c r="D291" s="72" t="s">
        <v>18</v>
      </c>
      <c r="E291" s="72" t="s">
        <v>82</v>
      </c>
      <c r="F291" s="72">
        <v>1</v>
      </c>
      <c r="G291" s="73">
        <f t="shared" si="49"/>
        <v>40</v>
      </c>
      <c r="H291" s="73">
        <f t="shared" si="48"/>
        <v>40</v>
      </c>
      <c r="I291" s="73">
        <f t="shared" si="47"/>
        <v>40</v>
      </c>
      <c r="J291" s="72" t="s">
        <v>83</v>
      </c>
      <c r="K291" s="74"/>
      <c r="M291" s="99"/>
      <c r="N291" s="80" t="e">
        <f t="shared" si="50"/>
        <v>#N/A</v>
      </c>
      <c r="O291" s="76"/>
      <c r="P291" s="100"/>
    </row>
    <row r="292" spans="1:17" x14ac:dyDescent="0.25">
      <c r="A292" s="95">
        <v>45596</v>
      </c>
      <c r="B292" s="72" t="s">
        <v>547</v>
      </c>
      <c r="C292" s="72" t="s">
        <v>8</v>
      </c>
      <c r="D292" s="72" t="s">
        <v>18</v>
      </c>
      <c r="E292" s="72" t="s">
        <v>82</v>
      </c>
      <c r="F292" s="72">
        <v>1</v>
      </c>
      <c r="G292" s="73">
        <f t="shared" si="49"/>
        <v>40</v>
      </c>
      <c r="H292" s="73">
        <f t="shared" si="48"/>
        <v>40</v>
      </c>
      <c r="I292" s="73">
        <f t="shared" si="47"/>
        <v>40</v>
      </c>
      <c r="J292" s="72" t="s">
        <v>83</v>
      </c>
      <c r="K292" s="74"/>
      <c r="M292" s="99"/>
      <c r="N292" s="80" t="e">
        <f t="shared" si="50"/>
        <v>#N/A</v>
      </c>
      <c r="O292" s="76"/>
      <c r="P292" s="100"/>
    </row>
    <row r="293" spans="1:17" x14ac:dyDescent="0.25">
      <c r="A293" s="95">
        <v>45596</v>
      </c>
      <c r="B293" s="72" t="s">
        <v>862</v>
      </c>
      <c r="C293" s="72" t="s">
        <v>8</v>
      </c>
      <c r="D293" s="72" t="s">
        <v>18</v>
      </c>
      <c r="E293" s="72" t="s">
        <v>56</v>
      </c>
      <c r="F293" s="72">
        <v>1</v>
      </c>
      <c r="G293" s="73">
        <f t="shared" si="49"/>
        <v>40</v>
      </c>
      <c r="H293" s="73">
        <f t="shared" si="48"/>
        <v>40</v>
      </c>
      <c r="I293" s="73">
        <f t="shared" si="47"/>
        <v>38.003999999999998</v>
      </c>
      <c r="J293" s="72" t="s">
        <v>86</v>
      </c>
      <c r="K293" s="74"/>
      <c r="M293" s="99" t="s">
        <v>18</v>
      </c>
      <c r="N293" s="80">
        <f t="shared" si="50"/>
        <v>16</v>
      </c>
      <c r="O293" s="76">
        <f t="shared" ref="O293:O324" si="51">N293*F293</f>
        <v>16</v>
      </c>
      <c r="P293" s="100" t="s">
        <v>56</v>
      </c>
    </row>
    <row r="294" spans="1:17" x14ac:dyDescent="0.25">
      <c r="A294" s="95">
        <v>45596</v>
      </c>
      <c r="B294" s="72" t="s">
        <v>863</v>
      </c>
      <c r="C294" s="72" t="s">
        <v>8</v>
      </c>
      <c r="D294" s="72" t="s">
        <v>18</v>
      </c>
      <c r="E294" s="72" t="s">
        <v>56</v>
      </c>
      <c r="F294" s="72">
        <v>1</v>
      </c>
      <c r="G294" s="73">
        <f t="shared" si="49"/>
        <v>40</v>
      </c>
      <c r="H294" s="73">
        <f t="shared" ref="H294:H325" si="52">F294*G294</f>
        <v>40</v>
      </c>
      <c r="I294" s="73">
        <f t="shared" si="47"/>
        <v>40</v>
      </c>
      <c r="J294" s="72" t="s">
        <v>83</v>
      </c>
      <c r="K294" s="74"/>
      <c r="M294" s="99" t="s">
        <v>18</v>
      </c>
      <c r="N294" s="80">
        <f t="shared" si="50"/>
        <v>16</v>
      </c>
      <c r="O294" s="76">
        <f t="shared" si="51"/>
        <v>16</v>
      </c>
      <c r="P294" s="100" t="s">
        <v>56</v>
      </c>
      <c r="Q294" s="106">
        <f>SUM(O205:O294)</f>
        <v>496.84999999999997</v>
      </c>
    </row>
    <row r="295" spans="1:17" x14ac:dyDescent="0.25">
      <c r="A295" s="95">
        <v>45596</v>
      </c>
      <c r="B295" s="72" t="s">
        <v>200</v>
      </c>
      <c r="C295" s="72" t="s">
        <v>8</v>
      </c>
      <c r="D295" s="72" t="s">
        <v>18</v>
      </c>
      <c r="E295" s="72" t="s">
        <v>82</v>
      </c>
      <c r="F295" s="72">
        <v>1</v>
      </c>
      <c r="G295" s="73">
        <f t="shared" si="49"/>
        <v>40</v>
      </c>
      <c r="H295" s="73">
        <f t="shared" si="52"/>
        <v>40</v>
      </c>
      <c r="I295" s="73">
        <f t="shared" si="47"/>
        <v>40</v>
      </c>
      <c r="J295" s="72" t="s">
        <v>83</v>
      </c>
      <c r="K295" s="74"/>
      <c r="M295" s="99"/>
      <c r="N295" s="80" t="e">
        <f t="shared" si="50"/>
        <v>#N/A</v>
      </c>
      <c r="O295" s="76" t="e">
        <f t="shared" si="51"/>
        <v>#N/A</v>
      </c>
      <c r="P295" s="103"/>
    </row>
    <row r="296" spans="1:17" x14ac:dyDescent="0.25">
      <c r="A296" s="95">
        <v>45596</v>
      </c>
      <c r="B296" s="72"/>
      <c r="C296" s="72"/>
      <c r="D296" s="72"/>
      <c r="E296" s="72"/>
      <c r="F296" s="72"/>
      <c r="G296" s="73" t="e">
        <f t="shared" si="49"/>
        <v>#N/A</v>
      </c>
      <c r="H296" s="73" t="e">
        <f t="shared" si="52"/>
        <v>#N/A</v>
      </c>
      <c r="I296" s="73" t="b">
        <f t="shared" si="47"/>
        <v>0</v>
      </c>
      <c r="J296" s="72"/>
      <c r="K296" s="74"/>
      <c r="M296" s="99"/>
      <c r="N296" s="80" t="e">
        <f t="shared" si="50"/>
        <v>#N/A</v>
      </c>
      <c r="O296" s="76" t="e">
        <f t="shared" si="51"/>
        <v>#N/A</v>
      </c>
      <c r="P296" s="103"/>
    </row>
    <row r="297" spans="1:17" x14ac:dyDescent="0.25">
      <c r="A297" s="95">
        <v>45596</v>
      </c>
      <c r="B297" s="72"/>
      <c r="C297" s="72"/>
      <c r="D297" s="72"/>
      <c r="E297" s="72"/>
      <c r="F297" s="72"/>
      <c r="G297" s="73" t="e">
        <f t="shared" si="49"/>
        <v>#N/A</v>
      </c>
      <c r="H297" s="73" t="e">
        <f t="shared" si="52"/>
        <v>#N/A</v>
      </c>
      <c r="I297" s="73" t="b">
        <f t="shared" si="47"/>
        <v>0</v>
      </c>
      <c r="J297" s="72"/>
      <c r="K297" s="74"/>
      <c r="M297" s="99"/>
      <c r="N297" s="80" t="e">
        <f t="shared" si="50"/>
        <v>#N/A</v>
      </c>
      <c r="O297" s="76" t="e">
        <f t="shared" si="51"/>
        <v>#N/A</v>
      </c>
      <c r="P297" s="103"/>
    </row>
    <row r="298" spans="1:17" x14ac:dyDescent="0.25">
      <c r="A298" s="95"/>
      <c r="B298" s="72"/>
      <c r="C298" s="72"/>
      <c r="D298" s="72"/>
      <c r="E298" s="72"/>
      <c r="F298" s="72"/>
      <c r="G298" s="73" t="e">
        <f t="shared" si="49"/>
        <v>#N/A</v>
      </c>
      <c r="H298" s="73" t="e">
        <f t="shared" si="52"/>
        <v>#N/A</v>
      </c>
      <c r="I298" s="73" t="b">
        <f t="shared" si="47"/>
        <v>0</v>
      </c>
      <c r="J298" s="72"/>
      <c r="K298" s="74"/>
      <c r="M298" s="99"/>
      <c r="N298" s="80" t="e">
        <f t="shared" si="50"/>
        <v>#N/A</v>
      </c>
      <c r="O298" s="76" t="e">
        <f t="shared" si="51"/>
        <v>#N/A</v>
      </c>
      <c r="P298" s="103"/>
    </row>
    <row r="299" spans="1:17" x14ac:dyDescent="0.25">
      <c r="A299" s="95"/>
      <c r="B299" s="72"/>
      <c r="C299" s="72"/>
      <c r="D299" s="72"/>
      <c r="E299" s="72"/>
      <c r="F299" s="72"/>
      <c r="G299" s="73" t="e">
        <f t="shared" si="49"/>
        <v>#N/A</v>
      </c>
      <c r="H299" s="73" t="e">
        <f t="shared" si="52"/>
        <v>#N/A</v>
      </c>
      <c r="I299" s="73" t="b">
        <f t="shared" si="47"/>
        <v>0</v>
      </c>
      <c r="J299" s="72"/>
      <c r="K299" s="74"/>
      <c r="M299" s="99"/>
      <c r="N299" s="80" t="e">
        <f t="shared" si="50"/>
        <v>#N/A</v>
      </c>
      <c r="O299" s="76" t="e">
        <f t="shared" si="51"/>
        <v>#N/A</v>
      </c>
      <c r="P299" s="103"/>
    </row>
    <row r="300" spans="1:17" x14ac:dyDescent="0.25">
      <c r="A300" s="95"/>
      <c r="B300" s="72"/>
      <c r="C300" s="72"/>
      <c r="D300" s="72"/>
      <c r="E300" s="72"/>
      <c r="F300" s="72"/>
      <c r="G300" s="73" t="e">
        <f t="shared" si="49"/>
        <v>#N/A</v>
      </c>
      <c r="H300" s="73" t="e">
        <f t="shared" si="52"/>
        <v>#N/A</v>
      </c>
      <c r="I300" s="73" t="b">
        <f t="shared" si="47"/>
        <v>0</v>
      </c>
      <c r="J300" s="72"/>
      <c r="K300" s="74"/>
      <c r="M300" s="99"/>
      <c r="N300" s="80" t="e">
        <f t="shared" si="50"/>
        <v>#N/A</v>
      </c>
      <c r="O300" s="76" t="e">
        <f t="shared" si="51"/>
        <v>#N/A</v>
      </c>
      <c r="P300" s="103"/>
    </row>
    <row r="301" spans="1:17" x14ac:dyDescent="0.25">
      <c r="A301" s="95"/>
      <c r="B301" s="72"/>
      <c r="C301" s="72"/>
      <c r="D301" s="72"/>
      <c r="E301" s="72"/>
      <c r="F301" s="72"/>
      <c r="G301" s="73" t="e">
        <f t="shared" si="49"/>
        <v>#N/A</v>
      </c>
      <c r="H301" s="73" t="e">
        <f t="shared" si="52"/>
        <v>#N/A</v>
      </c>
      <c r="I301" s="73" t="b">
        <f t="shared" si="47"/>
        <v>0</v>
      </c>
      <c r="J301" s="72"/>
      <c r="K301" s="74"/>
      <c r="M301" s="99"/>
      <c r="N301" s="80" t="e">
        <f t="shared" si="50"/>
        <v>#N/A</v>
      </c>
      <c r="O301" s="76" t="e">
        <f t="shared" si="51"/>
        <v>#N/A</v>
      </c>
      <c r="P301" s="103"/>
    </row>
    <row r="302" spans="1:17" x14ac:dyDescent="0.25">
      <c r="A302" s="95"/>
      <c r="B302" s="72"/>
      <c r="C302" s="72"/>
      <c r="D302" s="72"/>
      <c r="E302" s="72"/>
      <c r="F302" s="72"/>
      <c r="G302" s="73" t="e">
        <f t="shared" si="49"/>
        <v>#N/A</v>
      </c>
      <c r="H302" s="73" t="e">
        <f t="shared" si="52"/>
        <v>#N/A</v>
      </c>
      <c r="I302" s="73" t="b">
        <f t="shared" si="47"/>
        <v>0</v>
      </c>
      <c r="J302" s="72"/>
      <c r="K302" s="74"/>
      <c r="M302" s="99"/>
      <c r="N302" s="80" t="e">
        <f t="shared" si="50"/>
        <v>#N/A</v>
      </c>
      <c r="O302" s="76" t="e">
        <f t="shared" si="51"/>
        <v>#N/A</v>
      </c>
      <c r="P302" s="103"/>
    </row>
    <row r="303" spans="1:17" x14ac:dyDescent="0.25">
      <c r="A303" s="95"/>
      <c r="B303" s="72"/>
      <c r="C303" s="72"/>
      <c r="D303" s="72"/>
      <c r="E303" s="72"/>
      <c r="F303" s="72"/>
      <c r="G303" s="73" t="e">
        <f t="shared" si="49"/>
        <v>#N/A</v>
      </c>
      <c r="H303" s="73" t="e">
        <f t="shared" si="52"/>
        <v>#N/A</v>
      </c>
      <c r="I303" s="73" t="b">
        <f t="shared" si="47"/>
        <v>0</v>
      </c>
      <c r="J303" s="72"/>
      <c r="K303" s="74"/>
      <c r="M303" s="99"/>
      <c r="N303" s="80" t="e">
        <f t="shared" si="50"/>
        <v>#N/A</v>
      </c>
      <c r="O303" s="76" t="e">
        <f t="shared" si="51"/>
        <v>#N/A</v>
      </c>
      <c r="P303" s="103"/>
    </row>
    <row r="304" spans="1:17" x14ac:dyDescent="0.25">
      <c r="A304" s="95"/>
      <c r="B304" s="72"/>
      <c r="C304" s="72"/>
      <c r="D304" s="72"/>
      <c r="E304" s="72"/>
      <c r="F304" s="72"/>
      <c r="G304" s="73" t="e">
        <f t="shared" si="49"/>
        <v>#N/A</v>
      </c>
      <c r="H304" s="73" t="e">
        <f t="shared" si="52"/>
        <v>#N/A</v>
      </c>
      <c r="I304" s="73" t="b">
        <f t="shared" si="47"/>
        <v>0</v>
      </c>
      <c r="J304" s="72"/>
      <c r="K304" s="74"/>
      <c r="M304" s="99"/>
      <c r="N304" s="80" t="e">
        <f t="shared" si="50"/>
        <v>#N/A</v>
      </c>
      <c r="O304" s="76" t="e">
        <f t="shared" si="51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49"/>
        <v>#N/A</v>
      </c>
      <c r="H305" s="73" t="e">
        <f t="shared" si="52"/>
        <v>#N/A</v>
      </c>
      <c r="I305" s="73" t="b">
        <f t="shared" si="47"/>
        <v>0</v>
      </c>
      <c r="J305" s="72"/>
      <c r="K305" s="74"/>
      <c r="M305" s="99"/>
      <c r="N305" s="80" t="e">
        <f t="shared" si="50"/>
        <v>#N/A</v>
      </c>
      <c r="O305" s="76" t="e">
        <f t="shared" si="51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ref="G306:G337" si="53">VLOOKUP(D306,$S$3:$T$70,2,0)</f>
        <v>#N/A</v>
      </c>
      <c r="H306" s="73" t="e">
        <f t="shared" si="52"/>
        <v>#N/A</v>
      </c>
      <c r="I306" s="73" t="b">
        <f t="shared" si="47"/>
        <v>0</v>
      </c>
      <c r="J306" s="72"/>
      <c r="K306" s="74"/>
      <c r="M306" s="99"/>
      <c r="N306" s="80" t="e">
        <f t="shared" ref="N306:N337" si="54">VLOOKUP(M306,$S$3:$U$70,3,0)</f>
        <v>#N/A</v>
      </c>
      <c r="O306" s="76" t="e">
        <f t="shared" si="51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53"/>
        <v>#N/A</v>
      </c>
      <c r="H307" s="73" t="e">
        <f t="shared" si="52"/>
        <v>#N/A</v>
      </c>
      <c r="I307" s="73" t="b">
        <f t="shared" si="47"/>
        <v>0</v>
      </c>
      <c r="J307" s="72"/>
      <c r="K307" s="74"/>
      <c r="M307" s="99"/>
      <c r="N307" s="80" t="e">
        <f t="shared" si="54"/>
        <v>#N/A</v>
      </c>
      <c r="O307" s="76" t="e">
        <f t="shared" si="51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53"/>
        <v>#N/A</v>
      </c>
      <c r="H308" s="73" t="e">
        <f t="shared" si="52"/>
        <v>#N/A</v>
      </c>
      <c r="I308" s="73" t="b">
        <f t="shared" si="47"/>
        <v>0</v>
      </c>
      <c r="J308" s="72"/>
      <c r="K308" s="74"/>
      <c r="M308" s="99"/>
      <c r="N308" s="80" t="e">
        <f t="shared" si="54"/>
        <v>#N/A</v>
      </c>
      <c r="O308" s="76" t="e">
        <f t="shared" si="51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53"/>
        <v>#N/A</v>
      </c>
      <c r="H309" s="73" t="e">
        <f t="shared" si="52"/>
        <v>#N/A</v>
      </c>
      <c r="I309" s="73" t="b">
        <f t="shared" si="47"/>
        <v>0</v>
      </c>
      <c r="J309" s="72"/>
      <c r="K309" s="74"/>
      <c r="M309" s="99"/>
      <c r="N309" s="80" t="e">
        <f t="shared" si="54"/>
        <v>#N/A</v>
      </c>
      <c r="O309" s="76" t="e">
        <f t="shared" si="51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53"/>
        <v>#N/A</v>
      </c>
      <c r="H310" s="73" t="e">
        <f t="shared" si="52"/>
        <v>#N/A</v>
      </c>
      <c r="I310" s="73" t="b">
        <f t="shared" si="47"/>
        <v>0</v>
      </c>
      <c r="J310" s="72"/>
      <c r="K310" s="74"/>
      <c r="M310" s="99"/>
      <c r="N310" s="80" t="e">
        <f t="shared" si="54"/>
        <v>#N/A</v>
      </c>
      <c r="O310" s="76" t="e">
        <f t="shared" si="51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53"/>
        <v>#N/A</v>
      </c>
      <c r="H311" s="73" t="e">
        <f t="shared" si="52"/>
        <v>#N/A</v>
      </c>
      <c r="I311" s="73" t="b">
        <f t="shared" si="47"/>
        <v>0</v>
      </c>
      <c r="J311" s="72"/>
      <c r="K311" s="74"/>
      <c r="M311" s="99"/>
      <c r="N311" s="80" t="e">
        <f t="shared" si="54"/>
        <v>#N/A</v>
      </c>
      <c r="O311" s="76" t="e">
        <f t="shared" si="51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53"/>
        <v>#N/A</v>
      </c>
      <c r="H312" s="73" t="e">
        <f t="shared" si="52"/>
        <v>#N/A</v>
      </c>
      <c r="I312" s="73" t="b">
        <f t="shared" si="47"/>
        <v>0</v>
      </c>
      <c r="J312" s="72"/>
      <c r="K312" s="74"/>
      <c r="M312" s="99"/>
      <c r="N312" s="80" t="e">
        <f t="shared" si="54"/>
        <v>#N/A</v>
      </c>
      <c r="O312" s="76" t="e">
        <f t="shared" si="51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53"/>
        <v>#N/A</v>
      </c>
      <c r="H313" s="73" t="e">
        <f t="shared" si="52"/>
        <v>#N/A</v>
      </c>
      <c r="I313" s="73" t="b">
        <f t="shared" si="47"/>
        <v>0</v>
      </c>
      <c r="J313" s="72"/>
      <c r="K313" s="74"/>
      <c r="M313" s="99"/>
      <c r="N313" s="80" t="e">
        <f t="shared" si="54"/>
        <v>#N/A</v>
      </c>
      <c r="O313" s="76" t="e">
        <f t="shared" si="51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53"/>
        <v>#N/A</v>
      </c>
      <c r="H314" s="73" t="e">
        <f t="shared" si="52"/>
        <v>#N/A</v>
      </c>
      <c r="I314" s="73" t="b">
        <f t="shared" si="47"/>
        <v>0</v>
      </c>
      <c r="J314" s="72"/>
      <c r="K314" s="74"/>
      <c r="M314" s="99"/>
      <c r="N314" s="80" t="e">
        <f t="shared" si="54"/>
        <v>#N/A</v>
      </c>
      <c r="O314" s="76" t="e">
        <f t="shared" si="51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53"/>
        <v>#N/A</v>
      </c>
      <c r="H315" s="73" t="e">
        <f t="shared" si="52"/>
        <v>#N/A</v>
      </c>
      <c r="I315" s="73" t="b">
        <f t="shared" si="47"/>
        <v>0</v>
      </c>
      <c r="J315" s="72"/>
      <c r="K315" s="74"/>
      <c r="M315" s="99"/>
      <c r="N315" s="80" t="e">
        <f t="shared" si="54"/>
        <v>#N/A</v>
      </c>
      <c r="O315" s="76" t="e">
        <f t="shared" si="51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53"/>
        <v>#N/A</v>
      </c>
      <c r="H316" s="73" t="e">
        <f t="shared" si="52"/>
        <v>#N/A</v>
      </c>
      <c r="I316" s="73" t="b">
        <f t="shared" si="47"/>
        <v>0</v>
      </c>
      <c r="J316" s="72"/>
      <c r="K316" s="74"/>
      <c r="M316" s="99"/>
      <c r="N316" s="80" t="e">
        <f t="shared" si="54"/>
        <v>#N/A</v>
      </c>
      <c r="O316" s="76" t="e">
        <f t="shared" si="51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53"/>
        <v>#N/A</v>
      </c>
      <c r="H317" s="73" t="e">
        <f t="shared" si="52"/>
        <v>#N/A</v>
      </c>
      <c r="I317" s="73" t="b">
        <f t="shared" si="47"/>
        <v>0</v>
      </c>
      <c r="J317" s="72"/>
      <c r="K317" s="74"/>
      <c r="M317" s="99"/>
      <c r="N317" s="80" t="e">
        <f t="shared" si="54"/>
        <v>#N/A</v>
      </c>
      <c r="O317" s="76" t="e">
        <f t="shared" si="51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53"/>
        <v>#N/A</v>
      </c>
      <c r="H318" s="73" t="e">
        <f t="shared" si="52"/>
        <v>#N/A</v>
      </c>
      <c r="I318" s="73" t="b">
        <f t="shared" si="47"/>
        <v>0</v>
      </c>
      <c r="J318" s="72"/>
      <c r="K318" s="74"/>
      <c r="M318" s="99"/>
      <c r="N318" s="80" t="e">
        <f t="shared" si="54"/>
        <v>#N/A</v>
      </c>
      <c r="O318" s="76" t="e">
        <f t="shared" si="51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53"/>
        <v>#N/A</v>
      </c>
      <c r="H319" s="73" t="e">
        <f t="shared" si="52"/>
        <v>#N/A</v>
      </c>
      <c r="I319" s="73" t="b">
        <f t="shared" si="47"/>
        <v>0</v>
      </c>
      <c r="J319" s="72"/>
      <c r="K319" s="74"/>
      <c r="M319" s="99"/>
      <c r="N319" s="80" t="e">
        <f t="shared" si="54"/>
        <v>#N/A</v>
      </c>
      <c r="O319" s="76" t="e">
        <f t="shared" si="51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53"/>
        <v>#N/A</v>
      </c>
      <c r="H320" s="73" t="e">
        <f t="shared" si="52"/>
        <v>#N/A</v>
      </c>
      <c r="I320" s="73" t="b">
        <f t="shared" si="47"/>
        <v>0</v>
      </c>
      <c r="J320" s="72"/>
      <c r="K320" s="74"/>
      <c r="M320" s="99"/>
      <c r="N320" s="80" t="e">
        <f t="shared" si="54"/>
        <v>#N/A</v>
      </c>
      <c r="O320" s="76" t="e">
        <f t="shared" si="51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53"/>
        <v>#N/A</v>
      </c>
      <c r="H321" s="73" t="e">
        <f t="shared" si="52"/>
        <v>#N/A</v>
      </c>
      <c r="I321" s="73" t="b">
        <f t="shared" si="47"/>
        <v>0</v>
      </c>
      <c r="J321" s="72"/>
      <c r="K321" s="74"/>
      <c r="M321" s="99"/>
      <c r="N321" s="80" t="e">
        <f t="shared" si="54"/>
        <v>#N/A</v>
      </c>
      <c r="O321" s="76" t="e">
        <f t="shared" si="51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53"/>
        <v>#N/A</v>
      </c>
      <c r="H322" s="73" t="e">
        <f t="shared" si="52"/>
        <v>#N/A</v>
      </c>
      <c r="I322" s="73" t="b">
        <f t="shared" si="47"/>
        <v>0</v>
      </c>
      <c r="J322" s="72"/>
      <c r="K322" s="74"/>
      <c r="M322" s="99"/>
      <c r="N322" s="80" t="e">
        <f t="shared" si="54"/>
        <v>#N/A</v>
      </c>
      <c r="O322" s="76" t="e">
        <f t="shared" si="51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53"/>
        <v>#N/A</v>
      </c>
      <c r="H323" s="73" t="e">
        <f t="shared" si="52"/>
        <v>#N/A</v>
      </c>
      <c r="I323" s="73" t="b">
        <f t="shared" ref="I323:I372" si="55">IF(J323="Cartão de Debito",H323-(H323*$AC$5),IF(J323="Cartão de Credito",H323-(H323*$AC$6), IF(J323="Pix",H323-(H323*$AC$7), IF(J323="Dinheiro (R$)", H323-(H323*$AC$8)))))</f>
        <v>0</v>
      </c>
      <c r="J323" s="72"/>
      <c r="K323" s="74"/>
      <c r="M323" s="99"/>
      <c r="N323" s="80" t="e">
        <f t="shared" si="54"/>
        <v>#N/A</v>
      </c>
      <c r="O323" s="76" t="e">
        <f t="shared" si="51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53"/>
        <v>#N/A</v>
      </c>
      <c r="H324" s="73" t="e">
        <f t="shared" si="52"/>
        <v>#N/A</v>
      </c>
      <c r="I324" s="73" t="b">
        <f t="shared" si="55"/>
        <v>0</v>
      </c>
      <c r="J324" s="72"/>
      <c r="K324" s="74"/>
      <c r="M324" s="99"/>
      <c r="N324" s="80" t="e">
        <f t="shared" si="54"/>
        <v>#N/A</v>
      </c>
      <c r="O324" s="76" t="e">
        <f t="shared" si="51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53"/>
        <v>#N/A</v>
      </c>
      <c r="H325" s="73" t="e">
        <f t="shared" si="52"/>
        <v>#N/A</v>
      </c>
      <c r="I325" s="73" t="b">
        <f t="shared" si="55"/>
        <v>0</v>
      </c>
      <c r="J325" s="72"/>
      <c r="K325" s="74"/>
      <c r="M325" s="99"/>
      <c r="N325" s="80" t="e">
        <f t="shared" si="54"/>
        <v>#N/A</v>
      </c>
      <c r="O325" s="76" t="e">
        <f t="shared" ref="O325:O356" si="56">N325*F325</f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53"/>
        <v>#N/A</v>
      </c>
      <c r="H326" s="73" t="e">
        <f t="shared" ref="H326:H357" si="57">F326*G326</f>
        <v>#N/A</v>
      </c>
      <c r="I326" s="73" t="b">
        <f t="shared" si="55"/>
        <v>0</v>
      </c>
      <c r="J326" s="72"/>
      <c r="K326" s="74"/>
      <c r="M326" s="99"/>
      <c r="N326" s="80" t="e">
        <f t="shared" si="54"/>
        <v>#N/A</v>
      </c>
      <c r="O326" s="76" t="e">
        <f t="shared" si="56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53"/>
        <v>#N/A</v>
      </c>
      <c r="H327" s="73" t="e">
        <f t="shared" si="57"/>
        <v>#N/A</v>
      </c>
      <c r="I327" s="73" t="b">
        <f t="shared" si="55"/>
        <v>0</v>
      </c>
      <c r="J327" s="72"/>
      <c r="K327" s="74"/>
      <c r="M327" s="99"/>
      <c r="N327" s="80" t="e">
        <f t="shared" si="54"/>
        <v>#N/A</v>
      </c>
      <c r="O327" s="76" t="e">
        <f t="shared" si="56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53"/>
        <v>#N/A</v>
      </c>
      <c r="H328" s="73" t="e">
        <f t="shared" si="57"/>
        <v>#N/A</v>
      </c>
      <c r="I328" s="73" t="b">
        <f t="shared" si="55"/>
        <v>0</v>
      </c>
      <c r="J328" s="72"/>
      <c r="K328" s="74"/>
      <c r="M328" s="99"/>
      <c r="N328" s="80" t="e">
        <f t="shared" si="54"/>
        <v>#N/A</v>
      </c>
      <c r="O328" s="76" t="e">
        <f t="shared" si="56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53"/>
        <v>#N/A</v>
      </c>
      <c r="H329" s="73" t="e">
        <f t="shared" si="57"/>
        <v>#N/A</v>
      </c>
      <c r="I329" s="73" t="b">
        <f t="shared" si="55"/>
        <v>0</v>
      </c>
      <c r="J329" s="72"/>
      <c r="K329" s="74"/>
      <c r="M329" s="99"/>
      <c r="N329" s="80" t="e">
        <f t="shared" si="54"/>
        <v>#N/A</v>
      </c>
      <c r="O329" s="76" t="e">
        <f t="shared" si="56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53"/>
        <v>#N/A</v>
      </c>
      <c r="H330" s="73" t="e">
        <f t="shared" si="57"/>
        <v>#N/A</v>
      </c>
      <c r="I330" s="73" t="b">
        <f t="shared" si="55"/>
        <v>0</v>
      </c>
      <c r="J330" s="72"/>
      <c r="K330" s="74"/>
      <c r="M330" s="99"/>
      <c r="N330" s="80" t="e">
        <f t="shared" si="54"/>
        <v>#N/A</v>
      </c>
      <c r="O330" s="76" t="e">
        <f t="shared" si="56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53"/>
        <v>#N/A</v>
      </c>
      <c r="H331" s="73" t="e">
        <f t="shared" si="57"/>
        <v>#N/A</v>
      </c>
      <c r="I331" s="73" t="b">
        <f t="shared" si="55"/>
        <v>0</v>
      </c>
      <c r="J331" s="72"/>
      <c r="K331" s="74"/>
      <c r="M331" s="99"/>
      <c r="N331" s="80" t="e">
        <f t="shared" si="54"/>
        <v>#N/A</v>
      </c>
      <c r="O331" s="76" t="e">
        <f t="shared" si="56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53"/>
        <v>#N/A</v>
      </c>
      <c r="H332" s="73" t="e">
        <f t="shared" si="57"/>
        <v>#N/A</v>
      </c>
      <c r="I332" s="73" t="b">
        <f t="shared" si="55"/>
        <v>0</v>
      </c>
      <c r="J332" s="72"/>
      <c r="K332" s="74"/>
      <c r="M332" s="99"/>
      <c r="N332" s="80" t="e">
        <f t="shared" si="54"/>
        <v>#N/A</v>
      </c>
      <c r="O332" s="76" t="e">
        <f t="shared" si="56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53"/>
        <v>#N/A</v>
      </c>
      <c r="H333" s="73" t="e">
        <f t="shared" si="57"/>
        <v>#N/A</v>
      </c>
      <c r="I333" s="73" t="b">
        <f t="shared" si="55"/>
        <v>0</v>
      </c>
      <c r="J333" s="72"/>
      <c r="K333" s="74"/>
      <c r="M333" s="99"/>
      <c r="N333" s="80" t="e">
        <f t="shared" si="54"/>
        <v>#N/A</v>
      </c>
      <c r="O333" s="76" t="e">
        <f t="shared" si="56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si="53"/>
        <v>#N/A</v>
      </c>
      <c r="H334" s="73" t="e">
        <f t="shared" si="57"/>
        <v>#N/A</v>
      </c>
      <c r="I334" s="73" t="b">
        <f t="shared" si="55"/>
        <v>0</v>
      </c>
      <c r="J334" s="72"/>
      <c r="K334" s="74"/>
      <c r="M334" s="99"/>
      <c r="N334" s="80" t="e">
        <f t="shared" si="54"/>
        <v>#N/A</v>
      </c>
      <c r="O334" s="76" t="e">
        <f t="shared" si="56"/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53"/>
        <v>#N/A</v>
      </c>
      <c r="H335" s="73" t="e">
        <f t="shared" si="57"/>
        <v>#N/A</v>
      </c>
      <c r="I335" s="73" t="b">
        <f t="shared" si="55"/>
        <v>0</v>
      </c>
      <c r="J335" s="72"/>
      <c r="K335" s="74"/>
      <c r="M335" s="99"/>
      <c r="N335" s="80" t="e">
        <f t="shared" si="54"/>
        <v>#N/A</v>
      </c>
      <c r="O335" s="76" t="e">
        <f t="shared" si="56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53"/>
        <v>#N/A</v>
      </c>
      <c r="H336" s="73" t="e">
        <f t="shared" si="57"/>
        <v>#N/A</v>
      </c>
      <c r="I336" s="73" t="b">
        <f t="shared" si="55"/>
        <v>0</v>
      </c>
      <c r="J336" s="72"/>
      <c r="K336" s="74"/>
      <c r="M336" s="99"/>
      <c r="N336" s="80" t="e">
        <f t="shared" si="54"/>
        <v>#N/A</v>
      </c>
      <c r="O336" s="76" t="e">
        <f t="shared" si="56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53"/>
        <v>#N/A</v>
      </c>
      <c r="H337" s="73" t="e">
        <f t="shared" si="57"/>
        <v>#N/A</v>
      </c>
      <c r="I337" s="73" t="b">
        <f t="shared" si="55"/>
        <v>0</v>
      </c>
      <c r="J337" s="72"/>
      <c r="K337" s="74"/>
      <c r="M337" s="99"/>
      <c r="N337" s="80" t="e">
        <f t="shared" si="54"/>
        <v>#N/A</v>
      </c>
      <c r="O337" s="76" t="e">
        <f t="shared" si="56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ref="G338:G372" si="58">VLOOKUP(D338,$S$3:$T$70,2,0)</f>
        <v>#N/A</v>
      </c>
      <c r="H338" s="73" t="e">
        <f t="shared" si="57"/>
        <v>#N/A</v>
      </c>
      <c r="I338" s="73" t="b">
        <f t="shared" si="55"/>
        <v>0</v>
      </c>
      <c r="J338" s="72"/>
      <c r="K338" s="74"/>
      <c r="M338" s="99"/>
      <c r="N338" s="80" t="e">
        <f t="shared" ref="N338:N369" si="59">VLOOKUP(M338,$S$3:$U$70,3,0)</f>
        <v>#N/A</v>
      </c>
      <c r="O338" s="76" t="e">
        <f t="shared" si="56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58"/>
        <v>#N/A</v>
      </c>
      <c r="H339" s="73" t="e">
        <f t="shared" si="57"/>
        <v>#N/A</v>
      </c>
      <c r="I339" s="73" t="b">
        <f t="shared" si="55"/>
        <v>0</v>
      </c>
      <c r="J339" s="72"/>
      <c r="K339" s="74"/>
      <c r="M339" s="99"/>
      <c r="N339" s="80" t="e">
        <f t="shared" si="59"/>
        <v>#N/A</v>
      </c>
      <c r="O339" s="76" t="e">
        <f t="shared" si="56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58"/>
        <v>#N/A</v>
      </c>
      <c r="H340" s="73" t="e">
        <f t="shared" si="57"/>
        <v>#N/A</v>
      </c>
      <c r="I340" s="73" t="b">
        <f t="shared" si="55"/>
        <v>0</v>
      </c>
      <c r="J340" s="72"/>
      <c r="K340" s="74"/>
      <c r="M340" s="99"/>
      <c r="N340" s="80" t="e">
        <f t="shared" si="59"/>
        <v>#N/A</v>
      </c>
      <c r="O340" s="76" t="e">
        <f t="shared" si="56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58"/>
        <v>#N/A</v>
      </c>
      <c r="H341" s="73" t="e">
        <f t="shared" si="57"/>
        <v>#N/A</v>
      </c>
      <c r="I341" s="73" t="b">
        <f t="shared" si="55"/>
        <v>0</v>
      </c>
      <c r="J341" s="72"/>
      <c r="K341" s="74"/>
      <c r="M341" s="99"/>
      <c r="N341" s="80" t="e">
        <f t="shared" si="59"/>
        <v>#N/A</v>
      </c>
      <c r="O341" s="76" t="e">
        <f t="shared" si="56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58"/>
        <v>#N/A</v>
      </c>
      <c r="H342" s="73" t="e">
        <f t="shared" si="57"/>
        <v>#N/A</v>
      </c>
      <c r="I342" s="73" t="b">
        <f t="shared" si="55"/>
        <v>0</v>
      </c>
      <c r="J342" s="72"/>
      <c r="K342" s="74"/>
      <c r="M342" s="99"/>
      <c r="N342" s="80" t="e">
        <f t="shared" si="59"/>
        <v>#N/A</v>
      </c>
      <c r="O342" s="76" t="e">
        <f t="shared" si="56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58"/>
        <v>#N/A</v>
      </c>
      <c r="H343" s="73" t="e">
        <f t="shared" si="57"/>
        <v>#N/A</v>
      </c>
      <c r="I343" s="73" t="b">
        <f t="shared" si="55"/>
        <v>0</v>
      </c>
      <c r="J343" s="72"/>
      <c r="K343" s="74"/>
      <c r="M343" s="99"/>
      <c r="N343" s="80" t="e">
        <f t="shared" si="59"/>
        <v>#N/A</v>
      </c>
      <c r="O343" s="76" t="e">
        <f t="shared" si="56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58"/>
        <v>#N/A</v>
      </c>
      <c r="H344" s="73" t="e">
        <f t="shared" si="57"/>
        <v>#N/A</v>
      </c>
      <c r="I344" s="73" t="b">
        <f t="shared" si="55"/>
        <v>0</v>
      </c>
      <c r="J344" s="72"/>
      <c r="K344" s="74"/>
      <c r="M344" s="99"/>
      <c r="N344" s="80" t="e">
        <f t="shared" si="59"/>
        <v>#N/A</v>
      </c>
      <c r="O344" s="76" t="e">
        <f t="shared" si="56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58"/>
        <v>#N/A</v>
      </c>
      <c r="H345" s="73" t="e">
        <f t="shared" si="57"/>
        <v>#N/A</v>
      </c>
      <c r="I345" s="73" t="b">
        <f t="shared" si="55"/>
        <v>0</v>
      </c>
      <c r="J345" s="72"/>
      <c r="K345" s="74"/>
      <c r="M345" s="99"/>
      <c r="N345" s="80" t="e">
        <f t="shared" si="59"/>
        <v>#N/A</v>
      </c>
      <c r="O345" s="76" t="e">
        <f t="shared" si="56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58"/>
        <v>#N/A</v>
      </c>
      <c r="H346" s="73" t="e">
        <f t="shared" si="57"/>
        <v>#N/A</v>
      </c>
      <c r="I346" s="73" t="b">
        <f t="shared" si="55"/>
        <v>0</v>
      </c>
      <c r="J346" s="72"/>
      <c r="K346" s="74"/>
      <c r="M346" s="99"/>
      <c r="N346" s="80" t="e">
        <f t="shared" si="59"/>
        <v>#N/A</v>
      </c>
      <c r="O346" s="76" t="e">
        <f t="shared" si="56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58"/>
        <v>#N/A</v>
      </c>
      <c r="H347" s="73" t="e">
        <f t="shared" si="57"/>
        <v>#N/A</v>
      </c>
      <c r="I347" s="73" t="b">
        <f t="shared" si="55"/>
        <v>0</v>
      </c>
      <c r="J347" s="72"/>
      <c r="K347" s="74"/>
      <c r="M347" s="99"/>
      <c r="N347" s="80" t="e">
        <f t="shared" si="59"/>
        <v>#N/A</v>
      </c>
      <c r="O347" s="76" t="e">
        <f t="shared" si="56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58"/>
        <v>#N/A</v>
      </c>
      <c r="H348" s="73" t="e">
        <f t="shared" si="57"/>
        <v>#N/A</v>
      </c>
      <c r="I348" s="73" t="b">
        <f t="shared" si="55"/>
        <v>0</v>
      </c>
      <c r="J348" s="72"/>
      <c r="K348" s="74"/>
      <c r="M348" s="99"/>
      <c r="N348" s="80" t="e">
        <f t="shared" si="59"/>
        <v>#N/A</v>
      </c>
      <c r="O348" s="76" t="e">
        <f t="shared" si="56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58"/>
        <v>#N/A</v>
      </c>
      <c r="H349" s="73" t="e">
        <f t="shared" si="57"/>
        <v>#N/A</v>
      </c>
      <c r="I349" s="73" t="b">
        <f t="shared" si="55"/>
        <v>0</v>
      </c>
      <c r="J349" s="72"/>
      <c r="K349" s="74"/>
      <c r="M349" s="99"/>
      <c r="N349" s="80" t="e">
        <f t="shared" si="59"/>
        <v>#N/A</v>
      </c>
      <c r="O349" s="76" t="e">
        <f t="shared" si="56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58"/>
        <v>#N/A</v>
      </c>
      <c r="H350" s="73" t="e">
        <f t="shared" si="57"/>
        <v>#N/A</v>
      </c>
      <c r="I350" s="73" t="b">
        <f t="shared" si="55"/>
        <v>0</v>
      </c>
      <c r="J350" s="72"/>
      <c r="K350" s="74"/>
      <c r="M350" s="99"/>
      <c r="N350" s="80" t="e">
        <f t="shared" si="59"/>
        <v>#N/A</v>
      </c>
      <c r="O350" s="76" t="e">
        <f t="shared" si="56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58"/>
        <v>#N/A</v>
      </c>
      <c r="H351" s="73" t="e">
        <f t="shared" si="57"/>
        <v>#N/A</v>
      </c>
      <c r="I351" s="73" t="b">
        <f t="shared" si="55"/>
        <v>0</v>
      </c>
      <c r="J351" s="72"/>
      <c r="K351" s="74"/>
      <c r="M351" s="99"/>
      <c r="N351" s="80" t="e">
        <f t="shared" si="59"/>
        <v>#N/A</v>
      </c>
      <c r="O351" s="76" t="e">
        <f t="shared" si="56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58"/>
        <v>#N/A</v>
      </c>
      <c r="H352" s="73" t="e">
        <f t="shared" si="57"/>
        <v>#N/A</v>
      </c>
      <c r="I352" s="73" t="b">
        <f t="shared" si="55"/>
        <v>0</v>
      </c>
      <c r="J352" s="72"/>
      <c r="K352" s="74"/>
      <c r="M352" s="99"/>
      <c r="N352" s="80" t="e">
        <f t="shared" si="59"/>
        <v>#N/A</v>
      </c>
      <c r="O352" s="76" t="e">
        <f t="shared" si="56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58"/>
        <v>#N/A</v>
      </c>
      <c r="H353" s="73" t="e">
        <f t="shared" si="57"/>
        <v>#N/A</v>
      </c>
      <c r="I353" s="73" t="b">
        <f t="shared" si="55"/>
        <v>0</v>
      </c>
      <c r="J353" s="72"/>
      <c r="K353" s="74"/>
      <c r="M353" s="99"/>
      <c r="N353" s="80" t="e">
        <f t="shared" si="59"/>
        <v>#N/A</v>
      </c>
      <c r="O353" s="76" t="e">
        <f t="shared" si="56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58"/>
        <v>#N/A</v>
      </c>
      <c r="H354" s="73" t="e">
        <f t="shared" si="57"/>
        <v>#N/A</v>
      </c>
      <c r="I354" s="73" t="b">
        <f t="shared" si="55"/>
        <v>0</v>
      </c>
      <c r="J354" s="72"/>
      <c r="K354" s="74"/>
      <c r="M354" s="99"/>
      <c r="N354" s="80" t="e">
        <f t="shared" si="59"/>
        <v>#N/A</v>
      </c>
      <c r="O354" s="76" t="e">
        <f t="shared" si="56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58"/>
        <v>#N/A</v>
      </c>
      <c r="H355" s="73" t="e">
        <f t="shared" si="57"/>
        <v>#N/A</v>
      </c>
      <c r="I355" s="73" t="b">
        <f t="shared" si="55"/>
        <v>0</v>
      </c>
      <c r="J355" s="72"/>
      <c r="K355" s="74"/>
      <c r="M355" s="99"/>
      <c r="N355" s="80" t="e">
        <f t="shared" si="59"/>
        <v>#N/A</v>
      </c>
      <c r="O355" s="76" t="e">
        <f t="shared" si="56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58"/>
        <v>#N/A</v>
      </c>
      <c r="H356" s="73" t="e">
        <f t="shared" si="57"/>
        <v>#N/A</v>
      </c>
      <c r="I356" s="73" t="b">
        <f t="shared" si="55"/>
        <v>0</v>
      </c>
      <c r="J356" s="72"/>
      <c r="K356" s="74"/>
      <c r="M356" s="99"/>
      <c r="N356" s="80" t="e">
        <f t="shared" si="59"/>
        <v>#N/A</v>
      </c>
      <c r="O356" s="76" t="e">
        <f t="shared" si="56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si="58"/>
        <v>#N/A</v>
      </c>
      <c r="H357" s="73" t="e">
        <f t="shared" si="57"/>
        <v>#N/A</v>
      </c>
      <c r="I357" s="73" t="b">
        <f t="shared" si="55"/>
        <v>0</v>
      </c>
      <c r="J357" s="72"/>
      <c r="K357" s="74"/>
      <c r="M357" s="99"/>
      <c r="N357" s="80" t="e">
        <f t="shared" si="59"/>
        <v>#N/A</v>
      </c>
      <c r="O357" s="76" t="e">
        <f t="shared" ref="O357:O372" si="60">N357*F357</f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58"/>
        <v>#N/A</v>
      </c>
      <c r="H358" s="73" t="e">
        <f t="shared" ref="H358:H372" si="61">F358*G358</f>
        <v>#N/A</v>
      </c>
      <c r="I358" s="73" t="b">
        <f t="shared" si="55"/>
        <v>0</v>
      </c>
      <c r="J358" s="72"/>
      <c r="K358" s="74"/>
      <c r="M358" s="99"/>
      <c r="N358" s="80" t="e">
        <f t="shared" si="59"/>
        <v>#N/A</v>
      </c>
      <c r="O358" s="76" t="e">
        <f t="shared" si="60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si="58"/>
        <v>#N/A</v>
      </c>
      <c r="H359" s="73" t="e">
        <f t="shared" si="61"/>
        <v>#N/A</v>
      </c>
      <c r="I359" s="73" t="b">
        <f t="shared" si="55"/>
        <v>0</v>
      </c>
      <c r="J359" s="72"/>
      <c r="K359" s="74"/>
      <c r="M359" s="99"/>
      <c r="N359" s="80" t="e">
        <f t="shared" si="59"/>
        <v>#N/A</v>
      </c>
      <c r="O359" s="76" t="e">
        <f t="shared" si="60"/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58"/>
        <v>#N/A</v>
      </c>
      <c r="H360" s="73" t="e">
        <f t="shared" si="61"/>
        <v>#N/A</v>
      </c>
      <c r="I360" s="73" t="b">
        <f t="shared" si="55"/>
        <v>0</v>
      </c>
      <c r="J360" s="72"/>
      <c r="K360" s="74"/>
      <c r="M360" s="99"/>
      <c r="N360" s="80" t="e">
        <f t="shared" si="59"/>
        <v>#N/A</v>
      </c>
      <c r="O360" s="76" t="e">
        <f t="shared" si="60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58"/>
        <v>#N/A</v>
      </c>
      <c r="H361" s="73" t="e">
        <f t="shared" si="61"/>
        <v>#N/A</v>
      </c>
      <c r="I361" s="73" t="b">
        <f t="shared" si="55"/>
        <v>0</v>
      </c>
      <c r="J361" s="72"/>
      <c r="K361" s="74"/>
      <c r="M361" s="99"/>
      <c r="N361" s="80" t="e">
        <f t="shared" si="59"/>
        <v>#N/A</v>
      </c>
      <c r="O361" s="76" t="e">
        <f t="shared" si="60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58"/>
        <v>#N/A</v>
      </c>
      <c r="H362" s="73" t="e">
        <f t="shared" si="61"/>
        <v>#N/A</v>
      </c>
      <c r="I362" s="73" t="b">
        <f t="shared" si="55"/>
        <v>0</v>
      </c>
      <c r="J362" s="72"/>
      <c r="K362" s="74"/>
      <c r="M362" s="99"/>
      <c r="N362" s="80" t="e">
        <f t="shared" si="59"/>
        <v>#N/A</v>
      </c>
      <c r="O362" s="76" t="e">
        <f t="shared" si="60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si="58"/>
        <v>#N/A</v>
      </c>
      <c r="H363" s="73" t="e">
        <f t="shared" si="61"/>
        <v>#N/A</v>
      </c>
      <c r="I363" s="73" t="b">
        <f t="shared" si="55"/>
        <v>0</v>
      </c>
      <c r="J363" s="72"/>
      <c r="K363" s="74"/>
      <c r="M363" s="99"/>
      <c r="N363" s="80" t="e">
        <f t="shared" si="59"/>
        <v>#N/A</v>
      </c>
      <c r="O363" s="76" t="e">
        <f t="shared" si="60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58"/>
        <v>#N/A</v>
      </c>
      <c r="H364" s="73" t="e">
        <f t="shared" si="61"/>
        <v>#N/A</v>
      </c>
      <c r="I364" s="73" t="b">
        <f t="shared" si="55"/>
        <v>0</v>
      </c>
      <c r="J364" s="72"/>
      <c r="K364" s="74"/>
      <c r="M364" s="99"/>
      <c r="N364" s="80" t="e">
        <f t="shared" si="59"/>
        <v>#N/A</v>
      </c>
      <c r="O364" s="80" t="e">
        <f t="shared" si="60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58"/>
        <v>#N/A</v>
      </c>
      <c r="H365" s="73" t="e">
        <f t="shared" si="61"/>
        <v>#N/A</v>
      </c>
      <c r="I365" s="73" t="b">
        <f t="shared" si="55"/>
        <v>0</v>
      </c>
      <c r="J365" s="72"/>
      <c r="K365" s="74"/>
      <c r="M365" s="99"/>
      <c r="N365" s="80" t="e">
        <f t="shared" si="59"/>
        <v>#N/A</v>
      </c>
      <c r="O365" s="80" t="e">
        <f t="shared" si="60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58"/>
        <v>#N/A</v>
      </c>
      <c r="H366" s="73" t="e">
        <f t="shared" si="61"/>
        <v>#N/A</v>
      </c>
      <c r="I366" s="73" t="b">
        <f t="shared" si="55"/>
        <v>0</v>
      </c>
      <c r="J366" s="72"/>
      <c r="K366" s="74"/>
      <c r="M366" s="99"/>
      <c r="N366" s="80" t="e">
        <f t="shared" si="59"/>
        <v>#N/A</v>
      </c>
      <c r="O366" s="80" t="e">
        <f t="shared" si="60"/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58"/>
        <v>#N/A</v>
      </c>
      <c r="H367" s="73" t="e">
        <f t="shared" si="61"/>
        <v>#N/A</v>
      </c>
      <c r="I367" s="73" t="b">
        <f t="shared" si="55"/>
        <v>0</v>
      </c>
      <c r="J367" s="72"/>
      <c r="K367" s="74"/>
      <c r="M367" s="99"/>
      <c r="N367" s="80" t="e">
        <f t="shared" si="59"/>
        <v>#N/A</v>
      </c>
      <c r="O367" s="80" t="e">
        <f t="shared" si="60"/>
        <v>#N/A</v>
      </c>
      <c r="P367" s="103"/>
    </row>
    <row r="368" spans="1:16" x14ac:dyDescent="0.25">
      <c r="A368" s="95"/>
      <c r="B368" s="72"/>
      <c r="C368" s="72"/>
      <c r="D368" s="72"/>
      <c r="E368" s="72"/>
      <c r="F368" s="72"/>
      <c r="G368" s="73" t="e">
        <f t="shared" si="58"/>
        <v>#N/A</v>
      </c>
      <c r="H368" s="73" t="e">
        <f t="shared" si="61"/>
        <v>#N/A</v>
      </c>
      <c r="I368" s="73" t="b">
        <f t="shared" si="55"/>
        <v>0</v>
      </c>
      <c r="J368" s="72"/>
      <c r="K368" s="74"/>
      <c r="M368" s="99"/>
      <c r="N368" s="80" t="e">
        <f t="shared" si="59"/>
        <v>#N/A</v>
      </c>
      <c r="O368" s="80" t="e">
        <f t="shared" si="60"/>
        <v>#N/A</v>
      </c>
      <c r="P368" s="103"/>
    </row>
    <row r="369" spans="1:16" x14ac:dyDescent="0.25">
      <c r="A369" s="95"/>
      <c r="B369" s="72"/>
      <c r="C369" s="72"/>
      <c r="D369" s="72"/>
      <c r="E369" s="72"/>
      <c r="F369" s="72"/>
      <c r="G369" s="73" t="e">
        <f t="shared" si="58"/>
        <v>#N/A</v>
      </c>
      <c r="H369" s="73" t="e">
        <f t="shared" si="61"/>
        <v>#N/A</v>
      </c>
      <c r="I369" s="73" t="b">
        <f t="shared" si="55"/>
        <v>0</v>
      </c>
      <c r="J369" s="72"/>
      <c r="K369" s="74"/>
      <c r="M369" s="99"/>
      <c r="N369" s="80" t="e">
        <f t="shared" si="59"/>
        <v>#N/A</v>
      </c>
      <c r="O369" s="80" t="e">
        <f t="shared" si="60"/>
        <v>#N/A</v>
      </c>
      <c r="P369" s="103"/>
    </row>
    <row r="370" spans="1:16" x14ac:dyDescent="0.25">
      <c r="A370" s="95"/>
      <c r="B370" s="72"/>
      <c r="C370" s="72"/>
      <c r="D370" s="72"/>
      <c r="E370" s="72"/>
      <c r="F370" s="72"/>
      <c r="G370" s="73" t="e">
        <f t="shared" si="58"/>
        <v>#N/A</v>
      </c>
      <c r="H370" s="73" t="e">
        <f t="shared" si="61"/>
        <v>#N/A</v>
      </c>
      <c r="I370" s="73" t="b">
        <f t="shared" si="55"/>
        <v>0</v>
      </c>
      <c r="J370" s="72"/>
      <c r="K370" s="74"/>
      <c r="M370" s="99"/>
      <c r="N370" s="80" t="e">
        <f t="shared" ref="N370:N372" si="62">VLOOKUP(M370,$S$3:$U$70,3,0)</f>
        <v>#N/A</v>
      </c>
      <c r="O370" s="80" t="e">
        <f t="shared" si="60"/>
        <v>#N/A</v>
      </c>
      <c r="P370" s="103"/>
    </row>
    <row r="371" spans="1:16" x14ac:dyDescent="0.25">
      <c r="A371" s="95"/>
      <c r="B371" s="72"/>
      <c r="C371" s="72"/>
      <c r="D371" s="72"/>
      <c r="E371" s="72"/>
      <c r="F371" s="72"/>
      <c r="G371" s="73" t="e">
        <f t="shared" si="58"/>
        <v>#N/A</v>
      </c>
      <c r="H371" s="73" t="e">
        <f t="shared" si="61"/>
        <v>#N/A</v>
      </c>
      <c r="I371" s="73" t="b">
        <f t="shared" si="55"/>
        <v>0</v>
      </c>
      <c r="J371" s="72"/>
      <c r="K371" s="74"/>
      <c r="M371" s="99"/>
      <c r="N371" s="80" t="e">
        <f t="shared" si="62"/>
        <v>#N/A</v>
      </c>
      <c r="O371" s="80" t="e">
        <f t="shared" si="60"/>
        <v>#N/A</v>
      </c>
      <c r="P371" s="103"/>
    </row>
    <row r="372" spans="1:16" x14ac:dyDescent="0.25">
      <c r="A372" s="95"/>
      <c r="B372" s="72"/>
      <c r="C372" s="72"/>
      <c r="D372" s="72"/>
      <c r="E372" s="72"/>
      <c r="F372" s="72"/>
      <c r="G372" s="73" t="e">
        <f t="shared" si="58"/>
        <v>#N/A</v>
      </c>
      <c r="H372" s="73" t="e">
        <f t="shared" si="61"/>
        <v>#N/A</v>
      </c>
      <c r="I372" s="73" t="b">
        <f t="shared" si="55"/>
        <v>0</v>
      </c>
      <c r="J372" s="72"/>
      <c r="K372" s="74"/>
      <c r="M372" s="85"/>
      <c r="N372" s="86" t="e">
        <f t="shared" si="62"/>
        <v>#N/A</v>
      </c>
      <c r="O372" s="86" t="e">
        <f t="shared" si="60"/>
        <v>#N/A</v>
      </c>
      <c r="P372" s="104"/>
    </row>
    <row r="373" spans="1:16" ht="15.75" x14ac:dyDescent="0.25">
      <c r="H373" s="88" t="e">
        <f>SUM(H3:H372)</f>
        <v>#N/A</v>
      </c>
      <c r="I373" s="88"/>
      <c r="O373" s="89" t="e">
        <f>SUM(O3:O372)</f>
        <v>#N/A</v>
      </c>
      <c r="P373" s="2"/>
    </row>
    <row r="374" spans="1:16" x14ac:dyDescent="0.25">
      <c r="P374" s="2"/>
    </row>
    <row r="375" spans="1:16" x14ac:dyDescent="0.25">
      <c r="P375" s="2"/>
    </row>
    <row r="376" spans="1:16" x14ac:dyDescent="0.25">
      <c r="P376" s="2"/>
    </row>
    <row r="377" spans="1:16" x14ac:dyDescent="0.25">
      <c r="P377" s="2"/>
    </row>
    <row r="378" spans="1:16" x14ac:dyDescent="0.25">
      <c r="P378" s="2"/>
    </row>
    <row r="379" spans="1:16" x14ac:dyDescent="0.25">
      <c r="P379" s="2"/>
    </row>
    <row r="380" spans="1:16" x14ac:dyDescent="0.25">
      <c r="P380" s="2"/>
    </row>
    <row r="381" spans="1:16" x14ac:dyDescent="0.25">
      <c r="P381" s="2"/>
    </row>
    <row r="382" spans="1:16" x14ac:dyDescent="0.25">
      <c r="P382" s="2"/>
    </row>
    <row r="383" spans="1:16" x14ac:dyDescent="0.25">
      <c r="P383" s="2"/>
    </row>
    <row r="384" spans="1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9"/>
  <sheetViews>
    <sheetView workbookViewId="0">
      <selection activeCell="D10" sqref="D10"/>
    </sheetView>
  </sheetViews>
  <sheetFormatPr defaultRowHeight="15" x14ac:dyDescent="0.25"/>
  <cols>
    <col min="1" max="1" width="25.42578125" bestFit="1" customWidth="1"/>
    <col min="2" max="2" width="16.28515625" bestFit="1" customWidth="1"/>
    <col min="3" max="3" width="21.42578125" bestFit="1" customWidth="1"/>
    <col min="4" max="4" width="57.14062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4.28515625" bestFit="1" customWidth="1"/>
    <col min="11" max="11" width="35.5703125" bestFit="1" customWidth="1"/>
    <col min="13" max="13" width="35.85546875" bestFit="1" customWidth="1"/>
    <col min="14" max="14" width="14.7109375" bestFit="1" customWidth="1"/>
    <col min="15" max="15" width="10.7109375" bestFit="1" customWidth="1"/>
    <col min="16" max="16" width="11.42578125" bestFit="1" customWidth="1"/>
    <col min="19" max="19" width="104" bestFit="1" customWidth="1"/>
    <col min="20" max="20" width="10.5703125" bestFit="1" customWidth="1"/>
    <col min="21" max="21" width="9.5703125" bestFit="1" customWidth="1"/>
    <col min="22" max="22" width="6.85546875" bestFit="1" customWidth="1"/>
    <col min="23" max="23" width="16.5703125" bestFit="1" customWidth="1"/>
    <col min="24" max="24" width="21.42578125" bestFit="1" customWidth="1"/>
    <col min="25" max="25" width="46.5703125" bestFit="1" customWidth="1"/>
    <col min="26" max="26" width="10.5703125" bestFit="1" customWidth="1"/>
    <col min="27" max="27" width="9.5703125" bestFit="1" customWidth="1"/>
    <col min="29" max="29" width="5.5703125" bestFit="1" customWidth="1"/>
    <col min="30" max="30" width="14.28515625" bestFit="1" customWidth="1"/>
    <col min="32" max="32" width="5.5703125" bestFit="1" customWidth="1"/>
  </cols>
  <sheetData>
    <row r="1" spans="1:32" ht="21" x14ac:dyDescent="0.35">
      <c r="A1" s="53" t="s">
        <v>864</v>
      </c>
      <c r="B1" s="53"/>
      <c r="C1" s="53"/>
      <c r="D1" s="53"/>
      <c r="E1" s="53"/>
      <c r="F1" s="54"/>
      <c r="G1" s="54" t="s">
        <v>66</v>
      </c>
      <c r="H1" s="55">
        <f>SUM(H3:H285)</f>
        <v>11874.5</v>
      </c>
      <c r="I1" s="55">
        <f>SUM(I3:I367)</f>
        <v>11628.4874375</v>
      </c>
      <c r="J1" s="54"/>
      <c r="K1" s="56"/>
      <c r="M1" s="57"/>
      <c r="N1" s="58"/>
      <c r="O1" s="105">
        <f>SUM(O3:O275)</f>
        <v>2024.05</v>
      </c>
      <c r="P1" s="59"/>
    </row>
    <row r="2" spans="1:32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4"/>
      <c r="S2" s="68"/>
      <c r="T2" s="68"/>
      <c r="U2" s="68"/>
      <c r="V2" s="93"/>
      <c r="W2" s="93"/>
      <c r="X2" s="93"/>
      <c r="Y2" s="93"/>
      <c r="Z2" s="94"/>
      <c r="AA2" s="93"/>
      <c r="AB2" s="93"/>
      <c r="AC2" s="93"/>
      <c r="AD2" s="70"/>
      <c r="AE2" s="70"/>
      <c r="AF2" s="70"/>
    </row>
    <row r="3" spans="1:32" x14ac:dyDescent="0.25">
      <c r="A3" s="95">
        <v>45597</v>
      </c>
      <c r="B3" s="72" t="s">
        <v>554</v>
      </c>
      <c r="C3" s="72" t="s">
        <v>8</v>
      </c>
      <c r="D3" s="72" t="s">
        <v>22</v>
      </c>
      <c r="E3" s="72" t="s">
        <v>82</v>
      </c>
      <c r="F3" s="72">
        <v>2</v>
      </c>
      <c r="G3" s="73">
        <f t="shared" ref="G3:G9" si="0">VLOOKUP(D3,$S$3:$T$70,2,0)</f>
        <v>30</v>
      </c>
      <c r="H3" s="73">
        <f t="shared" ref="H3:H34" si="1">F3*G3</f>
        <v>60</v>
      </c>
      <c r="I3" s="73">
        <f t="shared" ref="I3:I34" si="2">IF(J3="Master Debito",H3-(H3*$AC$5),IF(J3="Master Credito",H3-(H3*$AC$6), IF(J3="Visa Debito",H3-(H3*$AC$7), IF(J3="Visa Credito", H3-(H3*$AC$8), IF(J3="Elo Debito", H3-(H3*$AC$9), IF(J3="Elo Credito", H3-(H3*$AC$10), IF(J3="Pix", H3-(H3*$AC$11), IF(J3="Dinheiro (R$)", H3-(H3*$AC$12)))))))))</f>
        <v>60</v>
      </c>
      <c r="J3" s="72" t="s">
        <v>83</v>
      </c>
      <c r="K3" s="74"/>
      <c r="M3" s="96"/>
      <c r="N3" s="76" t="e">
        <f t="shared" ref="N3:N34" si="3">VLOOKUP(M3,$S$3:$U$70,3,0)</f>
        <v>#N/A</v>
      </c>
      <c r="O3" s="76"/>
      <c r="P3" s="77"/>
      <c r="S3" s="50" t="s">
        <v>18</v>
      </c>
      <c r="T3" s="52">
        <v>40</v>
      </c>
      <c r="U3" s="52">
        <f t="shared" ref="U3:U31" si="4">T3*0.4</f>
        <v>16</v>
      </c>
      <c r="V3" s="90" t="s">
        <v>56</v>
      </c>
      <c r="W3" s="90" t="s">
        <v>79</v>
      </c>
      <c r="X3" s="90" t="s">
        <v>8</v>
      </c>
      <c r="Y3" s="91" t="s">
        <v>80</v>
      </c>
      <c r="Z3" s="98">
        <v>40</v>
      </c>
      <c r="AA3" s="92">
        <f t="shared" ref="AA3:AA34" si="5">Z3*0.4</f>
        <v>16</v>
      </c>
      <c r="AB3" s="92"/>
    </row>
    <row r="4" spans="1:32" x14ac:dyDescent="0.25">
      <c r="A4" s="95">
        <v>45597</v>
      </c>
      <c r="B4" s="72" t="s">
        <v>818</v>
      </c>
      <c r="C4" s="72" t="s">
        <v>8</v>
      </c>
      <c r="D4" s="72" t="s">
        <v>18</v>
      </c>
      <c r="E4" s="72" t="s">
        <v>56</v>
      </c>
      <c r="F4" s="72">
        <v>1</v>
      </c>
      <c r="G4" s="73">
        <f t="shared" si="0"/>
        <v>40</v>
      </c>
      <c r="H4" s="73">
        <f t="shared" si="1"/>
        <v>40</v>
      </c>
      <c r="I4" s="73">
        <f t="shared" si="2"/>
        <v>38.14</v>
      </c>
      <c r="J4" s="72" t="s">
        <v>865</v>
      </c>
      <c r="K4" s="74"/>
      <c r="M4" s="79" t="s">
        <v>18</v>
      </c>
      <c r="N4" s="76">
        <f t="shared" si="3"/>
        <v>16</v>
      </c>
      <c r="O4" s="76">
        <f>N4*F4</f>
        <v>16</v>
      </c>
      <c r="P4" s="81" t="s">
        <v>56</v>
      </c>
      <c r="S4" s="50" t="s">
        <v>19</v>
      </c>
      <c r="T4" s="52">
        <v>40</v>
      </c>
      <c r="U4" s="52">
        <f t="shared" si="4"/>
        <v>16</v>
      </c>
      <c r="V4" s="90" t="s">
        <v>82</v>
      </c>
      <c r="W4" s="90" t="s">
        <v>83</v>
      </c>
      <c r="X4" s="90" t="s">
        <v>9</v>
      </c>
      <c r="Y4" s="101" t="s">
        <v>84</v>
      </c>
      <c r="Z4" s="98">
        <v>40</v>
      </c>
      <c r="AA4" s="92">
        <f t="shared" si="5"/>
        <v>16</v>
      </c>
      <c r="AB4" s="92"/>
    </row>
    <row r="5" spans="1:32" x14ac:dyDescent="0.25">
      <c r="A5" s="95">
        <v>45597</v>
      </c>
      <c r="B5" s="72" t="s">
        <v>818</v>
      </c>
      <c r="C5" s="72" t="s">
        <v>8</v>
      </c>
      <c r="D5" s="72" t="s">
        <v>600</v>
      </c>
      <c r="E5" s="72" t="s">
        <v>56</v>
      </c>
      <c r="F5" s="72">
        <v>1</v>
      </c>
      <c r="G5" s="73">
        <f t="shared" si="0"/>
        <v>50</v>
      </c>
      <c r="H5" s="73">
        <f t="shared" si="1"/>
        <v>50</v>
      </c>
      <c r="I5" s="73">
        <f t="shared" si="2"/>
        <v>47.674999999999997</v>
      </c>
      <c r="J5" s="72" t="s">
        <v>865</v>
      </c>
      <c r="K5" s="74"/>
      <c r="M5" s="79" t="s">
        <v>600</v>
      </c>
      <c r="N5" s="76">
        <f t="shared" si="3"/>
        <v>20</v>
      </c>
      <c r="O5" s="76">
        <f>N5*F5</f>
        <v>20</v>
      </c>
      <c r="P5" s="81" t="s">
        <v>56</v>
      </c>
      <c r="S5" s="50" t="s">
        <v>22</v>
      </c>
      <c r="T5" s="52">
        <v>30</v>
      </c>
      <c r="U5" s="52">
        <f t="shared" si="4"/>
        <v>12</v>
      </c>
      <c r="W5" s="90" t="s">
        <v>78</v>
      </c>
      <c r="X5" s="90" t="s">
        <v>10</v>
      </c>
      <c r="Y5" s="91" t="s">
        <v>87</v>
      </c>
      <c r="Z5" s="92">
        <v>39.043999999999997</v>
      </c>
      <c r="AA5" s="92">
        <f t="shared" si="5"/>
        <v>15.617599999999999</v>
      </c>
      <c r="AB5" s="92"/>
      <c r="AC5" s="108">
        <v>2.1000000000000001E-2</v>
      </c>
      <c r="AD5" s="50" t="s">
        <v>866</v>
      </c>
    </row>
    <row r="6" spans="1:32" x14ac:dyDescent="0.25">
      <c r="A6" s="95">
        <v>45597</v>
      </c>
      <c r="B6" s="72" t="s">
        <v>576</v>
      </c>
      <c r="C6" s="72" t="s">
        <v>8</v>
      </c>
      <c r="D6" s="72" t="s">
        <v>18</v>
      </c>
      <c r="E6" s="72" t="s">
        <v>56</v>
      </c>
      <c r="F6" s="72">
        <v>1</v>
      </c>
      <c r="G6" s="73">
        <f t="shared" si="0"/>
        <v>40</v>
      </c>
      <c r="H6" s="73">
        <f t="shared" si="1"/>
        <v>40</v>
      </c>
      <c r="I6" s="73">
        <f t="shared" si="2"/>
        <v>38.14</v>
      </c>
      <c r="J6" s="72" t="s">
        <v>865</v>
      </c>
      <c r="K6" s="74"/>
      <c r="M6" s="79" t="s">
        <v>18</v>
      </c>
      <c r="N6" s="76">
        <f t="shared" si="3"/>
        <v>16</v>
      </c>
      <c r="O6" s="76">
        <f>N6*F6</f>
        <v>16</v>
      </c>
      <c r="P6" s="81" t="s">
        <v>56</v>
      </c>
      <c r="S6" s="50" t="s">
        <v>23</v>
      </c>
      <c r="T6" s="52">
        <v>5</v>
      </c>
      <c r="U6" s="52">
        <f t="shared" si="4"/>
        <v>2</v>
      </c>
      <c r="W6" s="90" t="s">
        <v>86</v>
      </c>
      <c r="Y6" s="91" t="s">
        <v>90</v>
      </c>
      <c r="Z6" s="92">
        <v>38.003999999999998</v>
      </c>
      <c r="AA6" s="92">
        <f t="shared" si="5"/>
        <v>15.201599999999999</v>
      </c>
      <c r="AB6" s="92"/>
      <c r="AC6" s="108">
        <v>0.05</v>
      </c>
      <c r="AD6" s="50" t="s">
        <v>867</v>
      </c>
      <c r="AF6" s="108">
        <v>5.2631600000000001E-2</v>
      </c>
    </row>
    <row r="7" spans="1:32" x14ac:dyDescent="0.25">
      <c r="A7" s="95">
        <v>45597</v>
      </c>
      <c r="B7" s="72" t="s">
        <v>822</v>
      </c>
      <c r="C7" s="72" t="s">
        <v>10</v>
      </c>
      <c r="D7" s="72" t="s">
        <v>18</v>
      </c>
      <c r="E7" s="72" t="s">
        <v>56</v>
      </c>
      <c r="F7" s="72">
        <v>1</v>
      </c>
      <c r="G7" s="73">
        <f t="shared" si="0"/>
        <v>40</v>
      </c>
      <c r="H7" s="73">
        <f t="shared" si="1"/>
        <v>40</v>
      </c>
      <c r="I7" s="73">
        <f t="shared" si="2"/>
        <v>39.159999999999997</v>
      </c>
      <c r="J7" s="72" t="s">
        <v>866</v>
      </c>
      <c r="K7" s="74"/>
      <c r="M7" s="79" t="s">
        <v>18</v>
      </c>
      <c r="N7" s="76">
        <f t="shared" si="3"/>
        <v>16</v>
      </c>
      <c r="O7" s="76">
        <f>N7*F7</f>
        <v>16</v>
      </c>
      <c r="P7" s="81" t="s">
        <v>56</v>
      </c>
      <c r="S7" s="50" t="s">
        <v>24</v>
      </c>
      <c r="T7" s="52">
        <v>10</v>
      </c>
      <c r="U7" s="52">
        <f t="shared" si="4"/>
        <v>4</v>
      </c>
      <c r="Y7" s="91" t="s">
        <v>93</v>
      </c>
      <c r="Z7" s="92">
        <v>40</v>
      </c>
      <c r="AA7" s="92">
        <f t="shared" si="5"/>
        <v>16</v>
      </c>
      <c r="AB7" s="92"/>
      <c r="AC7" s="108">
        <v>2.0875000000000001E-2</v>
      </c>
      <c r="AD7" s="50" t="s">
        <v>868</v>
      </c>
    </row>
    <row r="8" spans="1:32" x14ac:dyDescent="0.25">
      <c r="A8" s="95">
        <v>45597</v>
      </c>
      <c r="B8" s="72" t="s">
        <v>820</v>
      </c>
      <c r="C8" s="72" t="s">
        <v>8</v>
      </c>
      <c r="D8" s="72" t="s">
        <v>17</v>
      </c>
      <c r="E8" s="72" t="s">
        <v>82</v>
      </c>
      <c r="F8" s="72">
        <v>2</v>
      </c>
      <c r="G8" s="73">
        <f t="shared" si="0"/>
        <v>50</v>
      </c>
      <c r="H8" s="73">
        <f t="shared" si="1"/>
        <v>100</v>
      </c>
      <c r="I8" s="73">
        <f t="shared" si="2"/>
        <v>100</v>
      </c>
      <c r="J8" s="72" t="s">
        <v>83</v>
      </c>
      <c r="K8" s="74"/>
      <c r="M8" s="79"/>
      <c r="N8" s="76" t="e">
        <f t="shared" si="3"/>
        <v>#N/A</v>
      </c>
      <c r="O8" s="76"/>
      <c r="P8" s="81"/>
      <c r="S8" s="50" t="s">
        <v>21</v>
      </c>
      <c r="T8" s="52">
        <v>10</v>
      </c>
      <c r="U8" s="52">
        <f t="shared" si="4"/>
        <v>4</v>
      </c>
      <c r="Y8" s="91" t="s">
        <v>95</v>
      </c>
      <c r="Z8" s="92">
        <v>40</v>
      </c>
      <c r="AA8" s="92">
        <f t="shared" si="5"/>
        <v>16</v>
      </c>
      <c r="AB8" s="92"/>
      <c r="AC8" s="108">
        <v>4.65E-2</v>
      </c>
      <c r="AD8" s="50" t="s">
        <v>865</v>
      </c>
    </row>
    <row r="9" spans="1:32" x14ac:dyDescent="0.25">
      <c r="A9" s="95">
        <v>45597</v>
      </c>
      <c r="B9" s="72" t="s">
        <v>820</v>
      </c>
      <c r="C9" s="72" t="s">
        <v>8</v>
      </c>
      <c r="D9" s="72" t="s">
        <v>23</v>
      </c>
      <c r="E9" s="72" t="s">
        <v>82</v>
      </c>
      <c r="F9" s="72">
        <v>1</v>
      </c>
      <c r="G9" s="73">
        <f t="shared" si="0"/>
        <v>5</v>
      </c>
      <c r="H9" s="73">
        <f t="shared" si="1"/>
        <v>5</v>
      </c>
      <c r="I9" s="73">
        <f t="shared" si="2"/>
        <v>5</v>
      </c>
      <c r="J9" s="72" t="s">
        <v>83</v>
      </c>
      <c r="K9" s="74"/>
      <c r="M9" s="79"/>
      <c r="N9" s="76" t="e">
        <f t="shared" si="3"/>
        <v>#N/A</v>
      </c>
      <c r="O9" s="76"/>
      <c r="P9" s="81"/>
      <c r="S9" s="50" t="s">
        <v>42</v>
      </c>
      <c r="T9" s="52">
        <v>20</v>
      </c>
      <c r="U9" s="52">
        <f t="shared" si="4"/>
        <v>8</v>
      </c>
      <c r="Y9" s="91" t="s">
        <v>98</v>
      </c>
      <c r="Z9" s="92">
        <v>39.043999999999997</v>
      </c>
      <c r="AA9" s="92">
        <f t="shared" si="5"/>
        <v>15.617599999999999</v>
      </c>
      <c r="AB9" s="92"/>
      <c r="AC9" s="108">
        <v>2.4E-2</v>
      </c>
      <c r="AD9" s="50" t="s">
        <v>869</v>
      </c>
    </row>
    <row r="10" spans="1:32" x14ac:dyDescent="0.25">
      <c r="A10" s="95">
        <v>45597</v>
      </c>
      <c r="B10" s="72" t="s">
        <v>200</v>
      </c>
      <c r="C10" s="72" t="s">
        <v>8</v>
      </c>
      <c r="D10" s="72" t="s">
        <v>19</v>
      </c>
      <c r="E10" s="72" t="s">
        <v>82</v>
      </c>
      <c r="F10" s="72">
        <v>1</v>
      </c>
      <c r="G10" s="73">
        <v>30</v>
      </c>
      <c r="H10" s="73">
        <f t="shared" si="1"/>
        <v>30</v>
      </c>
      <c r="I10" s="73">
        <f t="shared" si="2"/>
        <v>30</v>
      </c>
      <c r="J10" s="72" t="s">
        <v>83</v>
      </c>
      <c r="K10" s="74"/>
      <c r="M10" s="79"/>
      <c r="N10" s="76" t="e">
        <f t="shared" si="3"/>
        <v>#N/A</v>
      </c>
      <c r="O10" s="76"/>
      <c r="P10" s="81"/>
      <c r="S10" s="50" t="s">
        <v>99</v>
      </c>
      <c r="T10" s="52">
        <v>40</v>
      </c>
      <c r="U10" s="52">
        <f t="shared" si="4"/>
        <v>16</v>
      </c>
      <c r="Y10" s="91" t="s">
        <v>100</v>
      </c>
      <c r="Z10" s="92">
        <v>38.003999999999998</v>
      </c>
      <c r="AA10" s="92">
        <f t="shared" si="5"/>
        <v>15.201599999999999</v>
      </c>
      <c r="AB10" s="92"/>
      <c r="AC10" s="108">
        <v>4.7750000000000001E-2</v>
      </c>
      <c r="AD10" s="50" t="s">
        <v>870</v>
      </c>
    </row>
    <row r="11" spans="1:32" x14ac:dyDescent="0.25">
      <c r="A11" s="95">
        <v>45597</v>
      </c>
      <c r="B11" s="72" t="s">
        <v>200</v>
      </c>
      <c r="C11" s="72" t="s">
        <v>8</v>
      </c>
      <c r="D11" s="72" t="s">
        <v>766</v>
      </c>
      <c r="E11" s="72" t="s">
        <v>82</v>
      </c>
      <c r="F11" s="72">
        <v>1</v>
      </c>
      <c r="G11" s="73">
        <v>4</v>
      </c>
      <c r="H11" s="73">
        <f t="shared" si="1"/>
        <v>4</v>
      </c>
      <c r="I11" s="73">
        <f t="shared" si="2"/>
        <v>4</v>
      </c>
      <c r="J11" s="72" t="s">
        <v>83</v>
      </c>
      <c r="K11" s="74"/>
      <c r="M11" s="79"/>
      <c r="N11" s="76" t="e">
        <f t="shared" si="3"/>
        <v>#N/A</v>
      </c>
      <c r="O11" s="76"/>
      <c r="P11" s="81"/>
      <c r="S11" s="50" t="s">
        <v>13</v>
      </c>
      <c r="T11" s="52">
        <v>30</v>
      </c>
      <c r="U11" s="52">
        <f t="shared" si="4"/>
        <v>12</v>
      </c>
      <c r="Y11" s="91" t="s">
        <v>102</v>
      </c>
      <c r="Z11" s="92">
        <v>30</v>
      </c>
      <c r="AA11" s="92">
        <f t="shared" si="5"/>
        <v>12</v>
      </c>
      <c r="AB11" s="92"/>
      <c r="AC11" s="108">
        <v>0</v>
      </c>
      <c r="AD11" s="50" t="s">
        <v>83</v>
      </c>
    </row>
    <row r="12" spans="1:32" x14ac:dyDescent="0.25">
      <c r="A12" s="95">
        <v>45597</v>
      </c>
      <c r="B12" s="72" t="s">
        <v>794</v>
      </c>
      <c r="C12" s="72" t="s">
        <v>8</v>
      </c>
      <c r="D12" s="72" t="s">
        <v>18</v>
      </c>
      <c r="E12" s="72" t="s">
        <v>56</v>
      </c>
      <c r="F12" s="72">
        <v>1</v>
      </c>
      <c r="G12" s="73">
        <f t="shared" ref="G12:G31" si="6">VLOOKUP(D12,$S$3:$T$70,2,0)</f>
        <v>40</v>
      </c>
      <c r="H12" s="73">
        <f t="shared" si="1"/>
        <v>40</v>
      </c>
      <c r="I12" s="73">
        <f t="shared" si="2"/>
        <v>38</v>
      </c>
      <c r="J12" s="72" t="s">
        <v>867</v>
      </c>
      <c r="K12" s="74"/>
      <c r="M12" s="79" t="s">
        <v>18</v>
      </c>
      <c r="N12" s="76">
        <f t="shared" si="3"/>
        <v>16</v>
      </c>
      <c r="O12" s="76">
        <f>N12*F12</f>
        <v>16</v>
      </c>
      <c r="P12" s="81" t="s">
        <v>56</v>
      </c>
      <c r="S12" s="50" t="s">
        <v>104</v>
      </c>
      <c r="T12" s="52">
        <v>60</v>
      </c>
      <c r="U12" s="52">
        <f t="shared" si="4"/>
        <v>24</v>
      </c>
      <c r="Y12" s="91" t="s">
        <v>105</v>
      </c>
      <c r="Z12" s="92">
        <v>30</v>
      </c>
      <c r="AA12" s="92">
        <f t="shared" si="5"/>
        <v>12</v>
      </c>
      <c r="AB12" s="92"/>
      <c r="AC12" s="108">
        <v>0</v>
      </c>
      <c r="AD12" s="50" t="s">
        <v>79</v>
      </c>
    </row>
    <row r="13" spans="1:32" x14ac:dyDescent="0.25">
      <c r="A13" s="95">
        <v>45597</v>
      </c>
      <c r="B13" s="72" t="s">
        <v>414</v>
      </c>
      <c r="C13" s="72" t="s">
        <v>8</v>
      </c>
      <c r="D13" s="72" t="s">
        <v>18</v>
      </c>
      <c r="E13" s="72" t="s">
        <v>56</v>
      </c>
      <c r="F13" s="72">
        <v>1</v>
      </c>
      <c r="G13" s="73">
        <f t="shared" si="6"/>
        <v>40</v>
      </c>
      <c r="H13" s="73">
        <f t="shared" si="1"/>
        <v>40</v>
      </c>
      <c r="I13" s="73">
        <f t="shared" si="2"/>
        <v>39.164999999999999</v>
      </c>
      <c r="J13" s="72" t="s">
        <v>868</v>
      </c>
      <c r="K13" s="74"/>
      <c r="M13" s="79" t="s">
        <v>18</v>
      </c>
      <c r="N13" s="76">
        <f t="shared" si="3"/>
        <v>16</v>
      </c>
      <c r="O13" s="76">
        <f>N13*F13</f>
        <v>16</v>
      </c>
      <c r="P13" s="81" t="s">
        <v>56</v>
      </c>
      <c r="S13" s="50" t="s">
        <v>106</v>
      </c>
      <c r="T13" s="52">
        <v>15</v>
      </c>
      <c r="U13" s="52">
        <f t="shared" si="4"/>
        <v>6</v>
      </c>
      <c r="Y13" s="91" t="s">
        <v>107</v>
      </c>
      <c r="Z13" s="92">
        <v>29.283000000000001</v>
      </c>
      <c r="AA13" s="92">
        <f t="shared" si="5"/>
        <v>11.713200000000001</v>
      </c>
      <c r="AB13" s="92"/>
    </row>
    <row r="14" spans="1:32" x14ac:dyDescent="0.25">
      <c r="A14" s="95">
        <v>45597</v>
      </c>
      <c r="B14" s="72" t="s">
        <v>283</v>
      </c>
      <c r="C14" s="72" t="s">
        <v>8</v>
      </c>
      <c r="D14" s="72" t="s">
        <v>20</v>
      </c>
      <c r="E14" s="72" t="s">
        <v>82</v>
      </c>
      <c r="F14" s="72">
        <v>1</v>
      </c>
      <c r="G14" s="73">
        <f t="shared" si="6"/>
        <v>15</v>
      </c>
      <c r="H14" s="73">
        <f t="shared" si="1"/>
        <v>15</v>
      </c>
      <c r="I14" s="73">
        <f t="shared" si="2"/>
        <v>14.686875000000001</v>
      </c>
      <c r="J14" s="72" t="s">
        <v>868</v>
      </c>
      <c r="K14" s="74"/>
      <c r="M14" s="79"/>
      <c r="N14" s="76" t="e">
        <f t="shared" si="3"/>
        <v>#N/A</v>
      </c>
      <c r="O14" s="76"/>
      <c r="P14" s="81"/>
      <c r="S14" s="50" t="s">
        <v>15</v>
      </c>
      <c r="T14" s="52">
        <v>70</v>
      </c>
      <c r="U14" s="52">
        <f t="shared" si="4"/>
        <v>28</v>
      </c>
      <c r="Y14" s="91" t="s">
        <v>108</v>
      </c>
      <c r="Z14" s="92">
        <v>28.503</v>
      </c>
      <c r="AA14" s="92">
        <f t="shared" si="5"/>
        <v>11.401200000000001</v>
      </c>
      <c r="AB14" s="92"/>
    </row>
    <row r="15" spans="1:32" x14ac:dyDescent="0.25">
      <c r="A15" s="95">
        <v>45597</v>
      </c>
      <c r="B15" s="72" t="s">
        <v>871</v>
      </c>
      <c r="C15" s="72" t="s">
        <v>8</v>
      </c>
      <c r="D15" s="72" t="s">
        <v>16</v>
      </c>
      <c r="E15" s="72" t="s">
        <v>82</v>
      </c>
      <c r="F15" s="72">
        <v>1</v>
      </c>
      <c r="G15" s="73">
        <f t="shared" si="6"/>
        <v>80</v>
      </c>
      <c r="H15" s="73">
        <f t="shared" si="1"/>
        <v>80</v>
      </c>
      <c r="I15" s="73">
        <f t="shared" si="2"/>
        <v>80</v>
      </c>
      <c r="J15" s="72" t="s">
        <v>83</v>
      </c>
      <c r="K15" s="74"/>
      <c r="M15" s="79"/>
      <c r="N15" s="76" t="e">
        <f t="shared" si="3"/>
        <v>#N/A</v>
      </c>
      <c r="O15" s="76"/>
      <c r="P15" s="81"/>
      <c r="S15" s="50" t="s">
        <v>40</v>
      </c>
      <c r="T15" s="52">
        <v>45</v>
      </c>
      <c r="U15" s="52">
        <f t="shared" si="4"/>
        <v>18</v>
      </c>
      <c r="Y15" s="91" t="s">
        <v>110</v>
      </c>
      <c r="Z15" s="92">
        <v>5</v>
      </c>
      <c r="AA15" s="92">
        <f t="shared" si="5"/>
        <v>2</v>
      </c>
      <c r="AB15" s="92"/>
    </row>
    <row r="16" spans="1:32" x14ac:dyDescent="0.25">
      <c r="A16" s="95">
        <v>45597</v>
      </c>
      <c r="B16" s="72" t="s">
        <v>871</v>
      </c>
      <c r="C16" s="72" t="s">
        <v>8</v>
      </c>
      <c r="D16" s="72" t="s">
        <v>23</v>
      </c>
      <c r="E16" s="72" t="s">
        <v>82</v>
      </c>
      <c r="F16" s="72">
        <v>1</v>
      </c>
      <c r="G16" s="73">
        <f t="shared" si="6"/>
        <v>5</v>
      </c>
      <c r="H16" s="73">
        <f t="shared" si="1"/>
        <v>5</v>
      </c>
      <c r="I16" s="73">
        <f t="shared" si="2"/>
        <v>5</v>
      </c>
      <c r="J16" s="72" t="s">
        <v>83</v>
      </c>
      <c r="K16" s="74"/>
      <c r="M16" s="79"/>
      <c r="N16" s="76" t="e">
        <f t="shared" si="3"/>
        <v>#N/A</v>
      </c>
      <c r="O16" s="76"/>
      <c r="P16" s="81"/>
      <c r="S16" s="50" t="s">
        <v>17</v>
      </c>
      <c r="T16" s="52">
        <v>50</v>
      </c>
      <c r="U16" s="52">
        <f t="shared" si="4"/>
        <v>20</v>
      </c>
      <c r="Y16" s="91" t="s">
        <v>113</v>
      </c>
      <c r="Z16" s="92">
        <v>5</v>
      </c>
      <c r="AA16" s="92">
        <f t="shared" si="5"/>
        <v>2</v>
      </c>
      <c r="AB16" s="92"/>
    </row>
    <row r="17" spans="1:28" x14ac:dyDescent="0.25">
      <c r="A17" s="95">
        <v>45598</v>
      </c>
      <c r="B17" s="72" t="s">
        <v>872</v>
      </c>
      <c r="C17" s="72" t="s">
        <v>8</v>
      </c>
      <c r="D17" s="72" t="s">
        <v>18</v>
      </c>
      <c r="E17" s="72" t="s">
        <v>56</v>
      </c>
      <c r="F17" s="72">
        <v>1</v>
      </c>
      <c r="G17" s="73">
        <f t="shared" si="6"/>
        <v>40</v>
      </c>
      <c r="H17" s="73">
        <f t="shared" si="1"/>
        <v>40</v>
      </c>
      <c r="I17" s="73">
        <f t="shared" si="2"/>
        <v>40</v>
      </c>
      <c r="J17" s="72" t="s">
        <v>83</v>
      </c>
      <c r="K17" s="74"/>
      <c r="M17" s="79" t="s">
        <v>18</v>
      </c>
      <c r="N17" s="76">
        <f t="shared" si="3"/>
        <v>16</v>
      </c>
      <c r="O17" s="76">
        <f>N17*F17</f>
        <v>16</v>
      </c>
      <c r="P17" s="81" t="s">
        <v>56</v>
      </c>
      <c r="S17" s="50" t="s">
        <v>112</v>
      </c>
      <c r="T17" s="52">
        <v>75</v>
      </c>
      <c r="U17" s="52">
        <f t="shared" si="4"/>
        <v>30</v>
      </c>
      <c r="Y17" s="91" t="s">
        <v>115</v>
      </c>
      <c r="Z17" s="92">
        <v>4.8804999999999996</v>
      </c>
      <c r="AA17" s="92">
        <f t="shared" si="5"/>
        <v>1.9521999999999999</v>
      </c>
      <c r="AB17" s="92"/>
    </row>
    <row r="18" spans="1:28" x14ac:dyDescent="0.25">
      <c r="A18" s="95">
        <v>45598</v>
      </c>
      <c r="B18" s="72" t="s">
        <v>236</v>
      </c>
      <c r="C18" s="72" t="s">
        <v>8</v>
      </c>
      <c r="D18" s="72" t="s">
        <v>17</v>
      </c>
      <c r="E18" s="72" t="s">
        <v>56</v>
      </c>
      <c r="F18" s="72">
        <v>1</v>
      </c>
      <c r="G18" s="73">
        <f t="shared" si="6"/>
        <v>50</v>
      </c>
      <c r="H18" s="73">
        <f t="shared" si="1"/>
        <v>50</v>
      </c>
      <c r="I18" s="73">
        <f t="shared" si="2"/>
        <v>48.95</v>
      </c>
      <c r="J18" s="72" t="s">
        <v>866</v>
      </c>
      <c r="K18" s="74"/>
      <c r="M18" s="79" t="s">
        <v>17</v>
      </c>
      <c r="N18" s="76">
        <f t="shared" si="3"/>
        <v>20</v>
      </c>
      <c r="O18" s="76">
        <f>N18*F18</f>
        <v>20</v>
      </c>
      <c r="P18" s="81" t="s">
        <v>56</v>
      </c>
      <c r="S18" s="50" t="s">
        <v>14</v>
      </c>
      <c r="T18" s="52">
        <v>55</v>
      </c>
      <c r="U18" s="52">
        <f t="shared" si="4"/>
        <v>22</v>
      </c>
      <c r="Y18" s="91" t="s">
        <v>117</v>
      </c>
      <c r="Z18" s="92">
        <v>4.7504999999999997</v>
      </c>
      <c r="AA18" s="92">
        <f t="shared" si="5"/>
        <v>1.9001999999999999</v>
      </c>
    </row>
    <row r="19" spans="1:28" x14ac:dyDescent="0.25">
      <c r="A19" s="95">
        <v>45598</v>
      </c>
      <c r="B19" s="72" t="s">
        <v>873</v>
      </c>
      <c r="C19" s="72" t="s">
        <v>8</v>
      </c>
      <c r="D19" s="72" t="s">
        <v>18</v>
      </c>
      <c r="E19" s="72" t="s">
        <v>82</v>
      </c>
      <c r="F19" s="72">
        <v>1</v>
      </c>
      <c r="G19" s="73">
        <f t="shared" si="6"/>
        <v>40</v>
      </c>
      <c r="H19" s="73">
        <f t="shared" si="1"/>
        <v>40</v>
      </c>
      <c r="I19" s="73">
        <f t="shared" si="2"/>
        <v>38.14</v>
      </c>
      <c r="J19" s="72" t="s">
        <v>865</v>
      </c>
      <c r="K19" s="74"/>
      <c r="M19" s="79"/>
      <c r="N19" s="76" t="e">
        <f t="shared" si="3"/>
        <v>#N/A</v>
      </c>
      <c r="O19" s="76"/>
      <c r="P19" s="81"/>
      <c r="S19" s="50" t="s">
        <v>58</v>
      </c>
      <c r="T19" s="52">
        <v>100</v>
      </c>
      <c r="U19" s="52">
        <f t="shared" si="4"/>
        <v>40</v>
      </c>
      <c r="Y19" s="91" t="s">
        <v>119</v>
      </c>
      <c r="Z19" s="92">
        <v>10</v>
      </c>
      <c r="AA19" s="92">
        <f t="shared" si="5"/>
        <v>4</v>
      </c>
    </row>
    <row r="20" spans="1:28" x14ac:dyDescent="0.25">
      <c r="A20" s="95">
        <v>45598</v>
      </c>
      <c r="B20" s="72" t="s">
        <v>558</v>
      </c>
      <c r="C20" s="72" t="s">
        <v>8</v>
      </c>
      <c r="D20" s="72" t="s">
        <v>17</v>
      </c>
      <c r="E20" s="72" t="s">
        <v>82</v>
      </c>
      <c r="F20" s="72">
        <v>1</v>
      </c>
      <c r="G20" s="73">
        <f t="shared" si="6"/>
        <v>50</v>
      </c>
      <c r="H20" s="73">
        <f t="shared" si="1"/>
        <v>50</v>
      </c>
      <c r="I20" s="73">
        <f t="shared" si="2"/>
        <v>47.5</v>
      </c>
      <c r="J20" s="72" t="s">
        <v>867</v>
      </c>
      <c r="K20" s="74"/>
      <c r="M20" s="79"/>
      <c r="N20" s="76" t="e">
        <f t="shared" si="3"/>
        <v>#N/A</v>
      </c>
      <c r="O20" s="76"/>
      <c r="P20" s="81"/>
      <c r="S20" s="50" t="s">
        <v>30</v>
      </c>
      <c r="T20" s="52">
        <v>90</v>
      </c>
      <c r="U20" s="52">
        <f t="shared" si="4"/>
        <v>36</v>
      </c>
      <c r="Y20" s="91" t="s">
        <v>122</v>
      </c>
      <c r="Z20" s="92">
        <v>10</v>
      </c>
      <c r="AA20" s="92">
        <f t="shared" si="5"/>
        <v>4</v>
      </c>
    </row>
    <row r="21" spans="1:28" x14ac:dyDescent="0.25">
      <c r="A21" s="95">
        <v>45598</v>
      </c>
      <c r="B21" s="72" t="s">
        <v>839</v>
      </c>
      <c r="C21" s="72" t="s">
        <v>8</v>
      </c>
      <c r="D21" s="72" t="s">
        <v>18</v>
      </c>
      <c r="E21" s="72" t="s">
        <v>82</v>
      </c>
      <c r="F21" s="72">
        <v>1</v>
      </c>
      <c r="G21" s="73">
        <f t="shared" si="6"/>
        <v>40</v>
      </c>
      <c r="H21" s="73">
        <f t="shared" si="1"/>
        <v>40</v>
      </c>
      <c r="I21" s="73">
        <f t="shared" si="2"/>
        <v>40</v>
      </c>
      <c r="J21" s="72" t="s">
        <v>83</v>
      </c>
      <c r="K21" s="74"/>
      <c r="M21" s="79"/>
      <c r="N21" s="76" t="e">
        <f t="shared" si="3"/>
        <v>#N/A</v>
      </c>
      <c r="O21" s="76"/>
      <c r="P21" s="81"/>
      <c r="S21" s="50" t="s">
        <v>447</v>
      </c>
      <c r="T21" s="52">
        <v>180</v>
      </c>
      <c r="U21" s="52">
        <f t="shared" si="4"/>
        <v>72</v>
      </c>
      <c r="Y21" s="91" t="s">
        <v>123</v>
      </c>
      <c r="Z21" s="92">
        <v>9.7609999999999992</v>
      </c>
      <c r="AA21" s="92">
        <f t="shared" si="5"/>
        <v>3.9043999999999999</v>
      </c>
    </row>
    <row r="22" spans="1:28" x14ac:dyDescent="0.25">
      <c r="A22" s="95">
        <v>45598</v>
      </c>
      <c r="B22" s="72" t="s">
        <v>874</v>
      </c>
      <c r="C22" s="72" t="s">
        <v>8</v>
      </c>
      <c r="D22" s="72" t="s">
        <v>17</v>
      </c>
      <c r="E22" s="72" t="s">
        <v>56</v>
      </c>
      <c r="F22" s="72">
        <v>1</v>
      </c>
      <c r="G22" s="73">
        <f t="shared" si="6"/>
        <v>50</v>
      </c>
      <c r="H22" s="73">
        <f t="shared" si="1"/>
        <v>50</v>
      </c>
      <c r="I22" s="73">
        <f t="shared" si="2"/>
        <v>48.95</v>
      </c>
      <c r="J22" s="72" t="s">
        <v>866</v>
      </c>
      <c r="K22" s="74"/>
      <c r="M22" s="79" t="s">
        <v>17</v>
      </c>
      <c r="N22" s="76">
        <f t="shared" si="3"/>
        <v>20</v>
      </c>
      <c r="O22" s="76">
        <f>N22*F22</f>
        <v>20</v>
      </c>
      <c r="P22" s="81" t="s">
        <v>56</v>
      </c>
      <c r="S22" s="50" t="s">
        <v>43</v>
      </c>
      <c r="T22" s="52">
        <v>130</v>
      </c>
      <c r="U22" s="52">
        <f t="shared" si="4"/>
        <v>52</v>
      </c>
      <c r="Y22" s="91" t="s">
        <v>125</v>
      </c>
      <c r="Z22" s="92">
        <v>9.5009999999999994</v>
      </c>
      <c r="AA22" s="92">
        <f t="shared" si="5"/>
        <v>3.8003999999999998</v>
      </c>
      <c r="AB22" s="92"/>
    </row>
    <row r="23" spans="1:28" x14ac:dyDescent="0.25">
      <c r="A23" s="95">
        <v>45598</v>
      </c>
      <c r="B23" s="72" t="s">
        <v>839</v>
      </c>
      <c r="C23" s="72" t="s">
        <v>8</v>
      </c>
      <c r="D23" s="72" t="s">
        <v>22</v>
      </c>
      <c r="E23" s="72" t="s">
        <v>56</v>
      </c>
      <c r="F23" s="72">
        <v>1</v>
      </c>
      <c r="G23" s="73">
        <f t="shared" si="6"/>
        <v>30</v>
      </c>
      <c r="H23" s="73">
        <f t="shared" si="1"/>
        <v>30</v>
      </c>
      <c r="I23" s="73">
        <f t="shared" si="2"/>
        <v>30</v>
      </c>
      <c r="J23" s="72" t="s">
        <v>83</v>
      </c>
      <c r="K23" s="74"/>
      <c r="M23" s="79" t="s">
        <v>22</v>
      </c>
      <c r="N23" s="76">
        <f t="shared" si="3"/>
        <v>12</v>
      </c>
      <c r="O23" s="76">
        <f>N23*F23</f>
        <v>12</v>
      </c>
      <c r="P23" s="81" t="s">
        <v>56</v>
      </c>
      <c r="S23" s="50" t="s">
        <v>449</v>
      </c>
      <c r="T23" s="52">
        <v>240</v>
      </c>
      <c r="U23" s="52">
        <f t="shared" si="4"/>
        <v>96</v>
      </c>
      <c r="Y23" s="91" t="s">
        <v>126</v>
      </c>
      <c r="Z23" s="92">
        <v>10</v>
      </c>
      <c r="AA23" s="92">
        <f t="shared" si="5"/>
        <v>4</v>
      </c>
      <c r="AB23" s="92"/>
    </row>
    <row r="24" spans="1:28" x14ac:dyDescent="0.25">
      <c r="A24" s="95">
        <v>45598</v>
      </c>
      <c r="B24" s="72" t="s">
        <v>839</v>
      </c>
      <c r="C24" s="72" t="s">
        <v>8</v>
      </c>
      <c r="D24" s="72" t="s">
        <v>13</v>
      </c>
      <c r="E24" s="72" t="s">
        <v>56</v>
      </c>
      <c r="F24" s="72">
        <v>1</v>
      </c>
      <c r="G24" s="73">
        <f t="shared" si="6"/>
        <v>30</v>
      </c>
      <c r="H24" s="73">
        <f t="shared" si="1"/>
        <v>30</v>
      </c>
      <c r="I24" s="73">
        <f t="shared" si="2"/>
        <v>30</v>
      </c>
      <c r="J24" s="72" t="s">
        <v>83</v>
      </c>
      <c r="K24" s="74"/>
      <c r="M24" s="79" t="s">
        <v>13</v>
      </c>
      <c r="N24" s="76">
        <f t="shared" si="3"/>
        <v>12</v>
      </c>
      <c r="O24" s="76">
        <f>N24*F24</f>
        <v>12</v>
      </c>
      <c r="P24" s="81" t="s">
        <v>56</v>
      </c>
      <c r="S24" s="50" t="s">
        <v>16</v>
      </c>
      <c r="T24" s="52">
        <v>80</v>
      </c>
      <c r="U24" s="52">
        <f t="shared" si="4"/>
        <v>32</v>
      </c>
      <c r="Y24" s="91" t="s">
        <v>128</v>
      </c>
      <c r="Z24" s="92">
        <v>10</v>
      </c>
      <c r="AA24" s="92">
        <f t="shared" si="5"/>
        <v>4</v>
      </c>
    </row>
    <row r="25" spans="1:28" x14ac:dyDescent="0.25">
      <c r="A25" s="95">
        <v>45598</v>
      </c>
      <c r="B25" s="72" t="s">
        <v>839</v>
      </c>
      <c r="C25" s="72" t="s">
        <v>8</v>
      </c>
      <c r="D25" s="72" t="s">
        <v>62</v>
      </c>
      <c r="E25" s="72" t="s">
        <v>56</v>
      </c>
      <c r="F25" s="72">
        <v>1</v>
      </c>
      <c r="G25" s="73">
        <f t="shared" si="6"/>
        <v>20</v>
      </c>
      <c r="H25" s="73">
        <f t="shared" si="1"/>
        <v>20</v>
      </c>
      <c r="I25" s="73">
        <f t="shared" si="2"/>
        <v>20</v>
      </c>
      <c r="J25" s="72" t="s">
        <v>83</v>
      </c>
      <c r="K25" s="74"/>
      <c r="M25" s="79" t="s">
        <v>62</v>
      </c>
      <c r="N25" s="76">
        <f t="shared" si="3"/>
        <v>2</v>
      </c>
      <c r="O25" s="76">
        <f>N25*F25</f>
        <v>2</v>
      </c>
      <c r="P25" s="81" t="s">
        <v>56</v>
      </c>
      <c r="S25" s="50" t="s">
        <v>821</v>
      </c>
      <c r="T25" s="52">
        <v>140</v>
      </c>
      <c r="U25" s="52">
        <f t="shared" si="4"/>
        <v>56</v>
      </c>
      <c r="Y25" s="91" t="s">
        <v>130</v>
      </c>
      <c r="Z25" s="92">
        <v>9.7609999999999992</v>
      </c>
      <c r="AA25" s="92">
        <f t="shared" si="5"/>
        <v>3.9043999999999999</v>
      </c>
    </row>
    <row r="26" spans="1:28" x14ac:dyDescent="0.25">
      <c r="A26" s="95">
        <v>45598</v>
      </c>
      <c r="B26" s="72" t="s">
        <v>236</v>
      </c>
      <c r="C26" s="72" t="s">
        <v>8</v>
      </c>
      <c r="D26" s="72" t="s">
        <v>17</v>
      </c>
      <c r="E26" s="72" t="s">
        <v>56</v>
      </c>
      <c r="F26" s="72">
        <v>1</v>
      </c>
      <c r="G26" s="73">
        <f t="shared" si="6"/>
        <v>50</v>
      </c>
      <c r="H26" s="73">
        <f t="shared" si="1"/>
        <v>50</v>
      </c>
      <c r="I26" s="73">
        <f t="shared" si="2"/>
        <v>47.5</v>
      </c>
      <c r="J26" s="72" t="s">
        <v>867</v>
      </c>
      <c r="K26" s="74"/>
      <c r="M26" s="79" t="s">
        <v>17</v>
      </c>
      <c r="N26" s="76">
        <f t="shared" si="3"/>
        <v>20</v>
      </c>
      <c r="O26" s="76">
        <f>N26*F26</f>
        <v>20</v>
      </c>
      <c r="P26" s="81" t="s">
        <v>56</v>
      </c>
      <c r="S26" s="50" t="s">
        <v>121</v>
      </c>
      <c r="T26" s="52">
        <v>130</v>
      </c>
      <c r="U26" s="52">
        <f t="shared" si="4"/>
        <v>52</v>
      </c>
      <c r="Y26" s="91" t="s">
        <v>132</v>
      </c>
      <c r="Z26" s="92">
        <v>9.5009999999999994</v>
      </c>
      <c r="AA26" s="92">
        <f t="shared" si="5"/>
        <v>3.8003999999999998</v>
      </c>
    </row>
    <row r="27" spans="1:28" x14ac:dyDescent="0.25">
      <c r="A27" s="95">
        <v>45598</v>
      </c>
      <c r="B27" s="72" t="s">
        <v>554</v>
      </c>
      <c r="C27" s="72" t="s">
        <v>8</v>
      </c>
      <c r="D27" s="72" t="s">
        <v>17</v>
      </c>
      <c r="E27" s="72" t="s">
        <v>82</v>
      </c>
      <c r="F27" s="72">
        <v>1</v>
      </c>
      <c r="G27" s="73">
        <f t="shared" si="6"/>
        <v>50</v>
      </c>
      <c r="H27" s="73">
        <f t="shared" si="1"/>
        <v>50</v>
      </c>
      <c r="I27" s="73">
        <f t="shared" si="2"/>
        <v>47.5</v>
      </c>
      <c r="J27" s="72" t="s">
        <v>867</v>
      </c>
      <c r="K27" s="74"/>
      <c r="M27" s="79"/>
      <c r="N27" s="76" t="e">
        <f t="shared" si="3"/>
        <v>#N/A</v>
      </c>
      <c r="O27" s="76"/>
      <c r="P27" s="81"/>
      <c r="S27" s="50" t="s">
        <v>60</v>
      </c>
      <c r="T27" s="52">
        <v>90</v>
      </c>
      <c r="U27" s="52">
        <f t="shared" si="4"/>
        <v>36</v>
      </c>
      <c r="Y27" s="91" t="s">
        <v>134</v>
      </c>
      <c r="Z27" s="92">
        <v>20</v>
      </c>
      <c r="AA27" s="92">
        <f t="shared" si="5"/>
        <v>8</v>
      </c>
    </row>
    <row r="28" spans="1:28" x14ac:dyDescent="0.25">
      <c r="A28" s="95">
        <v>45598</v>
      </c>
      <c r="B28" s="72" t="s">
        <v>702</v>
      </c>
      <c r="C28" s="72" t="s">
        <v>8</v>
      </c>
      <c r="D28" s="72" t="s">
        <v>15</v>
      </c>
      <c r="E28" s="72" t="s">
        <v>82</v>
      </c>
      <c r="F28" s="72">
        <v>1</v>
      </c>
      <c r="G28" s="73">
        <f t="shared" si="6"/>
        <v>70</v>
      </c>
      <c r="H28" s="73">
        <f t="shared" si="1"/>
        <v>70</v>
      </c>
      <c r="I28" s="73">
        <f t="shared" si="2"/>
        <v>70</v>
      </c>
      <c r="J28" s="72" t="s">
        <v>83</v>
      </c>
      <c r="K28" s="74"/>
      <c r="M28" s="79"/>
      <c r="N28" s="76" t="e">
        <f t="shared" si="3"/>
        <v>#N/A</v>
      </c>
      <c r="O28" s="76"/>
      <c r="P28" s="81"/>
      <c r="S28" s="50" t="s">
        <v>600</v>
      </c>
      <c r="T28" s="52">
        <v>50</v>
      </c>
      <c r="U28" s="52">
        <f t="shared" si="4"/>
        <v>20</v>
      </c>
      <c r="Y28" s="91" t="s">
        <v>136</v>
      </c>
      <c r="Z28" s="92">
        <v>20</v>
      </c>
      <c r="AA28" s="92">
        <f t="shared" si="5"/>
        <v>8</v>
      </c>
      <c r="AB28" s="92"/>
    </row>
    <row r="29" spans="1:28" x14ac:dyDescent="0.25">
      <c r="A29" s="95">
        <v>45598</v>
      </c>
      <c r="B29" s="72" t="s">
        <v>455</v>
      </c>
      <c r="C29" s="72" t="s">
        <v>8</v>
      </c>
      <c r="D29" s="72" t="s">
        <v>17</v>
      </c>
      <c r="E29" s="72" t="s">
        <v>56</v>
      </c>
      <c r="F29" s="72">
        <v>1</v>
      </c>
      <c r="G29" s="73">
        <f t="shared" si="6"/>
        <v>50</v>
      </c>
      <c r="H29" s="73">
        <f t="shared" si="1"/>
        <v>50</v>
      </c>
      <c r="I29" s="73">
        <f t="shared" si="2"/>
        <v>50</v>
      </c>
      <c r="J29" s="72" t="s">
        <v>79</v>
      </c>
      <c r="K29" s="74"/>
      <c r="M29" s="79" t="s">
        <v>17</v>
      </c>
      <c r="N29" s="76">
        <f t="shared" si="3"/>
        <v>20</v>
      </c>
      <c r="O29" s="76">
        <f>N29*F29</f>
        <v>20</v>
      </c>
      <c r="P29" s="81" t="s">
        <v>56</v>
      </c>
      <c r="S29" s="50" t="s">
        <v>20</v>
      </c>
      <c r="T29" s="52">
        <v>15</v>
      </c>
      <c r="U29" s="52">
        <f t="shared" si="4"/>
        <v>6</v>
      </c>
      <c r="Y29" s="91" t="s">
        <v>137</v>
      </c>
      <c r="Z29" s="92">
        <v>19.521999999999998</v>
      </c>
      <c r="AA29" s="92">
        <f t="shared" si="5"/>
        <v>7.8087999999999997</v>
      </c>
      <c r="AB29" s="92"/>
    </row>
    <row r="30" spans="1:28" x14ac:dyDescent="0.25">
      <c r="A30" s="95">
        <v>45598</v>
      </c>
      <c r="B30" s="72" t="s">
        <v>204</v>
      </c>
      <c r="C30" s="72" t="s">
        <v>8</v>
      </c>
      <c r="D30" s="72" t="s">
        <v>18</v>
      </c>
      <c r="E30" s="72" t="s">
        <v>82</v>
      </c>
      <c r="F30" s="72">
        <v>1</v>
      </c>
      <c r="G30" s="73">
        <f t="shared" si="6"/>
        <v>40</v>
      </c>
      <c r="H30" s="73">
        <f t="shared" si="1"/>
        <v>40</v>
      </c>
      <c r="I30" s="73">
        <f t="shared" si="2"/>
        <v>40</v>
      </c>
      <c r="J30" s="72" t="s">
        <v>83</v>
      </c>
      <c r="K30" s="74"/>
      <c r="M30" s="79"/>
      <c r="N30" s="76" t="e">
        <f t="shared" si="3"/>
        <v>#N/A</v>
      </c>
      <c r="O30" s="76"/>
      <c r="P30" s="81"/>
      <c r="S30" s="50" t="s">
        <v>31</v>
      </c>
      <c r="T30" s="52">
        <v>15</v>
      </c>
      <c r="U30" s="52">
        <f t="shared" si="4"/>
        <v>6</v>
      </c>
      <c r="Y30" s="91" t="s">
        <v>139</v>
      </c>
      <c r="Z30" s="92">
        <v>19.001999999999999</v>
      </c>
      <c r="AA30" s="92">
        <f t="shared" si="5"/>
        <v>7.6007999999999996</v>
      </c>
      <c r="AB30" s="92"/>
    </row>
    <row r="31" spans="1:28" x14ac:dyDescent="0.25">
      <c r="A31" s="95">
        <v>45598</v>
      </c>
      <c r="B31" s="72" t="s">
        <v>875</v>
      </c>
      <c r="C31" s="72" t="s">
        <v>8</v>
      </c>
      <c r="D31" s="72" t="s">
        <v>17</v>
      </c>
      <c r="E31" s="72" t="s">
        <v>82</v>
      </c>
      <c r="F31" s="72">
        <v>1</v>
      </c>
      <c r="G31" s="73">
        <f t="shared" si="6"/>
        <v>50</v>
      </c>
      <c r="H31" s="73">
        <f t="shared" si="1"/>
        <v>50</v>
      </c>
      <c r="I31" s="73">
        <f t="shared" si="2"/>
        <v>50</v>
      </c>
      <c r="J31" s="72" t="s">
        <v>83</v>
      </c>
      <c r="K31" s="74"/>
      <c r="M31" s="79"/>
      <c r="N31" s="76" t="e">
        <f t="shared" si="3"/>
        <v>#N/A</v>
      </c>
      <c r="O31" s="76"/>
      <c r="P31" s="81"/>
      <c r="Q31" s="106"/>
      <c r="S31" s="50" t="s">
        <v>25</v>
      </c>
      <c r="T31" s="52">
        <v>30</v>
      </c>
      <c r="U31" s="52">
        <f t="shared" si="4"/>
        <v>12</v>
      </c>
      <c r="Y31" s="91" t="s">
        <v>141</v>
      </c>
      <c r="Z31" s="92">
        <v>40</v>
      </c>
      <c r="AA31" s="92">
        <f t="shared" si="5"/>
        <v>16</v>
      </c>
    </row>
    <row r="32" spans="1:28" x14ac:dyDescent="0.25">
      <c r="A32" s="95">
        <v>45601</v>
      </c>
      <c r="B32" s="72" t="s">
        <v>586</v>
      </c>
      <c r="C32" s="72" t="s">
        <v>8</v>
      </c>
      <c r="D32" s="72" t="s">
        <v>17</v>
      </c>
      <c r="E32" s="72" t="s">
        <v>82</v>
      </c>
      <c r="F32" s="72">
        <v>1</v>
      </c>
      <c r="G32" s="73">
        <v>40</v>
      </c>
      <c r="H32" s="73">
        <f t="shared" si="1"/>
        <v>40</v>
      </c>
      <c r="I32" s="73">
        <f t="shared" si="2"/>
        <v>38.14</v>
      </c>
      <c r="J32" s="72" t="s">
        <v>865</v>
      </c>
      <c r="K32" s="74"/>
      <c r="M32" s="79"/>
      <c r="N32" s="76" t="e">
        <f t="shared" si="3"/>
        <v>#N/A</v>
      </c>
      <c r="O32" s="76"/>
      <c r="P32" s="81"/>
      <c r="S32" s="50" t="s">
        <v>131</v>
      </c>
      <c r="T32" s="52">
        <v>30</v>
      </c>
      <c r="U32" s="52">
        <f t="shared" ref="U32:U70" si="7">T32*0.1</f>
        <v>3</v>
      </c>
      <c r="Y32" s="91" t="s">
        <v>144</v>
      </c>
      <c r="Z32" s="92">
        <v>40</v>
      </c>
      <c r="AA32" s="92">
        <f t="shared" si="5"/>
        <v>16</v>
      </c>
    </row>
    <row r="33" spans="1:27" x14ac:dyDescent="0.25">
      <c r="A33" s="95">
        <v>45601</v>
      </c>
      <c r="B33" s="72" t="s">
        <v>690</v>
      </c>
      <c r="C33" s="72" t="s">
        <v>10</v>
      </c>
      <c r="D33" s="72" t="s">
        <v>18</v>
      </c>
      <c r="E33" s="72" t="s">
        <v>56</v>
      </c>
      <c r="F33" s="72">
        <v>1</v>
      </c>
      <c r="G33" s="73">
        <f>VLOOKUP(D33,$S$3:$T$70,2,0)</f>
        <v>40</v>
      </c>
      <c r="H33" s="73">
        <f t="shared" si="1"/>
        <v>40</v>
      </c>
      <c r="I33" s="73">
        <f t="shared" si="2"/>
        <v>39.164999999999999</v>
      </c>
      <c r="J33" s="72" t="s">
        <v>868</v>
      </c>
      <c r="K33" s="74"/>
      <c r="M33" s="79" t="s">
        <v>18</v>
      </c>
      <c r="N33" s="76">
        <f t="shared" si="3"/>
        <v>16</v>
      </c>
      <c r="O33" s="76">
        <f>N33*F33</f>
        <v>16</v>
      </c>
      <c r="P33" s="81" t="s">
        <v>56</v>
      </c>
      <c r="S33" s="50" t="s">
        <v>64</v>
      </c>
      <c r="T33" s="52">
        <v>30</v>
      </c>
      <c r="U33" s="52">
        <f t="shared" si="7"/>
        <v>3</v>
      </c>
      <c r="Y33" s="91" t="s">
        <v>146</v>
      </c>
      <c r="Z33" s="92">
        <v>39.043999999999997</v>
      </c>
      <c r="AA33" s="92">
        <f t="shared" si="5"/>
        <v>15.617599999999999</v>
      </c>
    </row>
    <row r="34" spans="1:27" x14ac:dyDescent="0.25">
      <c r="A34" s="95">
        <v>45601</v>
      </c>
      <c r="B34" s="72" t="s">
        <v>382</v>
      </c>
      <c r="C34" s="72" t="s">
        <v>10</v>
      </c>
      <c r="D34" s="72" t="s">
        <v>15</v>
      </c>
      <c r="E34" s="72" t="s">
        <v>56</v>
      </c>
      <c r="F34" s="72">
        <v>1</v>
      </c>
      <c r="G34" s="73">
        <f>VLOOKUP(D34,$S$3:$T$70,2,0)</f>
        <v>70</v>
      </c>
      <c r="H34" s="73">
        <f t="shared" si="1"/>
        <v>70</v>
      </c>
      <c r="I34" s="73">
        <f t="shared" si="2"/>
        <v>68.538749999999993</v>
      </c>
      <c r="J34" s="72" t="s">
        <v>868</v>
      </c>
      <c r="K34" s="74"/>
      <c r="M34" s="79" t="s">
        <v>15</v>
      </c>
      <c r="N34" s="76">
        <f t="shared" si="3"/>
        <v>28</v>
      </c>
      <c r="O34" s="76">
        <f>N34*F34</f>
        <v>28</v>
      </c>
      <c r="P34" s="81" t="s">
        <v>56</v>
      </c>
      <c r="S34" s="50" t="s">
        <v>97</v>
      </c>
      <c r="T34" s="52">
        <v>30</v>
      </c>
      <c r="U34" s="52">
        <f t="shared" si="7"/>
        <v>3</v>
      </c>
      <c r="Y34" s="91" t="s">
        <v>148</v>
      </c>
      <c r="Z34" s="92">
        <v>38.003999999999998</v>
      </c>
      <c r="AA34" s="92">
        <f t="shared" si="5"/>
        <v>15.201599999999999</v>
      </c>
    </row>
    <row r="35" spans="1:27" x14ac:dyDescent="0.25">
      <c r="A35" s="95">
        <v>45601</v>
      </c>
      <c r="B35" s="72" t="s">
        <v>149</v>
      </c>
      <c r="C35" s="72" t="s">
        <v>8</v>
      </c>
      <c r="D35" s="72" t="s">
        <v>15</v>
      </c>
      <c r="E35" s="72" t="s">
        <v>56</v>
      </c>
      <c r="F35" s="72">
        <v>1</v>
      </c>
      <c r="G35" s="73">
        <f>VLOOKUP(D35,$S$3:$T$70,2,0)</f>
        <v>70</v>
      </c>
      <c r="H35" s="73">
        <f t="shared" ref="H35:H66" si="8">F35*G35</f>
        <v>70</v>
      </c>
      <c r="I35" s="73">
        <f t="shared" ref="I35:I66" si="9">IF(J35="Master Debito",H35-(H35*$AC$5),IF(J35="Master Credito",H35-(H35*$AC$6), IF(J35="Visa Debito",H35-(H35*$AC$7), IF(J35="Visa Credito", H35-(H35*$AC$8), IF(J35="Elo Debito", H35-(H35*$AC$9), IF(J35="Elo Credito", H35-(H35*$AC$10), IF(J35="Pix", H35-(H35*$AC$11), IF(J35="Dinheiro (R$)", H35-(H35*$AC$12)))))))))</f>
        <v>70</v>
      </c>
      <c r="J35" s="72" t="s">
        <v>83</v>
      </c>
      <c r="K35" s="74"/>
      <c r="M35" s="79" t="s">
        <v>15</v>
      </c>
      <c r="N35" s="76">
        <f t="shared" ref="N35:N66" si="10">VLOOKUP(M35,$S$3:$U$70,3,0)</f>
        <v>28</v>
      </c>
      <c r="O35" s="76">
        <f>N35*F35</f>
        <v>28</v>
      </c>
      <c r="P35" s="81" t="s">
        <v>56</v>
      </c>
      <c r="S35" s="50" t="s">
        <v>603</v>
      </c>
      <c r="T35" s="52">
        <v>35</v>
      </c>
      <c r="U35" s="52">
        <f t="shared" si="7"/>
        <v>3.5</v>
      </c>
      <c r="Y35" s="91" t="s">
        <v>150</v>
      </c>
      <c r="Z35" s="92">
        <v>30</v>
      </c>
      <c r="AA35" s="92">
        <f t="shared" ref="AA35:AA66" si="11">Z35*0.4</f>
        <v>12</v>
      </c>
    </row>
    <row r="36" spans="1:27" x14ac:dyDescent="0.25">
      <c r="A36" s="95">
        <v>45601</v>
      </c>
      <c r="B36" s="72" t="s">
        <v>876</v>
      </c>
      <c r="C36" s="72" t="s">
        <v>8</v>
      </c>
      <c r="D36" s="72" t="s">
        <v>17</v>
      </c>
      <c r="E36" s="72" t="s">
        <v>82</v>
      </c>
      <c r="F36" s="72">
        <v>1</v>
      </c>
      <c r="G36" s="73">
        <v>40</v>
      </c>
      <c r="H36" s="73">
        <f t="shared" si="8"/>
        <v>40</v>
      </c>
      <c r="I36" s="73">
        <f t="shared" si="9"/>
        <v>38</v>
      </c>
      <c r="J36" s="72" t="s">
        <v>867</v>
      </c>
      <c r="K36" s="74"/>
      <c r="M36" s="79"/>
      <c r="N36" s="76" t="e">
        <f t="shared" si="10"/>
        <v>#N/A</v>
      </c>
      <c r="O36" s="76"/>
      <c r="P36" s="81"/>
      <c r="S36" s="50" t="s">
        <v>607</v>
      </c>
      <c r="T36" s="52">
        <v>35</v>
      </c>
      <c r="U36" s="52">
        <f t="shared" si="7"/>
        <v>3.5</v>
      </c>
      <c r="Y36" s="91" t="s">
        <v>153</v>
      </c>
      <c r="Z36" s="92">
        <v>30</v>
      </c>
      <c r="AA36" s="92">
        <f t="shared" si="11"/>
        <v>12</v>
      </c>
    </row>
    <row r="37" spans="1:27" x14ac:dyDescent="0.25">
      <c r="A37" s="95">
        <v>45601</v>
      </c>
      <c r="B37" s="72" t="s">
        <v>266</v>
      </c>
      <c r="C37" s="72" t="s">
        <v>8</v>
      </c>
      <c r="D37" s="72" t="s">
        <v>18</v>
      </c>
      <c r="E37" s="72" t="s">
        <v>82</v>
      </c>
      <c r="F37" s="72">
        <v>1</v>
      </c>
      <c r="G37" s="73">
        <f>VLOOKUP(D37,$S$3:$T$70,2,0)</f>
        <v>40</v>
      </c>
      <c r="H37" s="73">
        <f t="shared" si="8"/>
        <v>40</v>
      </c>
      <c r="I37" s="73">
        <f t="shared" si="9"/>
        <v>39.159999999999997</v>
      </c>
      <c r="J37" s="72" t="s">
        <v>866</v>
      </c>
      <c r="K37" s="74"/>
      <c r="M37" s="79"/>
      <c r="N37" s="76" t="e">
        <f t="shared" si="10"/>
        <v>#N/A</v>
      </c>
      <c r="O37" s="76"/>
      <c r="P37" s="81"/>
      <c r="S37" s="50" t="s">
        <v>608</v>
      </c>
      <c r="T37" s="52">
        <v>35</v>
      </c>
      <c r="U37" s="52">
        <f t="shared" si="7"/>
        <v>3.5</v>
      </c>
      <c r="Y37" s="91" t="s">
        <v>154</v>
      </c>
      <c r="Z37" s="92">
        <v>29.283000000000001</v>
      </c>
      <c r="AA37" s="92">
        <f t="shared" si="11"/>
        <v>11.713200000000001</v>
      </c>
    </row>
    <row r="38" spans="1:27" x14ac:dyDescent="0.25">
      <c r="A38" s="95">
        <v>45601</v>
      </c>
      <c r="B38" s="72" t="s">
        <v>220</v>
      </c>
      <c r="C38" s="72" t="s">
        <v>8</v>
      </c>
      <c r="D38" s="72" t="s">
        <v>15</v>
      </c>
      <c r="E38" s="72" t="s">
        <v>82</v>
      </c>
      <c r="F38" s="72">
        <v>1</v>
      </c>
      <c r="G38" s="73">
        <f>VLOOKUP(D38,$S$3:$T$70,2,0)</f>
        <v>70</v>
      </c>
      <c r="H38" s="73">
        <f t="shared" si="8"/>
        <v>70</v>
      </c>
      <c r="I38" s="73">
        <f t="shared" si="9"/>
        <v>66.5</v>
      </c>
      <c r="J38" s="72" t="s">
        <v>867</v>
      </c>
      <c r="K38" s="74"/>
      <c r="M38" s="79"/>
      <c r="N38" s="76" t="e">
        <f t="shared" si="10"/>
        <v>#N/A</v>
      </c>
      <c r="O38" s="76"/>
      <c r="P38" s="81"/>
      <c r="S38" s="50" t="s">
        <v>39</v>
      </c>
      <c r="T38" s="52">
        <v>10</v>
      </c>
      <c r="U38" s="52">
        <f t="shared" si="7"/>
        <v>1</v>
      </c>
      <c r="Y38" s="91" t="s">
        <v>156</v>
      </c>
      <c r="Z38" s="92">
        <v>28.503</v>
      </c>
      <c r="AA38" s="92">
        <f t="shared" si="11"/>
        <v>11.401200000000001</v>
      </c>
    </row>
    <row r="39" spans="1:27" x14ac:dyDescent="0.25">
      <c r="A39" s="95">
        <v>45601</v>
      </c>
      <c r="B39" s="72" t="s">
        <v>854</v>
      </c>
      <c r="C39" s="72" t="s">
        <v>8</v>
      </c>
      <c r="D39" s="72" t="s">
        <v>17</v>
      </c>
      <c r="E39" s="72" t="s">
        <v>82</v>
      </c>
      <c r="F39" s="72">
        <v>1</v>
      </c>
      <c r="G39" s="73">
        <v>40</v>
      </c>
      <c r="H39" s="73">
        <f t="shared" si="8"/>
        <v>40</v>
      </c>
      <c r="I39" s="73">
        <f t="shared" si="9"/>
        <v>39.159999999999997</v>
      </c>
      <c r="J39" s="72" t="s">
        <v>866</v>
      </c>
      <c r="K39" s="74"/>
      <c r="M39" s="79"/>
      <c r="N39" s="76" t="e">
        <f t="shared" si="10"/>
        <v>#N/A</v>
      </c>
      <c r="O39" s="76"/>
      <c r="P39" s="81"/>
      <c r="S39" s="50" t="s">
        <v>63</v>
      </c>
      <c r="T39" s="52">
        <v>20</v>
      </c>
      <c r="U39" s="52">
        <f t="shared" si="7"/>
        <v>2</v>
      </c>
      <c r="Y39" s="91" t="s">
        <v>158</v>
      </c>
      <c r="Z39" s="92">
        <v>60</v>
      </c>
      <c r="AA39" s="92">
        <f t="shared" si="11"/>
        <v>24</v>
      </c>
    </row>
    <row r="40" spans="1:27" x14ac:dyDescent="0.25">
      <c r="A40" s="95">
        <v>45601</v>
      </c>
      <c r="B40" s="72" t="s">
        <v>210</v>
      </c>
      <c r="C40" s="72" t="s">
        <v>8</v>
      </c>
      <c r="D40" s="72" t="s">
        <v>18</v>
      </c>
      <c r="E40" s="72" t="s">
        <v>56</v>
      </c>
      <c r="F40" s="72">
        <v>1</v>
      </c>
      <c r="G40" s="73">
        <f>VLOOKUP(D40,$S$3:$T$70,2,0)</f>
        <v>40</v>
      </c>
      <c r="H40" s="73">
        <f t="shared" si="8"/>
        <v>40</v>
      </c>
      <c r="I40" s="73">
        <f t="shared" si="9"/>
        <v>40</v>
      </c>
      <c r="J40" s="72" t="s">
        <v>79</v>
      </c>
      <c r="K40" s="74"/>
      <c r="M40" s="79" t="s">
        <v>18</v>
      </c>
      <c r="N40" s="76">
        <f t="shared" si="10"/>
        <v>16</v>
      </c>
      <c r="O40" s="76">
        <f>N40*F40</f>
        <v>16</v>
      </c>
      <c r="P40" s="81" t="s">
        <v>56</v>
      </c>
      <c r="S40" s="50" t="s">
        <v>34</v>
      </c>
      <c r="T40" s="52">
        <v>10</v>
      </c>
      <c r="U40" s="52">
        <f t="shared" si="7"/>
        <v>1</v>
      </c>
      <c r="Y40" s="91" t="s">
        <v>161</v>
      </c>
      <c r="Z40" s="92">
        <v>60</v>
      </c>
      <c r="AA40" s="92">
        <f t="shared" si="11"/>
        <v>24</v>
      </c>
    </row>
    <row r="41" spans="1:27" x14ac:dyDescent="0.25">
      <c r="A41" s="95">
        <v>45601</v>
      </c>
      <c r="B41" s="72" t="s">
        <v>877</v>
      </c>
      <c r="C41" s="72" t="s">
        <v>10</v>
      </c>
      <c r="D41" s="72" t="s">
        <v>18</v>
      </c>
      <c r="E41" s="72" t="s">
        <v>56</v>
      </c>
      <c r="F41" s="72">
        <v>1</v>
      </c>
      <c r="G41" s="73">
        <f>VLOOKUP(D41,$S$3:$T$70,2,0)</f>
        <v>40</v>
      </c>
      <c r="H41" s="73">
        <f t="shared" si="8"/>
        <v>40</v>
      </c>
      <c r="I41" s="73">
        <f t="shared" si="9"/>
        <v>39.159999999999997</v>
      </c>
      <c r="J41" s="72" t="s">
        <v>866</v>
      </c>
      <c r="K41" s="74"/>
      <c r="M41" s="79" t="s">
        <v>18</v>
      </c>
      <c r="N41" s="76">
        <f t="shared" si="10"/>
        <v>16</v>
      </c>
      <c r="O41" s="76">
        <f>N41*F41</f>
        <v>16</v>
      </c>
      <c r="P41" s="81" t="s">
        <v>56</v>
      </c>
      <c r="S41" s="50" t="s">
        <v>36</v>
      </c>
      <c r="T41" s="52">
        <v>30</v>
      </c>
      <c r="U41" s="52">
        <f t="shared" si="7"/>
        <v>3</v>
      </c>
      <c r="Y41" s="91" t="s">
        <v>163</v>
      </c>
      <c r="Z41" s="92">
        <v>58.566000000000003</v>
      </c>
      <c r="AA41" s="92">
        <f t="shared" si="11"/>
        <v>23.426400000000001</v>
      </c>
    </row>
    <row r="42" spans="1:27" x14ac:dyDescent="0.25">
      <c r="A42" s="95">
        <v>45601</v>
      </c>
      <c r="B42" s="72" t="s">
        <v>692</v>
      </c>
      <c r="C42" s="72" t="s">
        <v>8</v>
      </c>
      <c r="D42" s="72" t="s">
        <v>18</v>
      </c>
      <c r="E42" s="72" t="s">
        <v>56</v>
      </c>
      <c r="F42" s="72">
        <v>1</v>
      </c>
      <c r="G42" s="73">
        <f>VLOOKUP(D42,$S$3:$T$70,2,0)</f>
        <v>40</v>
      </c>
      <c r="H42" s="73">
        <f t="shared" si="8"/>
        <v>40</v>
      </c>
      <c r="I42" s="73">
        <f t="shared" si="9"/>
        <v>38.14</v>
      </c>
      <c r="J42" s="72" t="s">
        <v>865</v>
      </c>
      <c r="K42" s="74"/>
      <c r="M42" s="79" t="s">
        <v>18</v>
      </c>
      <c r="N42" s="76">
        <f t="shared" si="10"/>
        <v>16</v>
      </c>
      <c r="O42" s="76">
        <f>N42*F42</f>
        <v>16</v>
      </c>
      <c r="P42" s="81" t="s">
        <v>56</v>
      </c>
      <c r="S42" s="50" t="s">
        <v>143</v>
      </c>
      <c r="T42" s="52">
        <v>35</v>
      </c>
      <c r="U42" s="52">
        <f t="shared" si="7"/>
        <v>3.5</v>
      </c>
      <c r="Y42" s="91" t="s">
        <v>165</v>
      </c>
      <c r="Z42" s="92">
        <v>57.006</v>
      </c>
      <c r="AA42" s="92">
        <f t="shared" si="11"/>
        <v>22.802400000000002</v>
      </c>
    </row>
    <row r="43" spans="1:27" x14ac:dyDescent="0.25">
      <c r="A43" s="95">
        <v>45601</v>
      </c>
      <c r="B43" s="72" t="s">
        <v>481</v>
      </c>
      <c r="C43" s="72" t="s">
        <v>10</v>
      </c>
      <c r="D43" s="72" t="s">
        <v>17</v>
      </c>
      <c r="E43" s="72" t="s">
        <v>82</v>
      </c>
      <c r="F43" s="72">
        <v>1</v>
      </c>
      <c r="G43" s="73">
        <v>40</v>
      </c>
      <c r="H43" s="73">
        <f t="shared" si="8"/>
        <v>40</v>
      </c>
      <c r="I43" s="73">
        <f t="shared" si="9"/>
        <v>40</v>
      </c>
      <c r="J43" s="72" t="s">
        <v>83</v>
      </c>
      <c r="K43" s="74"/>
      <c r="M43" s="79"/>
      <c r="N43" s="76" t="e">
        <f t="shared" si="10"/>
        <v>#N/A</v>
      </c>
      <c r="O43" s="76"/>
      <c r="P43" s="81"/>
      <c r="S43" s="50" t="s">
        <v>33</v>
      </c>
      <c r="T43" s="52">
        <v>35</v>
      </c>
      <c r="U43" s="52">
        <f t="shared" si="7"/>
        <v>3.5</v>
      </c>
      <c r="Y43" s="91" t="s">
        <v>167</v>
      </c>
      <c r="Z43" s="92">
        <v>15</v>
      </c>
      <c r="AA43" s="92">
        <f t="shared" si="11"/>
        <v>6</v>
      </c>
    </row>
    <row r="44" spans="1:27" x14ac:dyDescent="0.25">
      <c r="A44" s="95">
        <v>45601</v>
      </c>
      <c r="B44" s="72" t="s">
        <v>878</v>
      </c>
      <c r="C44" s="72" t="s">
        <v>8</v>
      </c>
      <c r="D44" s="72" t="s">
        <v>33</v>
      </c>
      <c r="E44" s="72" t="s">
        <v>56</v>
      </c>
      <c r="F44" s="72">
        <v>1</v>
      </c>
      <c r="G44" s="73">
        <v>30</v>
      </c>
      <c r="H44" s="73">
        <f t="shared" si="8"/>
        <v>30</v>
      </c>
      <c r="I44" s="73">
        <f t="shared" si="9"/>
        <v>29.373750000000001</v>
      </c>
      <c r="J44" s="72" t="s">
        <v>868</v>
      </c>
      <c r="K44" s="74"/>
      <c r="M44" s="79" t="s">
        <v>33</v>
      </c>
      <c r="N44" s="76">
        <f t="shared" si="10"/>
        <v>3.5</v>
      </c>
      <c r="O44" s="76">
        <f>N44*F44</f>
        <v>3.5</v>
      </c>
      <c r="P44" s="81" t="s">
        <v>56</v>
      </c>
      <c r="S44" s="50" t="s">
        <v>26</v>
      </c>
      <c r="T44" s="52">
        <v>35</v>
      </c>
      <c r="U44" s="52">
        <f t="shared" si="7"/>
        <v>3.5</v>
      </c>
      <c r="Y44" s="91" t="s">
        <v>169</v>
      </c>
      <c r="Z44" s="92">
        <v>15</v>
      </c>
      <c r="AA44" s="92">
        <f t="shared" si="11"/>
        <v>6</v>
      </c>
    </row>
    <row r="45" spans="1:27" x14ac:dyDescent="0.25">
      <c r="A45" s="95">
        <v>45602</v>
      </c>
      <c r="B45" s="72" t="s">
        <v>538</v>
      </c>
      <c r="C45" s="72" t="s">
        <v>8</v>
      </c>
      <c r="D45" s="72" t="s">
        <v>18</v>
      </c>
      <c r="E45" s="72" t="s">
        <v>82</v>
      </c>
      <c r="F45" s="72">
        <v>1</v>
      </c>
      <c r="G45" s="73">
        <f t="shared" ref="G45:G52" si="12">VLOOKUP(D45,$S$3:$T$70,2,0)</f>
        <v>40</v>
      </c>
      <c r="H45" s="73">
        <f t="shared" si="8"/>
        <v>40</v>
      </c>
      <c r="I45" s="73">
        <f t="shared" si="9"/>
        <v>39.164999999999999</v>
      </c>
      <c r="J45" s="72" t="s">
        <v>868</v>
      </c>
      <c r="K45" s="74"/>
      <c r="M45" s="79"/>
      <c r="N45" s="76" t="e">
        <f t="shared" si="10"/>
        <v>#N/A</v>
      </c>
      <c r="O45" s="76"/>
      <c r="P45" s="81"/>
      <c r="S45" s="50" t="s">
        <v>61</v>
      </c>
      <c r="T45" s="52">
        <v>35</v>
      </c>
      <c r="U45" s="52">
        <f t="shared" si="7"/>
        <v>3.5</v>
      </c>
      <c r="Y45" s="91" t="s">
        <v>171</v>
      </c>
      <c r="Z45" s="92">
        <v>14.641500000000001</v>
      </c>
      <c r="AA45" s="92">
        <f t="shared" si="11"/>
        <v>5.8566000000000003</v>
      </c>
    </row>
    <row r="46" spans="1:27" x14ac:dyDescent="0.25">
      <c r="A46" s="95">
        <v>45602</v>
      </c>
      <c r="B46" s="72" t="s">
        <v>772</v>
      </c>
      <c r="C46" s="72" t="s">
        <v>10</v>
      </c>
      <c r="D46" s="72" t="s">
        <v>18</v>
      </c>
      <c r="E46" s="72" t="s">
        <v>56</v>
      </c>
      <c r="F46" s="72">
        <v>1</v>
      </c>
      <c r="G46" s="73">
        <f t="shared" si="12"/>
        <v>40</v>
      </c>
      <c r="H46" s="73">
        <f t="shared" si="8"/>
        <v>40</v>
      </c>
      <c r="I46" s="73">
        <f t="shared" si="9"/>
        <v>39.164999999999999</v>
      </c>
      <c r="J46" s="72" t="s">
        <v>868</v>
      </c>
      <c r="K46" s="74"/>
      <c r="M46" s="79" t="s">
        <v>18</v>
      </c>
      <c r="N46" s="76">
        <f t="shared" si="10"/>
        <v>16</v>
      </c>
      <c r="O46" s="76">
        <f>N46*F46</f>
        <v>16</v>
      </c>
      <c r="P46" s="81" t="s">
        <v>56</v>
      </c>
      <c r="S46" s="50" t="s">
        <v>152</v>
      </c>
      <c r="T46" s="52">
        <v>60</v>
      </c>
      <c r="U46" s="52">
        <f t="shared" si="7"/>
        <v>6</v>
      </c>
      <c r="Y46" s="91" t="s">
        <v>173</v>
      </c>
      <c r="Z46" s="92">
        <v>14.2515</v>
      </c>
      <c r="AA46" s="92">
        <f t="shared" si="11"/>
        <v>5.7006000000000006</v>
      </c>
    </row>
    <row r="47" spans="1:27" x14ac:dyDescent="0.25">
      <c r="A47" s="95">
        <v>45602</v>
      </c>
      <c r="B47" s="72" t="s">
        <v>879</v>
      </c>
      <c r="C47" s="72" t="s">
        <v>10</v>
      </c>
      <c r="D47" s="72" t="s">
        <v>16</v>
      </c>
      <c r="E47" s="72" t="s">
        <v>56</v>
      </c>
      <c r="F47" s="72">
        <v>1</v>
      </c>
      <c r="G47" s="73">
        <f t="shared" si="12"/>
        <v>80</v>
      </c>
      <c r="H47" s="73">
        <f t="shared" si="8"/>
        <v>80</v>
      </c>
      <c r="I47" s="73">
        <f t="shared" si="9"/>
        <v>80</v>
      </c>
      <c r="J47" s="72" t="s">
        <v>83</v>
      </c>
      <c r="K47" s="74"/>
      <c r="M47" s="79" t="s">
        <v>16</v>
      </c>
      <c r="N47" s="76">
        <f t="shared" si="10"/>
        <v>32</v>
      </c>
      <c r="O47" s="76">
        <f>N47*F47</f>
        <v>32</v>
      </c>
      <c r="P47" s="81" t="s">
        <v>56</v>
      </c>
      <c r="S47" s="50" t="s">
        <v>62</v>
      </c>
      <c r="T47" s="52">
        <v>20</v>
      </c>
      <c r="U47" s="52">
        <f t="shared" si="7"/>
        <v>2</v>
      </c>
      <c r="Y47" s="91" t="s">
        <v>176</v>
      </c>
      <c r="Z47" s="92">
        <v>70</v>
      </c>
      <c r="AA47" s="92">
        <f t="shared" si="11"/>
        <v>28</v>
      </c>
    </row>
    <row r="48" spans="1:27" x14ac:dyDescent="0.25">
      <c r="A48" s="95">
        <v>45602</v>
      </c>
      <c r="B48" s="72" t="s">
        <v>649</v>
      </c>
      <c r="C48" s="72" t="s">
        <v>8</v>
      </c>
      <c r="D48" s="72" t="s">
        <v>18</v>
      </c>
      <c r="E48" s="72" t="s">
        <v>82</v>
      </c>
      <c r="F48" s="72">
        <v>2</v>
      </c>
      <c r="G48" s="73">
        <f t="shared" si="12"/>
        <v>40</v>
      </c>
      <c r="H48" s="73">
        <f t="shared" si="8"/>
        <v>80</v>
      </c>
      <c r="I48" s="73">
        <f t="shared" si="9"/>
        <v>80</v>
      </c>
      <c r="J48" s="72" t="s">
        <v>83</v>
      </c>
      <c r="K48" s="74"/>
      <c r="M48" s="79"/>
      <c r="N48" s="76" t="e">
        <f t="shared" si="10"/>
        <v>#N/A</v>
      </c>
      <c r="O48" s="76"/>
      <c r="P48" s="81"/>
      <c r="S48" s="50" t="s">
        <v>47</v>
      </c>
      <c r="T48" s="52">
        <v>65</v>
      </c>
      <c r="U48" s="52">
        <f t="shared" si="7"/>
        <v>6.5</v>
      </c>
      <c r="Y48" s="91" t="s">
        <v>177</v>
      </c>
      <c r="Z48" s="92">
        <v>70</v>
      </c>
      <c r="AA48" s="92">
        <f t="shared" si="11"/>
        <v>28</v>
      </c>
    </row>
    <row r="49" spans="1:27" x14ac:dyDescent="0.25">
      <c r="A49" s="95">
        <v>45602</v>
      </c>
      <c r="B49" s="72" t="s">
        <v>561</v>
      </c>
      <c r="C49" s="72" t="s">
        <v>8</v>
      </c>
      <c r="D49" s="72" t="s">
        <v>40</v>
      </c>
      <c r="E49" s="72" t="s">
        <v>82</v>
      </c>
      <c r="F49" s="72">
        <v>1</v>
      </c>
      <c r="G49" s="73">
        <f t="shared" si="12"/>
        <v>45</v>
      </c>
      <c r="H49" s="73">
        <f t="shared" si="8"/>
        <v>45</v>
      </c>
      <c r="I49" s="73">
        <f t="shared" si="9"/>
        <v>45</v>
      </c>
      <c r="J49" s="72" t="s">
        <v>83</v>
      </c>
      <c r="K49" s="74"/>
      <c r="M49" s="79"/>
      <c r="N49" s="76" t="e">
        <f t="shared" si="10"/>
        <v>#N/A</v>
      </c>
      <c r="O49" s="76"/>
      <c r="P49" s="81"/>
      <c r="S49" s="50" t="s">
        <v>57</v>
      </c>
      <c r="T49" s="52">
        <v>40</v>
      </c>
      <c r="U49" s="52">
        <f t="shared" si="7"/>
        <v>4</v>
      </c>
      <c r="Y49" s="91" t="s">
        <v>180</v>
      </c>
      <c r="Z49" s="92">
        <v>68.326999999999998</v>
      </c>
      <c r="AA49" s="92">
        <f t="shared" si="11"/>
        <v>27.3308</v>
      </c>
    </row>
    <row r="50" spans="1:27" x14ac:dyDescent="0.25">
      <c r="A50" s="95">
        <v>45602</v>
      </c>
      <c r="B50" s="72" t="s">
        <v>505</v>
      </c>
      <c r="C50" s="72" t="s">
        <v>8</v>
      </c>
      <c r="D50" s="72" t="s">
        <v>13</v>
      </c>
      <c r="E50" s="72" t="s">
        <v>82</v>
      </c>
      <c r="F50" s="72">
        <v>1</v>
      </c>
      <c r="G50" s="73">
        <f t="shared" si="12"/>
        <v>30</v>
      </c>
      <c r="H50" s="73">
        <f t="shared" si="8"/>
        <v>30</v>
      </c>
      <c r="I50" s="73">
        <f t="shared" si="9"/>
        <v>30</v>
      </c>
      <c r="J50" s="72" t="s">
        <v>83</v>
      </c>
      <c r="K50" s="74"/>
      <c r="M50" s="79"/>
      <c r="N50" s="76" t="e">
        <f t="shared" si="10"/>
        <v>#N/A</v>
      </c>
      <c r="O50" s="76"/>
      <c r="P50" s="81"/>
      <c r="S50" s="50" t="s">
        <v>59</v>
      </c>
      <c r="T50" s="52"/>
      <c r="U50" s="52">
        <f t="shared" si="7"/>
        <v>0</v>
      </c>
      <c r="Y50" s="91" t="s">
        <v>181</v>
      </c>
      <c r="Z50" s="92">
        <v>66.507000000000005</v>
      </c>
      <c r="AA50" s="92">
        <f t="shared" si="11"/>
        <v>26.602800000000002</v>
      </c>
    </row>
    <row r="51" spans="1:27" x14ac:dyDescent="0.25">
      <c r="A51" s="95">
        <v>45602</v>
      </c>
      <c r="B51" s="72" t="s">
        <v>505</v>
      </c>
      <c r="C51" s="72" t="s">
        <v>8</v>
      </c>
      <c r="D51" s="72" t="s">
        <v>24</v>
      </c>
      <c r="E51" s="72" t="s">
        <v>82</v>
      </c>
      <c r="F51" s="72">
        <v>1</v>
      </c>
      <c r="G51" s="73">
        <f t="shared" si="12"/>
        <v>10</v>
      </c>
      <c r="H51" s="73">
        <f t="shared" si="8"/>
        <v>10</v>
      </c>
      <c r="I51" s="73">
        <f t="shared" si="9"/>
        <v>10</v>
      </c>
      <c r="J51" s="72" t="s">
        <v>83</v>
      </c>
      <c r="K51" s="74"/>
      <c r="M51" s="72"/>
      <c r="N51" s="76" t="e">
        <f t="shared" si="10"/>
        <v>#N/A</v>
      </c>
      <c r="O51" s="76"/>
      <c r="P51" s="81"/>
      <c r="S51" s="50" t="s">
        <v>160</v>
      </c>
      <c r="T51" s="52">
        <v>12</v>
      </c>
      <c r="U51" s="52">
        <f t="shared" si="7"/>
        <v>1.2000000000000002</v>
      </c>
      <c r="Y51" s="91" t="s">
        <v>184</v>
      </c>
      <c r="Z51" s="92">
        <v>75</v>
      </c>
      <c r="AA51" s="92">
        <f t="shared" si="11"/>
        <v>30</v>
      </c>
    </row>
    <row r="52" spans="1:27" x14ac:dyDescent="0.25">
      <c r="A52" s="95">
        <v>45602</v>
      </c>
      <c r="B52" s="72" t="s">
        <v>505</v>
      </c>
      <c r="C52" s="72" t="s">
        <v>8</v>
      </c>
      <c r="D52" s="72" t="s">
        <v>25</v>
      </c>
      <c r="E52" s="72" t="s">
        <v>82</v>
      </c>
      <c r="F52" s="72">
        <v>1</v>
      </c>
      <c r="G52" s="73">
        <f t="shared" si="12"/>
        <v>30</v>
      </c>
      <c r="H52" s="73">
        <f t="shared" si="8"/>
        <v>30</v>
      </c>
      <c r="I52" s="73">
        <f t="shared" si="9"/>
        <v>30</v>
      </c>
      <c r="J52" s="72" t="s">
        <v>83</v>
      </c>
      <c r="K52" s="74"/>
      <c r="M52" s="72"/>
      <c r="N52" s="76" t="e">
        <f t="shared" si="10"/>
        <v>#N/A</v>
      </c>
      <c r="O52" s="76"/>
      <c r="P52" s="81"/>
      <c r="Q52" s="106"/>
      <c r="S52" s="50" t="s">
        <v>162</v>
      </c>
      <c r="T52" s="52">
        <v>8</v>
      </c>
      <c r="U52" s="52">
        <f t="shared" si="7"/>
        <v>0.8</v>
      </c>
      <c r="Y52" s="91" t="s">
        <v>186</v>
      </c>
      <c r="Z52" s="92">
        <v>75</v>
      </c>
      <c r="AA52" s="92">
        <f t="shared" si="11"/>
        <v>30</v>
      </c>
    </row>
    <row r="53" spans="1:27" x14ac:dyDescent="0.25">
      <c r="A53" s="95">
        <v>45602</v>
      </c>
      <c r="B53" s="72" t="s">
        <v>505</v>
      </c>
      <c r="C53" s="72" t="s">
        <v>8</v>
      </c>
      <c r="D53" s="72" t="s">
        <v>26</v>
      </c>
      <c r="E53" s="72" t="s">
        <v>82</v>
      </c>
      <c r="F53" s="72">
        <v>1</v>
      </c>
      <c r="G53" s="73">
        <v>30</v>
      </c>
      <c r="H53" s="73">
        <f t="shared" si="8"/>
        <v>30</v>
      </c>
      <c r="I53" s="73">
        <f t="shared" si="9"/>
        <v>30</v>
      </c>
      <c r="J53" s="72" t="s">
        <v>83</v>
      </c>
      <c r="K53" s="74"/>
      <c r="M53" s="79"/>
      <c r="N53" s="76" t="e">
        <f t="shared" si="10"/>
        <v>#N/A</v>
      </c>
      <c r="O53" s="76"/>
      <c r="P53" s="81"/>
      <c r="S53" s="50" t="s">
        <v>41</v>
      </c>
      <c r="T53" s="52">
        <v>7</v>
      </c>
      <c r="U53" s="52">
        <f t="shared" si="7"/>
        <v>0.70000000000000007</v>
      </c>
      <c r="Y53" s="91" t="s">
        <v>187</v>
      </c>
      <c r="Z53" s="92">
        <v>73.207499999999996</v>
      </c>
      <c r="AA53" s="92">
        <f t="shared" si="11"/>
        <v>29.283000000000001</v>
      </c>
    </row>
    <row r="54" spans="1:27" x14ac:dyDescent="0.25">
      <c r="A54" s="95">
        <v>45602</v>
      </c>
      <c r="B54" s="72" t="s">
        <v>522</v>
      </c>
      <c r="C54" s="72" t="s">
        <v>8</v>
      </c>
      <c r="D54" s="72" t="s">
        <v>13</v>
      </c>
      <c r="E54" s="72" t="s">
        <v>82</v>
      </c>
      <c r="F54" s="72">
        <v>1</v>
      </c>
      <c r="G54" s="73">
        <f t="shared" ref="G54:G60" si="13">VLOOKUP(D54,$S$3:$T$70,2,0)</f>
        <v>30</v>
      </c>
      <c r="H54" s="73">
        <f t="shared" si="8"/>
        <v>30</v>
      </c>
      <c r="I54" s="73">
        <f t="shared" si="9"/>
        <v>29.37</v>
      </c>
      <c r="J54" s="72" t="s">
        <v>866</v>
      </c>
      <c r="K54" s="74"/>
      <c r="M54" s="79"/>
      <c r="N54" s="76" t="e">
        <f t="shared" si="10"/>
        <v>#N/A</v>
      </c>
      <c r="O54" s="76"/>
      <c r="P54" s="81"/>
      <c r="S54" s="50" t="s">
        <v>777</v>
      </c>
      <c r="T54" s="52">
        <v>4</v>
      </c>
      <c r="U54" s="52">
        <f t="shared" si="7"/>
        <v>0.4</v>
      </c>
      <c r="Y54" s="91" t="s">
        <v>188</v>
      </c>
      <c r="Z54" s="92">
        <v>71.257499999999993</v>
      </c>
      <c r="AA54" s="92">
        <f t="shared" si="11"/>
        <v>28.503</v>
      </c>
    </row>
    <row r="55" spans="1:27" x14ac:dyDescent="0.25">
      <c r="A55" s="95">
        <v>45602</v>
      </c>
      <c r="B55" s="72" t="s">
        <v>522</v>
      </c>
      <c r="C55" s="72" t="s">
        <v>8</v>
      </c>
      <c r="D55" s="72" t="s">
        <v>22</v>
      </c>
      <c r="E55" s="72" t="s">
        <v>82</v>
      </c>
      <c r="F55" s="72">
        <v>1</v>
      </c>
      <c r="G55" s="73">
        <f t="shared" si="13"/>
        <v>30</v>
      </c>
      <c r="H55" s="73">
        <f t="shared" si="8"/>
        <v>30</v>
      </c>
      <c r="I55" s="73">
        <f t="shared" si="9"/>
        <v>29.37</v>
      </c>
      <c r="J55" s="72" t="s">
        <v>866</v>
      </c>
      <c r="K55" s="74"/>
      <c r="M55" s="72"/>
      <c r="N55" s="76" t="e">
        <f t="shared" si="10"/>
        <v>#N/A</v>
      </c>
      <c r="O55" s="76"/>
      <c r="P55" s="81"/>
      <c r="S55" s="50" t="s">
        <v>778</v>
      </c>
      <c r="T55" s="52">
        <v>2.5</v>
      </c>
      <c r="U55" s="52">
        <f t="shared" si="7"/>
        <v>0.25</v>
      </c>
      <c r="Y55" s="91" t="s">
        <v>190</v>
      </c>
      <c r="Z55" s="92">
        <v>55</v>
      </c>
      <c r="AA55" s="92">
        <f t="shared" si="11"/>
        <v>22</v>
      </c>
    </row>
    <row r="56" spans="1:27" x14ac:dyDescent="0.25">
      <c r="A56" s="95">
        <v>45602</v>
      </c>
      <c r="B56" s="72" t="s">
        <v>880</v>
      </c>
      <c r="C56" s="72" t="s">
        <v>10</v>
      </c>
      <c r="D56" s="72" t="s">
        <v>17</v>
      </c>
      <c r="E56" s="72" t="s">
        <v>56</v>
      </c>
      <c r="F56" s="72">
        <v>1</v>
      </c>
      <c r="G56" s="73">
        <f t="shared" si="13"/>
        <v>50</v>
      </c>
      <c r="H56" s="73">
        <f t="shared" si="8"/>
        <v>50</v>
      </c>
      <c r="I56" s="73">
        <f t="shared" si="9"/>
        <v>50</v>
      </c>
      <c r="J56" s="72" t="s">
        <v>79</v>
      </c>
      <c r="K56" s="74"/>
      <c r="M56" s="72" t="s">
        <v>17</v>
      </c>
      <c r="N56" s="76">
        <f t="shared" si="10"/>
        <v>20</v>
      </c>
      <c r="O56" s="76">
        <f>N56*F56</f>
        <v>20</v>
      </c>
      <c r="P56" s="81" t="s">
        <v>56</v>
      </c>
      <c r="S56" s="50" t="s">
        <v>779</v>
      </c>
      <c r="T56" s="52">
        <v>3</v>
      </c>
      <c r="U56" s="52">
        <f t="shared" si="7"/>
        <v>0.30000000000000004</v>
      </c>
      <c r="Y56" s="91" t="s">
        <v>192</v>
      </c>
      <c r="Z56" s="92">
        <v>55</v>
      </c>
      <c r="AA56" s="92">
        <f t="shared" si="11"/>
        <v>22</v>
      </c>
    </row>
    <row r="57" spans="1:27" x14ac:dyDescent="0.25">
      <c r="A57" s="95">
        <v>45602</v>
      </c>
      <c r="B57" s="72" t="s">
        <v>558</v>
      </c>
      <c r="C57" s="72" t="s">
        <v>8</v>
      </c>
      <c r="D57" s="72" t="s">
        <v>18</v>
      </c>
      <c r="E57" s="72" t="s">
        <v>56</v>
      </c>
      <c r="F57" s="72">
        <v>1</v>
      </c>
      <c r="G57" s="73">
        <f t="shared" si="13"/>
        <v>40</v>
      </c>
      <c r="H57" s="73">
        <f t="shared" si="8"/>
        <v>40</v>
      </c>
      <c r="I57" s="73">
        <f t="shared" si="9"/>
        <v>40</v>
      </c>
      <c r="J57" s="72" t="s">
        <v>83</v>
      </c>
      <c r="K57" s="74"/>
      <c r="M57" s="72" t="s">
        <v>18</v>
      </c>
      <c r="N57" s="76">
        <f t="shared" si="10"/>
        <v>16</v>
      </c>
      <c r="O57" s="76">
        <f>N57*F57</f>
        <v>16</v>
      </c>
      <c r="P57" s="81" t="s">
        <v>56</v>
      </c>
      <c r="S57" s="50" t="s">
        <v>774</v>
      </c>
      <c r="T57" s="52">
        <v>4.5</v>
      </c>
      <c r="U57" s="52">
        <f t="shared" si="7"/>
        <v>0.45</v>
      </c>
      <c r="Y57" s="91" t="s">
        <v>193</v>
      </c>
      <c r="Z57" s="92">
        <v>53.685499999999998</v>
      </c>
      <c r="AA57" s="92">
        <f t="shared" si="11"/>
        <v>21.4742</v>
      </c>
    </row>
    <row r="58" spans="1:27" x14ac:dyDescent="0.25">
      <c r="A58" s="95">
        <v>45602</v>
      </c>
      <c r="B58" s="72" t="s">
        <v>558</v>
      </c>
      <c r="C58" s="72" t="s">
        <v>8</v>
      </c>
      <c r="D58" s="72" t="s">
        <v>63</v>
      </c>
      <c r="E58" s="72" t="s">
        <v>56</v>
      </c>
      <c r="F58" s="72">
        <v>1</v>
      </c>
      <c r="G58" s="73">
        <f t="shared" si="13"/>
        <v>20</v>
      </c>
      <c r="H58" s="73">
        <f t="shared" si="8"/>
        <v>20</v>
      </c>
      <c r="I58" s="73">
        <f t="shared" si="9"/>
        <v>20</v>
      </c>
      <c r="J58" s="72" t="s">
        <v>83</v>
      </c>
      <c r="K58" s="74"/>
      <c r="M58" s="79" t="s">
        <v>63</v>
      </c>
      <c r="N58" s="76">
        <f t="shared" si="10"/>
        <v>2</v>
      </c>
      <c r="O58" s="76">
        <f>N58*F58</f>
        <v>2</v>
      </c>
      <c r="P58" s="81" t="s">
        <v>56</v>
      </c>
      <c r="S58" s="50" t="s">
        <v>766</v>
      </c>
      <c r="T58" s="52">
        <v>3.5</v>
      </c>
      <c r="U58" s="52">
        <f t="shared" si="7"/>
        <v>0.35000000000000003</v>
      </c>
      <c r="Y58" s="91" t="s">
        <v>195</v>
      </c>
      <c r="Z58" s="92">
        <v>52.255499999999998</v>
      </c>
      <c r="AA58" s="92">
        <f t="shared" si="11"/>
        <v>20.902200000000001</v>
      </c>
    </row>
    <row r="59" spans="1:27" x14ac:dyDescent="0.25">
      <c r="A59" s="95">
        <v>45602</v>
      </c>
      <c r="B59" s="72" t="s">
        <v>238</v>
      </c>
      <c r="C59" s="72" t="s">
        <v>8</v>
      </c>
      <c r="D59" s="72" t="s">
        <v>18</v>
      </c>
      <c r="E59" s="72" t="s">
        <v>82</v>
      </c>
      <c r="F59" s="72">
        <v>1</v>
      </c>
      <c r="G59" s="73">
        <f t="shared" si="13"/>
        <v>40</v>
      </c>
      <c r="H59" s="73">
        <f t="shared" si="8"/>
        <v>40</v>
      </c>
      <c r="I59" s="73">
        <f t="shared" si="9"/>
        <v>40</v>
      </c>
      <c r="J59" s="72" t="s">
        <v>79</v>
      </c>
      <c r="K59" s="74"/>
      <c r="M59" s="79"/>
      <c r="N59" s="76" t="e">
        <f t="shared" si="10"/>
        <v>#N/A</v>
      </c>
      <c r="O59" s="76"/>
      <c r="P59" s="81"/>
      <c r="S59" s="50" t="s">
        <v>38</v>
      </c>
      <c r="T59" s="52">
        <v>6</v>
      </c>
      <c r="U59" s="52">
        <f t="shared" si="7"/>
        <v>0.60000000000000009</v>
      </c>
      <c r="Y59" s="91" t="s">
        <v>197</v>
      </c>
      <c r="Z59" s="92">
        <v>100</v>
      </c>
      <c r="AA59" s="92">
        <f t="shared" si="11"/>
        <v>40</v>
      </c>
    </row>
    <row r="60" spans="1:27" x14ac:dyDescent="0.25">
      <c r="A60" s="95">
        <v>45602</v>
      </c>
      <c r="B60" s="72" t="s">
        <v>740</v>
      </c>
      <c r="C60" s="72" t="s">
        <v>8</v>
      </c>
      <c r="D60" s="72" t="s">
        <v>18</v>
      </c>
      <c r="E60" s="72" t="s">
        <v>56</v>
      </c>
      <c r="F60" s="72">
        <v>1</v>
      </c>
      <c r="G60" s="73">
        <f t="shared" si="13"/>
        <v>40</v>
      </c>
      <c r="H60" s="73">
        <f t="shared" si="8"/>
        <v>40</v>
      </c>
      <c r="I60" s="73">
        <f t="shared" si="9"/>
        <v>38.14</v>
      </c>
      <c r="J60" s="72" t="s">
        <v>865</v>
      </c>
      <c r="K60" s="74"/>
      <c r="M60" s="79" t="s">
        <v>18</v>
      </c>
      <c r="N60" s="76">
        <f t="shared" si="10"/>
        <v>16</v>
      </c>
      <c r="O60" s="76">
        <f>N60*F60</f>
        <v>16</v>
      </c>
      <c r="P60" s="81" t="s">
        <v>56</v>
      </c>
      <c r="S60" s="50" t="s">
        <v>29</v>
      </c>
      <c r="T60" s="52">
        <v>7</v>
      </c>
      <c r="U60" s="52">
        <f t="shared" si="7"/>
        <v>0.70000000000000007</v>
      </c>
      <c r="Y60" s="91" t="s">
        <v>199</v>
      </c>
      <c r="Z60" s="92">
        <v>100</v>
      </c>
      <c r="AA60" s="92">
        <f t="shared" si="11"/>
        <v>40</v>
      </c>
    </row>
    <row r="61" spans="1:27" x14ac:dyDescent="0.25">
      <c r="A61" s="95">
        <v>45603</v>
      </c>
      <c r="B61" s="72" t="s">
        <v>881</v>
      </c>
      <c r="C61" s="72" t="s">
        <v>8</v>
      </c>
      <c r="D61" s="72" t="s">
        <v>18</v>
      </c>
      <c r="E61" s="72" t="s">
        <v>82</v>
      </c>
      <c r="F61" s="72">
        <v>1</v>
      </c>
      <c r="G61" s="73">
        <v>30</v>
      </c>
      <c r="H61" s="73">
        <f t="shared" si="8"/>
        <v>30</v>
      </c>
      <c r="I61" s="73">
        <f t="shared" si="9"/>
        <v>30</v>
      </c>
      <c r="J61" s="72" t="s">
        <v>79</v>
      </c>
      <c r="K61" s="74"/>
      <c r="M61" s="79"/>
      <c r="N61" s="76" t="e">
        <f t="shared" si="10"/>
        <v>#N/A</v>
      </c>
      <c r="O61" s="76"/>
      <c r="P61" s="81"/>
      <c r="S61" s="50" t="s">
        <v>170</v>
      </c>
      <c r="T61" s="52">
        <v>5</v>
      </c>
      <c r="U61" s="52">
        <f t="shared" si="7"/>
        <v>0.5</v>
      </c>
      <c r="Y61" s="91" t="s">
        <v>201</v>
      </c>
      <c r="Z61" s="92">
        <v>97.61</v>
      </c>
      <c r="AA61" s="92">
        <f t="shared" si="11"/>
        <v>39.044000000000004</v>
      </c>
    </row>
    <row r="62" spans="1:27" x14ac:dyDescent="0.25">
      <c r="A62" s="95">
        <v>45603</v>
      </c>
      <c r="B62" s="72" t="s">
        <v>882</v>
      </c>
      <c r="C62" s="72" t="s">
        <v>8</v>
      </c>
      <c r="D62" s="72" t="s">
        <v>18</v>
      </c>
      <c r="E62" s="72" t="s">
        <v>82</v>
      </c>
      <c r="F62" s="72">
        <v>1</v>
      </c>
      <c r="G62" s="73">
        <f t="shared" ref="G62:G87" si="14">VLOOKUP(D62,$S$3:$T$70,2,0)</f>
        <v>40</v>
      </c>
      <c r="H62" s="73">
        <f t="shared" si="8"/>
        <v>40</v>
      </c>
      <c r="I62" s="73">
        <f t="shared" si="9"/>
        <v>40</v>
      </c>
      <c r="J62" s="72" t="s">
        <v>79</v>
      </c>
      <c r="K62" s="74"/>
      <c r="M62" s="79"/>
      <c r="N62" s="76" t="e">
        <f t="shared" si="10"/>
        <v>#N/A</v>
      </c>
      <c r="O62" s="76"/>
      <c r="P62" s="81"/>
      <c r="S62" s="50" t="s">
        <v>48</v>
      </c>
      <c r="T62" s="52">
        <v>10</v>
      </c>
      <c r="U62" s="52">
        <f t="shared" si="7"/>
        <v>1</v>
      </c>
      <c r="Y62" s="91" t="s">
        <v>203</v>
      </c>
      <c r="Z62" s="92">
        <v>95.01</v>
      </c>
      <c r="AA62" s="92">
        <f t="shared" si="11"/>
        <v>38.004000000000005</v>
      </c>
    </row>
    <row r="63" spans="1:27" x14ac:dyDescent="0.25">
      <c r="A63" s="95">
        <v>45603</v>
      </c>
      <c r="B63" s="72" t="s">
        <v>883</v>
      </c>
      <c r="C63" s="72" t="s">
        <v>8</v>
      </c>
      <c r="D63" s="72" t="s">
        <v>18</v>
      </c>
      <c r="E63" s="72" t="s">
        <v>56</v>
      </c>
      <c r="F63" s="72">
        <v>1</v>
      </c>
      <c r="G63" s="73">
        <f t="shared" si="14"/>
        <v>40</v>
      </c>
      <c r="H63" s="73">
        <f t="shared" si="8"/>
        <v>40</v>
      </c>
      <c r="I63" s="73">
        <f t="shared" si="9"/>
        <v>40</v>
      </c>
      <c r="J63" s="72" t="s">
        <v>79</v>
      </c>
      <c r="K63" s="74"/>
      <c r="M63" s="79" t="s">
        <v>18</v>
      </c>
      <c r="N63" s="76">
        <f t="shared" si="10"/>
        <v>16</v>
      </c>
      <c r="O63" s="76">
        <f t="shared" ref="O63:O68" si="15">N63*F63</f>
        <v>16</v>
      </c>
      <c r="P63" s="81" t="s">
        <v>56</v>
      </c>
      <c r="S63" s="50" t="s">
        <v>44</v>
      </c>
      <c r="T63" s="52">
        <v>5</v>
      </c>
      <c r="U63" s="52">
        <f t="shared" si="7"/>
        <v>0.5</v>
      </c>
      <c r="Y63" s="91" t="s">
        <v>205</v>
      </c>
      <c r="Z63" s="92">
        <v>80</v>
      </c>
      <c r="AA63" s="92">
        <f t="shared" si="11"/>
        <v>32</v>
      </c>
    </row>
    <row r="64" spans="1:27" x14ac:dyDescent="0.25">
      <c r="A64" s="95">
        <v>45603</v>
      </c>
      <c r="B64" s="72" t="s">
        <v>524</v>
      </c>
      <c r="C64" s="72" t="s">
        <v>8</v>
      </c>
      <c r="D64" s="72" t="s">
        <v>16</v>
      </c>
      <c r="E64" s="72" t="s">
        <v>56</v>
      </c>
      <c r="F64" s="72">
        <v>1</v>
      </c>
      <c r="G64" s="73">
        <f t="shared" si="14"/>
        <v>80</v>
      </c>
      <c r="H64" s="73">
        <f t="shared" si="8"/>
        <v>80</v>
      </c>
      <c r="I64" s="73">
        <f t="shared" si="9"/>
        <v>80</v>
      </c>
      <c r="J64" s="72" t="s">
        <v>83</v>
      </c>
      <c r="K64" s="74"/>
      <c r="M64" s="79" t="s">
        <v>16</v>
      </c>
      <c r="N64" s="76">
        <f t="shared" si="10"/>
        <v>32</v>
      </c>
      <c r="O64" s="76">
        <f t="shared" si="15"/>
        <v>32</v>
      </c>
      <c r="P64" s="81" t="s">
        <v>56</v>
      </c>
      <c r="Q64" s="106"/>
      <c r="S64" s="50" t="s">
        <v>37</v>
      </c>
      <c r="T64" s="52">
        <v>7</v>
      </c>
      <c r="U64" s="52">
        <f t="shared" si="7"/>
        <v>0.70000000000000007</v>
      </c>
      <c r="Y64" s="91" t="s">
        <v>207</v>
      </c>
      <c r="Z64" s="92">
        <v>80</v>
      </c>
      <c r="AA64" s="92">
        <f t="shared" si="11"/>
        <v>32</v>
      </c>
    </row>
    <row r="65" spans="1:27" x14ac:dyDescent="0.25">
      <c r="A65" s="95">
        <v>45603</v>
      </c>
      <c r="B65" s="72" t="s">
        <v>606</v>
      </c>
      <c r="C65" s="72" t="s">
        <v>8</v>
      </c>
      <c r="D65" s="72" t="s">
        <v>18</v>
      </c>
      <c r="E65" s="72" t="s">
        <v>56</v>
      </c>
      <c r="F65" s="72">
        <v>1</v>
      </c>
      <c r="G65" s="73">
        <f t="shared" si="14"/>
        <v>40</v>
      </c>
      <c r="H65" s="73">
        <f t="shared" si="8"/>
        <v>40</v>
      </c>
      <c r="I65" s="73">
        <f t="shared" si="9"/>
        <v>39.159999999999997</v>
      </c>
      <c r="J65" s="72" t="s">
        <v>866</v>
      </c>
      <c r="K65" s="74"/>
      <c r="M65" s="79" t="s">
        <v>18</v>
      </c>
      <c r="N65" s="76">
        <f t="shared" si="10"/>
        <v>16</v>
      </c>
      <c r="O65" s="76">
        <f t="shared" si="15"/>
        <v>16</v>
      </c>
      <c r="P65" s="81" t="s">
        <v>56</v>
      </c>
      <c r="S65" s="50" t="s">
        <v>179</v>
      </c>
      <c r="T65" s="52">
        <v>3.5</v>
      </c>
      <c r="U65" s="52">
        <f t="shared" si="7"/>
        <v>0.35000000000000003</v>
      </c>
      <c r="Y65" s="91" t="s">
        <v>208</v>
      </c>
      <c r="Z65" s="92">
        <v>78.087999999999994</v>
      </c>
      <c r="AA65" s="92">
        <f t="shared" si="11"/>
        <v>31.235199999999999</v>
      </c>
    </row>
    <row r="66" spans="1:27" x14ac:dyDescent="0.25">
      <c r="A66" s="95">
        <v>45603</v>
      </c>
      <c r="B66" s="72" t="s">
        <v>225</v>
      </c>
      <c r="C66" s="72" t="s">
        <v>8</v>
      </c>
      <c r="D66" s="72" t="s">
        <v>18</v>
      </c>
      <c r="E66" s="72" t="s">
        <v>56</v>
      </c>
      <c r="F66" s="72">
        <v>1</v>
      </c>
      <c r="G66" s="73">
        <f t="shared" si="14"/>
        <v>40</v>
      </c>
      <c r="H66" s="73">
        <f t="shared" si="8"/>
        <v>40</v>
      </c>
      <c r="I66" s="73">
        <f t="shared" si="9"/>
        <v>40</v>
      </c>
      <c r="J66" s="72" t="s">
        <v>83</v>
      </c>
      <c r="K66" s="74"/>
      <c r="M66" s="79" t="s">
        <v>18</v>
      </c>
      <c r="N66" s="76">
        <f t="shared" si="10"/>
        <v>16</v>
      </c>
      <c r="O66" s="76">
        <f t="shared" si="15"/>
        <v>16</v>
      </c>
      <c r="P66" s="81" t="s">
        <v>56</v>
      </c>
      <c r="S66" s="50" t="s">
        <v>46</v>
      </c>
      <c r="T66" s="52">
        <v>5</v>
      </c>
      <c r="U66" s="52">
        <f t="shared" si="7"/>
        <v>0.5</v>
      </c>
      <c r="Y66" s="91" t="s">
        <v>209</v>
      </c>
      <c r="Z66" s="92">
        <v>76.007999999999996</v>
      </c>
      <c r="AA66" s="92">
        <f t="shared" si="11"/>
        <v>30.403199999999998</v>
      </c>
    </row>
    <row r="67" spans="1:27" x14ac:dyDescent="0.25">
      <c r="A67" s="95">
        <v>45603</v>
      </c>
      <c r="B67" s="72" t="s">
        <v>612</v>
      </c>
      <c r="C67" s="72" t="s">
        <v>8</v>
      </c>
      <c r="D67" s="72" t="s">
        <v>13</v>
      </c>
      <c r="E67" s="72" t="s">
        <v>56</v>
      </c>
      <c r="F67" s="72">
        <v>1</v>
      </c>
      <c r="G67" s="73">
        <f t="shared" si="14"/>
        <v>30</v>
      </c>
      <c r="H67" s="73">
        <f t="shared" ref="H67:H98" si="16">F67*G67</f>
        <v>30</v>
      </c>
      <c r="I67" s="73">
        <f t="shared" ref="I67:I98" si="17">IF(J67="Master Debito",H67-(H67*$AC$5),IF(J67="Master Credito",H67-(H67*$AC$6), IF(J67="Visa Debito",H67-(H67*$AC$7), IF(J67="Visa Credito", H67-(H67*$AC$8), IF(J67="Elo Debito", H67-(H67*$AC$9), IF(J67="Elo Credito", H67-(H67*$AC$10), IF(J67="Pix", H67-(H67*$AC$11), IF(J67="Dinheiro (R$)", H67-(H67*$AC$12)))))))))</f>
        <v>29.373750000000001</v>
      </c>
      <c r="J67" s="72" t="s">
        <v>868</v>
      </c>
      <c r="K67" s="74"/>
      <c r="M67" s="79" t="s">
        <v>13</v>
      </c>
      <c r="N67" s="76">
        <f t="shared" ref="N67:N93" si="18">VLOOKUP(M67,$S$3:$U$70,3,0)</f>
        <v>12</v>
      </c>
      <c r="O67" s="76">
        <f t="shared" si="15"/>
        <v>12</v>
      </c>
      <c r="P67" s="81" t="s">
        <v>56</v>
      </c>
      <c r="S67" s="50" t="s">
        <v>183</v>
      </c>
      <c r="T67" s="52">
        <v>7</v>
      </c>
      <c r="U67" s="52">
        <f t="shared" si="7"/>
        <v>0.70000000000000007</v>
      </c>
      <c r="Y67" s="91" t="s">
        <v>211</v>
      </c>
      <c r="Z67" s="92">
        <v>130</v>
      </c>
      <c r="AA67" s="92">
        <f t="shared" ref="AA67:AA74" si="19">Z67*0.4</f>
        <v>52</v>
      </c>
    </row>
    <row r="68" spans="1:27" x14ac:dyDescent="0.25">
      <c r="A68" s="95">
        <v>45603</v>
      </c>
      <c r="B68" s="72" t="s">
        <v>612</v>
      </c>
      <c r="C68" s="72" t="s">
        <v>8</v>
      </c>
      <c r="D68" s="72" t="s">
        <v>778</v>
      </c>
      <c r="E68" s="72" t="s">
        <v>56</v>
      </c>
      <c r="F68" s="72">
        <v>1</v>
      </c>
      <c r="G68" s="73">
        <f t="shared" si="14"/>
        <v>2.5</v>
      </c>
      <c r="H68" s="73">
        <f t="shared" si="16"/>
        <v>2.5</v>
      </c>
      <c r="I68" s="73">
        <f t="shared" si="17"/>
        <v>2.4478124999999999</v>
      </c>
      <c r="J68" s="72" t="s">
        <v>868</v>
      </c>
      <c r="K68" s="74"/>
      <c r="M68" s="79" t="s">
        <v>778</v>
      </c>
      <c r="N68" s="76">
        <f t="shared" si="18"/>
        <v>0.25</v>
      </c>
      <c r="O68" s="76">
        <f t="shared" si="15"/>
        <v>0.25</v>
      </c>
      <c r="P68" s="81" t="s">
        <v>56</v>
      </c>
      <c r="S68" s="50" t="s">
        <v>35</v>
      </c>
      <c r="T68" s="52">
        <v>7</v>
      </c>
      <c r="U68" s="52">
        <f t="shared" si="7"/>
        <v>0.70000000000000007</v>
      </c>
      <c r="Y68" s="91" t="s">
        <v>213</v>
      </c>
      <c r="Z68" s="92">
        <v>130</v>
      </c>
      <c r="AA68" s="92">
        <f t="shared" si="19"/>
        <v>52</v>
      </c>
    </row>
    <row r="69" spans="1:27" x14ac:dyDescent="0.25">
      <c r="A69" s="95">
        <v>45603</v>
      </c>
      <c r="B69" s="72" t="s">
        <v>884</v>
      </c>
      <c r="C69" s="72" t="s">
        <v>8</v>
      </c>
      <c r="D69" s="72" t="s">
        <v>40</v>
      </c>
      <c r="E69" s="72" t="s">
        <v>82</v>
      </c>
      <c r="F69" s="72">
        <v>2</v>
      </c>
      <c r="G69" s="73">
        <f t="shared" si="14"/>
        <v>45</v>
      </c>
      <c r="H69" s="73">
        <f t="shared" si="16"/>
        <v>90</v>
      </c>
      <c r="I69" s="73">
        <f t="shared" si="17"/>
        <v>90</v>
      </c>
      <c r="J69" s="72" t="s">
        <v>83</v>
      </c>
      <c r="K69" s="74"/>
      <c r="M69" s="79"/>
      <c r="N69" s="76" t="e">
        <f t="shared" si="18"/>
        <v>#N/A</v>
      </c>
      <c r="O69" s="76"/>
      <c r="P69" s="81"/>
      <c r="S69" s="50" t="s">
        <v>155</v>
      </c>
      <c r="T69" s="52">
        <v>3.5</v>
      </c>
      <c r="U69" s="52">
        <f t="shared" si="7"/>
        <v>0.35000000000000003</v>
      </c>
      <c r="Y69" s="91" t="s">
        <v>214</v>
      </c>
      <c r="Z69" s="92">
        <v>126.893</v>
      </c>
      <c r="AA69" s="92">
        <f t="shared" si="19"/>
        <v>50.757200000000005</v>
      </c>
    </row>
    <row r="70" spans="1:27" x14ac:dyDescent="0.25">
      <c r="A70" s="95">
        <v>45603</v>
      </c>
      <c r="B70" s="72" t="s">
        <v>202</v>
      </c>
      <c r="C70" s="72" t="s">
        <v>8</v>
      </c>
      <c r="D70" s="72" t="s">
        <v>774</v>
      </c>
      <c r="E70" s="72" t="s">
        <v>82</v>
      </c>
      <c r="F70" s="72">
        <v>1</v>
      </c>
      <c r="G70" s="73">
        <f t="shared" si="14"/>
        <v>4.5</v>
      </c>
      <c r="H70" s="73">
        <f t="shared" si="16"/>
        <v>4.5</v>
      </c>
      <c r="I70" s="73">
        <f t="shared" si="17"/>
        <v>4.5</v>
      </c>
      <c r="J70" s="72" t="s">
        <v>83</v>
      </c>
      <c r="K70" s="74"/>
      <c r="M70" s="79"/>
      <c r="N70" s="76" t="e">
        <f t="shared" si="18"/>
        <v>#N/A</v>
      </c>
      <c r="O70" s="76"/>
      <c r="P70" s="81"/>
      <c r="S70" s="50" t="s">
        <v>45</v>
      </c>
      <c r="T70" s="52">
        <v>3.5</v>
      </c>
      <c r="U70" s="52">
        <f t="shared" si="7"/>
        <v>0.35000000000000003</v>
      </c>
      <c r="Y70" s="91" t="s">
        <v>208</v>
      </c>
      <c r="Z70" s="92">
        <v>78.087999999999994</v>
      </c>
      <c r="AA70" s="92">
        <f t="shared" si="19"/>
        <v>31.235199999999999</v>
      </c>
    </row>
    <row r="71" spans="1:27" x14ac:dyDescent="0.25">
      <c r="A71" s="95">
        <v>45603</v>
      </c>
      <c r="B71" s="72" t="s">
        <v>244</v>
      </c>
      <c r="C71" s="72" t="s">
        <v>8</v>
      </c>
      <c r="D71" s="72" t="s">
        <v>22</v>
      </c>
      <c r="E71" s="72" t="s">
        <v>82</v>
      </c>
      <c r="F71" s="72">
        <v>1</v>
      </c>
      <c r="G71" s="73">
        <f t="shared" si="14"/>
        <v>30</v>
      </c>
      <c r="H71" s="73">
        <f t="shared" si="16"/>
        <v>30</v>
      </c>
      <c r="I71" s="73">
        <f t="shared" si="17"/>
        <v>30</v>
      </c>
      <c r="J71" s="72" t="s">
        <v>83</v>
      </c>
      <c r="K71" s="74"/>
      <c r="M71" s="79"/>
      <c r="N71" s="76" t="e">
        <f t="shared" si="18"/>
        <v>#N/A</v>
      </c>
      <c r="O71" s="76"/>
      <c r="P71" s="81"/>
      <c r="Y71" s="91" t="s">
        <v>219</v>
      </c>
      <c r="Z71" s="92">
        <v>90</v>
      </c>
      <c r="AA71" s="92">
        <f t="shared" si="19"/>
        <v>36</v>
      </c>
    </row>
    <row r="72" spans="1:27" x14ac:dyDescent="0.25">
      <c r="A72" s="95">
        <v>45603</v>
      </c>
      <c r="B72" s="72" t="s">
        <v>274</v>
      </c>
      <c r="C72" s="72" t="s">
        <v>8</v>
      </c>
      <c r="D72" s="72" t="s">
        <v>15</v>
      </c>
      <c r="E72" s="72" t="s">
        <v>82</v>
      </c>
      <c r="F72" s="72">
        <v>1</v>
      </c>
      <c r="G72" s="73">
        <f t="shared" si="14"/>
        <v>70</v>
      </c>
      <c r="H72" s="73">
        <f t="shared" si="16"/>
        <v>70</v>
      </c>
      <c r="I72" s="73">
        <f t="shared" si="17"/>
        <v>70</v>
      </c>
      <c r="J72" s="72" t="s">
        <v>83</v>
      </c>
      <c r="K72" s="74"/>
      <c r="M72" s="79"/>
      <c r="N72" s="76" t="e">
        <f t="shared" si="18"/>
        <v>#N/A</v>
      </c>
      <c r="O72" s="76"/>
      <c r="P72" s="81"/>
      <c r="Y72" s="91" t="s">
        <v>221</v>
      </c>
      <c r="Z72" s="92">
        <v>90</v>
      </c>
      <c r="AA72" s="92">
        <f t="shared" si="19"/>
        <v>36</v>
      </c>
    </row>
    <row r="73" spans="1:27" x14ac:dyDescent="0.25">
      <c r="A73" s="95">
        <v>45604</v>
      </c>
      <c r="B73" s="72" t="s">
        <v>210</v>
      </c>
      <c r="C73" s="72" t="s">
        <v>8</v>
      </c>
      <c r="D73" s="72" t="s">
        <v>18</v>
      </c>
      <c r="E73" s="72" t="s">
        <v>56</v>
      </c>
      <c r="F73" s="72">
        <v>1</v>
      </c>
      <c r="G73" s="73">
        <f t="shared" si="14"/>
        <v>40</v>
      </c>
      <c r="H73" s="73">
        <f t="shared" si="16"/>
        <v>40</v>
      </c>
      <c r="I73" s="73">
        <f t="shared" si="17"/>
        <v>38</v>
      </c>
      <c r="J73" s="72" t="s">
        <v>867</v>
      </c>
      <c r="K73" s="74"/>
      <c r="M73" s="79" t="s">
        <v>18</v>
      </c>
      <c r="N73" s="76">
        <f t="shared" si="18"/>
        <v>16</v>
      </c>
      <c r="O73" s="76">
        <f>N73*F73</f>
        <v>16</v>
      </c>
      <c r="P73" s="81" t="s">
        <v>56</v>
      </c>
      <c r="Y73" s="91" t="s">
        <v>222</v>
      </c>
      <c r="Z73" s="92">
        <v>87.849000000000004</v>
      </c>
      <c r="AA73" s="92">
        <f t="shared" si="19"/>
        <v>35.139600000000002</v>
      </c>
    </row>
    <row r="74" spans="1:27" x14ac:dyDescent="0.25">
      <c r="A74" s="95">
        <v>45604</v>
      </c>
      <c r="B74" s="72" t="s">
        <v>736</v>
      </c>
      <c r="C74" s="72" t="s">
        <v>8</v>
      </c>
      <c r="D74" s="72" t="s">
        <v>15</v>
      </c>
      <c r="E74" s="72" t="s">
        <v>82</v>
      </c>
      <c r="F74" s="72">
        <v>1</v>
      </c>
      <c r="G74" s="73">
        <f t="shared" si="14"/>
        <v>70</v>
      </c>
      <c r="H74" s="73">
        <f t="shared" si="16"/>
        <v>70</v>
      </c>
      <c r="I74" s="73">
        <f t="shared" si="17"/>
        <v>68.53</v>
      </c>
      <c r="J74" s="72" t="s">
        <v>866</v>
      </c>
      <c r="K74" s="74"/>
      <c r="M74" s="79"/>
      <c r="N74" s="76" t="e">
        <f t="shared" si="18"/>
        <v>#N/A</v>
      </c>
      <c r="O74" s="76"/>
      <c r="P74" s="81"/>
      <c r="Y74" s="91" t="s">
        <v>224</v>
      </c>
      <c r="Z74" s="92">
        <v>85.509</v>
      </c>
      <c r="AA74" s="92">
        <f t="shared" si="19"/>
        <v>34.203600000000002</v>
      </c>
    </row>
    <row r="75" spans="1:27" x14ac:dyDescent="0.25">
      <c r="A75" s="95">
        <v>45604</v>
      </c>
      <c r="B75" s="72" t="s">
        <v>561</v>
      </c>
      <c r="C75" s="72" t="s">
        <v>8</v>
      </c>
      <c r="D75" s="72" t="s">
        <v>17</v>
      </c>
      <c r="E75" s="72" t="s">
        <v>82</v>
      </c>
      <c r="F75" s="72">
        <v>1</v>
      </c>
      <c r="G75" s="73">
        <f t="shared" si="14"/>
        <v>50</v>
      </c>
      <c r="H75" s="73">
        <f t="shared" si="16"/>
        <v>50</v>
      </c>
      <c r="I75" s="73" t="b">
        <f t="shared" si="17"/>
        <v>0</v>
      </c>
      <c r="J75" s="72"/>
      <c r="K75" s="74"/>
      <c r="M75" s="79"/>
      <c r="N75" s="76" t="e">
        <f t="shared" si="18"/>
        <v>#N/A</v>
      </c>
      <c r="O75" s="76"/>
      <c r="P75" s="81"/>
      <c r="Y75" s="91" t="s">
        <v>226</v>
      </c>
      <c r="Z75" s="92">
        <v>30</v>
      </c>
      <c r="AA75" s="92">
        <f t="shared" ref="AA75:AA117" si="20">Z75*0.1</f>
        <v>3</v>
      </c>
    </row>
    <row r="76" spans="1:27" x14ac:dyDescent="0.25">
      <c r="A76" s="95">
        <v>45604</v>
      </c>
      <c r="B76" s="72" t="s">
        <v>802</v>
      </c>
      <c r="C76" s="72" t="s">
        <v>8</v>
      </c>
      <c r="D76" s="72" t="s">
        <v>19</v>
      </c>
      <c r="E76" s="72" t="s">
        <v>56</v>
      </c>
      <c r="F76" s="72">
        <v>1</v>
      </c>
      <c r="G76" s="73">
        <f t="shared" si="14"/>
        <v>40</v>
      </c>
      <c r="H76" s="73">
        <f t="shared" si="16"/>
        <v>40</v>
      </c>
      <c r="I76" s="73">
        <f t="shared" si="17"/>
        <v>40</v>
      </c>
      <c r="J76" s="72" t="s">
        <v>83</v>
      </c>
      <c r="K76" s="74"/>
      <c r="M76" s="79" t="s">
        <v>19</v>
      </c>
      <c r="N76" s="76">
        <f t="shared" si="18"/>
        <v>16</v>
      </c>
      <c r="O76" s="76">
        <f>N76*F76</f>
        <v>16</v>
      </c>
      <c r="P76" s="81" t="s">
        <v>56</v>
      </c>
      <c r="Y76" s="91" t="s">
        <v>228</v>
      </c>
      <c r="Z76" s="92">
        <v>30</v>
      </c>
      <c r="AA76" s="92">
        <f t="shared" si="20"/>
        <v>3</v>
      </c>
    </row>
    <row r="77" spans="1:27" x14ac:dyDescent="0.25">
      <c r="A77" s="95">
        <v>45604</v>
      </c>
      <c r="B77" s="72" t="s">
        <v>555</v>
      </c>
      <c r="C77" s="72" t="s">
        <v>8</v>
      </c>
      <c r="D77" s="72" t="s">
        <v>18</v>
      </c>
      <c r="E77" s="72" t="s">
        <v>82</v>
      </c>
      <c r="F77" s="72">
        <v>1</v>
      </c>
      <c r="G77" s="73">
        <f t="shared" si="14"/>
        <v>40</v>
      </c>
      <c r="H77" s="73">
        <f t="shared" si="16"/>
        <v>40</v>
      </c>
      <c r="I77" s="73">
        <f t="shared" si="17"/>
        <v>38</v>
      </c>
      <c r="J77" s="72" t="s">
        <v>867</v>
      </c>
      <c r="K77" s="74"/>
      <c r="M77" s="79"/>
      <c r="N77" s="76" t="e">
        <f t="shared" si="18"/>
        <v>#N/A</v>
      </c>
      <c r="O77" s="76"/>
      <c r="P77" s="81"/>
      <c r="Y77" s="91" t="s">
        <v>230</v>
      </c>
      <c r="Z77" s="92">
        <v>29.283000000000001</v>
      </c>
      <c r="AA77" s="92">
        <f t="shared" si="20"/>
        <v>2.9283000000000001</v>
      </c>
    </row>
    <row r="78" spans="1:27" x14ac:dyDescent="0.25">
      <c r="A78" s="95">
        <v>45604</v>
      </c>
      <c r="B78" s="72" t="s">
        <v>605</v>
      </c>
      <c r="C78" s="72" t="s">
        <v>8</v>
      </c>
      <c r="D78" s="72" t="s">
        <v>18</v>
      </c>
      <c r="E78" s="72" t="s">
        <v>56</v>
      </c>
      <c r="F78" s="72">
        <v>1</v>
      </c>
      <c r="G78" s="73">
        <f t="shared" si="14"/>
        <v>40</v>
      </c>
      <c r="H78" s="73">
        <f t="shared" si="16"/>
        <v>40</v>
      </c>
      <c r="I78" s="73">
        <f t="shared" si="17"/>
        <v>40</v>
      </c>
      <c r="J78" s="72" t="s">
        <v>83</v>
      </c>
      <c r="K78" s="74"/>
      <c r="M78" s="79" t="s">
        <v>18</v>
      </c>
      <c r="N78" s="76">
        <f t="shared" si="18"/>
        <v>16</v>
      </c>
      <c r="O78" s="76">
        <f>N78*F78</f>
        <v>16</v>
      </c>
      <c r="P78" s="81" t="s">
        <v>56</v>
      </c>
      <c r="Y78" s="91" t="s">
        <v>231</v>
      </c>
      <c r="Z78" s="92">
        <v>28.503</v>
      </c>
      <c r="AA78" s="92">
        <f t="shared" si="20"/>
        <v>2.8503000000000003</v>
      </c>
    </row>
    <row r="79" spans="1:27" x14ac:dyDescent="0.25">
      <c r="A79" s="95">
        <v>45604</v>
      </c>
      <c r="B79" s="72" t="s">
        <v>605</v>
      </c>
      <c r="C79" s="72" t="s">
        <v>8</v>
      </c>
      <c r="D79" s="72" t="s">
        <v>20</v>
      </c>
      <c r="E79" s="72" t="s">
        <v>56</v>
      </c>
      <c r="F79" s="72">
        <v>1</v>
      </c>
      <c r="G79" s="73">
        <f t="shared" si="14"/>
        <v>15</v>
      </c>
      <c r="H79" s="73">
        <f t="shared" si="16"/>
        <v>15</v>
      </c>
      <c r="I79" s="73">
        <f t="shared" si="17"/>
        <v>15</v>
      </c>
      <c r="J79" s="72" t="s">
        <v>83</v>
      </c>
      <c r="K79" s="74"/>
      <c r="M79" s="79" t="s">
        <v>20</v>
      </c>
      <c r="N79" s="76">
        <f t="shared" si="18"/>
        <v>6</v>
      </c>
      <c r="O79" s="76">
        <f>N79*F79</f>
        <v>6</v>
      </c>
      <c r="P79" s="81" t="s">
        <v>56</v>
      </c>
      <c r="Q79" s="106"/>
      <c r="Y79" s="91" t="s">
        <v>232</v>
      </c>
      <c r="Z79" s="92">
        <v>30</v>
      </c>
      <c r="AA79" s="92">
        <f t="shared" si="20"/>
        <v>3</v>
      </c>
    </row>
    <row r="80" spans="1:27" x14ac:dyDescent="0.25">
      <c r="A80" s="95">
        <v>45604</v>
      </c>
      <c r="B80" s="72" t="s">
        <v>885</v>
      </c>
      <c r="C80" s="72" t="s">
        <v>10</v>
      </c>
      <c r="D80" s="72" t="s">
        <v>15</v>
      </c>
      <c r="E80" s="72" t="s">
        <v>56</v>
      </c>
      <c r="F80" s="72">
        <v>1</v>
      </c>
      <c r="G80" s="73">
        <f t="shared" si="14"/>
        <v>70</v>
      </c>
      <c r="H80" s="73">
        <f t="shared" si="16"/>
        <v>70</v>
      </c>
      <c r="I80" s="73">
        <f t="shared" si="17"/>
        <v>70</v>
      </c>
      <c r="J80" s="72" t="s">
        <v>83</v>
      </c>
      <c r="K80" s="74"/>
      <c r="M80" s="79" t="s">
        <v>15</v>
      </c>
      <c r="N80" s="76">
        <f t="shared" si="18"/>
        <v>28</v>
      </c>
      <c r="O80" s="76">
        <f>N80*F80</f>
        <v>28</v>
      </c>
      <c r="P80" s="81" t="s">
        <v>56</v>
      </c>
      <c r="Y80" s="91" t="s">
        <v>234</v>
      </c>
      <c r="Z80" s="92">
        <v>30</v>
      </c>
      <c r="AA80" s="92">
        <f t="shared" si="20"/>
        <v>3</v>
      </c>
    </row>
    <row r="81" spans="1:27" x14ac:dyDescent="0.25">
      <c r="A81" s="95">
        <v>45604</v>
      </c>
      <c r="B81" s="72" t="s">
        <v>504</v>
      </c>
      <c r="C81" s="72" t="s">
        <v>8</v>
      </c>
      <c r="D81" s="72" t="s">
        <v>15</v>
      </c>
      <c r="E81" s="72" t="s">
        <v>82</v>
      </c>
      <c r="F81" s="72">
        <v>1</v>
      </c>
      <c r="G81" s="73">
        <f t="shared" si="14"/>
        <v>70</v>
      </c>
      <c r="H81" s="73">
        <f t="shared" si="16"/>
        <v>70</v>
      </c>
      <c r="I81" s="73">
        <f t="shared" si="17"/>
        <v>70</v>
      </c>
      <c r="J81" s="72" t="s">
        <v>83</v>
      </c>
      <c r="K81" s="74"/>
      <c r="M81" s="79"/>
      <c r="N81" s="76" t="e">
        <f t="shared" si="18"/>
        <v>#N/A</v>
      </c>
      <c r="O81" s="76"/>
      <c r="P81" s="81"/>
      <c r="Y81" s="91" t="s">
        <v>235</v>
      </c>
      <c r="Z81" s="92">
        <v>29.283000000000001</v>
      </c>
      <c r="AA81" s="92">
        <f t="shared" si="20"/>
        <v>2.9283000000000001</v>
      </c>
    </row>
    <row r="82" spans="1:27" x14ac:dyDescent="0.25">
      <c r="A82" s="95">
        <v>45604</v>
      </c>
      <c r="B82" s="72" t="s">
        <v>578</v>
      </c>
      <c r="C82" s="72" t="s">
        <v>8</v>
      </c>
      <c r="D82" s="72" t="s">
        <v>18</v>
      </c>
      <c r="E82" s="72" t="s">
        <v>82</v>
      </c>
      <c r="F82" s="72">
        <v>1</v>
      </c>
      <c r="G82" s="73">
        <f t="shared" si="14"/>
        <v>40</v>
      </c>
      <c r="H82" s="73">
        <f t="shared" si="16"/>
        <v>40</v>
      </c>
      <c r="I82" s="73">
        <f t="shared" si="17"/>
        <v>40</v>
      </c>
      <c r="J82" s="72" t="s">
        <v>83</v>
      </c>
      <c r="K82" s="74"/>
      <c r="M82" s="79"/>
      <c r="N82" s="76" t="e">
        <f t="shared" si="18"/>
        <v>#N/A</v>
      </c>
      <c r="O82" s="76"/>
      <c r="P82" s="81"/>
      <c r="Y82" s="91" t="s">
        <v>237</v>
      </c>
      <c r="Z82" s="92">
        <v>28.503</v>
      </c>
      <c r="AA82" s="92">
        <f t="shared" si="20"/>
        <v>2.8503000000000003</v>
      </c>
    </row>
    <row r="83" spans="1:27" x14ac:dyDescent="0.25">
      <c r="A83" s="95">
        <v>45604</v>
      </c>
      <c r="B83" s="72" t="s">
        <v>204</v>
      </c>
      <c r="C83" s="72" t="s">
        <v>8</v>
      </c>
      <c r="D83" s="72" t="s">
        <v>43</v>
      </c>
      <c r="E83" s="72" t="s">
        <v>82</v>
      </c>
      <c r="F83" s="72">
        <v>1</v>
      </c>
      <c r="G83" s="73">
        <f t="shared" si="14"/>
        <v>130</v>
      </c>
      <c r="H83" s="73">
        <f t="shared" si="16"/>
        <v>130</v>
      </c>
      <c r="I83" s="73">
        <f t="shared" si="17"/>
        <v>123.5</v>
      </c>
      <c r="J83" s="72" t="s">
        <v>867</v>
      </c>
      <c r="K83" s="74"/>
      <c r="M83" s="79"/>
      <c r="N83" s="76" t="e">
        <f t="shared" si="18"/>
        <v>#N/A</v>
      </c>
      <c r="O83" s="76"/>
      <c r="P83" s="81"/>
      <c r="Y83" s="91" t="s">
        <v>239</v>
      </c>
      <c r="Z83" s="92">
        <v>30</v>
      </c>
      <c r="AA83" s="92">
        <f t="shared" si="20"/>
        <v>3</v>
      </c>
    </row>
    <row r="84" spans="1:27" x14ac:dyDescent="0.25">
      <c r="A84" s="95">
        <v>45604</v>
      </c>
      <c r="B84" s="72" t="s">
        <v>886</v>
      </c>
      <c r="C84" s="72" t="s">
        <v>8</v>
      </c>
      <c r="D84" s="72" t="s">
        <v>18</v>
      </c>
      <c r="E84" s="72" t="s">
        <v>56</v>
      </c>
      <c r="F84" s="72">
        <v>1</v>
      </c>
      <c r="G84" s="73">
        <f t="shared" si="14"/>
        <v>40</v>
      </c>
      <c r="H84" s="73">
        <f t="shared" si="16"/>
        <v>40</v>
      </c>
      <c r="I84" s="73">
        <f t="shared" si="17"/>
        <v>40</v>
      </c>
      <c r="J84" s="72" t="s">
        <v>79</v>
      </c>
      <c r="K84" s="74"/>
      <c r="M84" s="79" t="s">
        <v>18</v>
      </c>
      <c r="N84" s="76">
        <f t="shared" si="18"/>
        <v>16</v>
      </c>
      <c r="O84" s="76">
        <f>N84*F84</f>
        <v>16</v>
      </c>
      <c r="P84" s="81" t="s">
        <v>56</v>
      </c>
      <c r="Y84" s="91" t="s">
        <v>241</v>
      </c>
      <c r="Z84" s="92">
        <v>30</v>
      </c>
      <c r="AA84" s="92">
        <f t="shared" si="20"/>
        <v>3</v>
      </c>
    </row>
    <row r="85" spans="1:27" x14ac:dyDescent="0.25">
      <c r="A85" s="95">
        <v>45604</v>
      </c>
      <c r="B85" s="72" t="s">
        <v>887</v>
      </c>
      <c r="C85" s="72" t="s">
        <v>8</v>
      </c>
      <c r="D85" s="72" t="s">
        <v>18</v>
      </c>
      <c r="E85" s="72" t="s">
        <v>56</v>
      </c>
      <c r="F85" s="72">
        <v>1</v>
      </c>
      <c r="G85" s="73">
        <f t="shared" si="14"/>
        <v>40</v>
      </c>
      <c r="H85" s="73">
        <f t="shared" si="16"/>
        <v>40</v>
      </c>
      <c r="I85" s="73">
        <f t="shared" si="17"/>
        <v>38</v>
      </c>
      <c r="J85" s="72" t="s">
        <v>867</v>
      </c>
      <c r="K85" s="74"/>
      <c r="M85" s="79" t="s">
        <v>18</v>
      </c>
      <c r="N85" s="76">
        <f t="shared" si="18"/>
        <v>16</v>
      </c>
      <c r="O85" s="76">
        <f>N85*F85</f>
        <v>16</v>
      </c>
      <c r="P85" s="81" t="s">
        <v>56</v>
      </c>
      <c r="Y85" s="91" t="s">
        <v>242</v>
      </c>
      <c r="Z85" s="92">
        <v>29.283000000000001</v>
      </c>
      <c r="AA85" s="92">
        <f t="shared" si="20"/>
        <v>2.9283000000000001</v>
      </c>
    </row>
    <row r="86" spans="1:27" x14ac:dyDescent="0.25">
      <c r="A86" s="95">
        <v>45604</v>
      </c>
      <c r="B86" s="72" t="s">
        <v>739</v>
      </c>
      <c r="C86" s="72" t="s">
        <v>8</v>
      </c>
      <c r="D86" s="72" t="s">
        <v>18</v>
      </c>
      <c r="E86" s="72" t="s">
        <v>56</v>
      </c>
      <c r="F86" s="72">
        <v>1</v>
      </c>
      <c r="G86" s="73">
        <f t="shared" si="14"/>
        <v>40</v>
      </c>
      <c r="H86" s="73">
        <f t="shared" si="16"/>
        <v>40</v>
      </c>
      <c r="I86" s="73">
        <f t="shared" si="17"/>
        <v>40</v>
      </c>
      <c r="J86" s="72" t="s">
        <v>83</v>
      </c>
      <c r="K86" s="74"/>
      <c r="M86" s="79" t="s">
        <v>18</v>
      </c>
      <c r="N86" s="76">
        <f t="shared" si="18"/>
        <v>16</v>
      </c>
      <c r="O86" s="76">
        <f>N86*F86</f>
        <v>16</v>
      </c>
      <c r="P86" s="81" t="s">
        <v>56</v>
      </c>
      <c r="Y86" s="91" t="s">
        <v>243</v>
      </c>
      <c r="Z86" s="92">
        <v>28.503</v>
      </c>
      <c r="AA86" s="92">
        <f t="shared" si="20"/>
        <v>2.8503000000000003</v>
      </c>
    </row>
    <row r="87" spans="1:27" x14ac:dyDescent="0.25">
      <c r="A87" s="95">
        <v>45605</v>
      </c>
      <c r="B87" s="72" t="s">
        <v>676</v>
      </c>
      <c r="C87" s="72" t="s">
        <v>8</v>
      </c>
      <c r="D87" s="72" t="s">
        <v>17</v>
      </c>
      <c r="E87" s="72" t="s">
        <v>82</v>
      </c>
      <c r="F87" s="72">
        <v>1</v>
      </c>
      <c r="G87" s="73">
        <f t="shared" si="14"/>
        <v>50</v>
      </c>
      <c r="H87" s="73">
        <f t="shared" si="16"/>
        <v>50</v>
      </c>
      <c r="I87" s="73">
        <f t="shared" si="17"/>
        <v>48.95</v>
      </c>
      <c r="J87" s="72" t="s">
        <v>866</v>
      </c>
      <c r="K87" s="74"/>
      <c r="M87" s="79"/>
      <c r="N87" s="76" t="e">
        <f t="shared" si="18"/>
        <v>#N/A</v>
      </c>
      <c r="O87" s="76"/>
      <c r="P87" s="81"/>
      <c r="Y87" s="91" t="s">
        <v>245</v>
      </c>
      <c r="Z87" s="92">
        <v>10</v>
      </c>
      <c r="AA87" s="92">
        <f t="shared" si="20"/>
        <v>1</v>
      </c>
    </row>
    <row r="88" spans="1:27" x14ac:dyDescent="0.25">
      <c r="A88" s="95">
        <v>45605</v>
      </c>
      <c r="B88" s="72" t="s">
        <v>324</v>
      </c>
      <c r="C88" s="72" t="s">
        <v>8</v>
      </c>
      <c r="D88" s="72" t="s">
        <v>183</v>
      </c>
      <c r="E88" s="72" t="s">
        <v>82</v>
      </c>
      <c r="F88" s="72">
        <v>1</v>
      </c>
      <c r="G88" s="73">
        <v>5</v>
      </c>
      <c r="H88" s="73">
        <f t="shared" si="16"/>
        <v>5</v>
      </c>
      <c r="I88" s="73">
        <f t="shared" si="17"/>
        <v>4.8949999999999996</v>
      </c>
      <c r="J88" s="72" t="s">
        <v>866</v>
      </c>
      <c r="K88" s="74"/>
      <c r="M88" s="79"/>
      <c r="N88" s="76" t="e">
        <f t="shared" si="18"/>
        <v>#N/A</v>
      </c>
      <c r="O88" s="76"/>
      <c r="P88" s="81"/>
      <c r="Y88" s="91" t="s">
        <v>246</v>
      </c>
      <c r="Z88" s="92">
        <v>10</v>
      </c>
      <c r="AA88" s="92">
        <f t="shared" si="20"/>
        <v>1</v>
      </c>
    </row>
    <row r="89" spans="1:27" x14ac:dyDescent="0.25">
      <c r="A89" s="95">
        <v>45605</v>
      </c>
      <c r="B89" s="72" t="s">
        <v>198</v>
      </c>
      <c r="C89" s="72" t="s">
        <v>8</v>
      </c>
      <c r="D89" s="72" t="s">
        <v>18</v>
      </c>
      <c r="E89" s="72" t="s">
        <v>56</v>
      </c>
      <c r="F89" s="72">
        <v>1</v>
      </c>
      <c r="G89" s="73">
        <f>VLOOKUP(D89,$S$3:$T$70,2,0)</f>
        <v>40</v>
      </c>
      <c r="H89" s="73">
        <f t="shared" si="16"/>
        <v>40</v>
      </c>
      <c r="I89" s="73">
        <f t="shared" si="17"/>
        <v>40</v>
      </c>
      <c r="J89" s="72" t="s">
        <v>83</v>
      </c>
      <c r="K89" s="74"/>
      <c r="M89" s="79" t="s">
        <v>18</v>
      </c>
      <c r="N89" s="76">
        <f t="shared" si="18"/>
        <v>16</v>
      </c>
      <c r="O89" s="76">
        <f>N89*F89</f>
        <v>16</v>
      </c>
      <c r="P89" s="81" t="s">
        <v>56</v>
      </c>
      <c r="Q89" s="106"/>
      <c r="Y89" s="91" t="s">
        <v>248</v>
      </c>
      <c r="Z89" s="92">
        <v>9.7609999999999992</v>
      </c>
      <c r="AA89" s="92">
        <f t="shared" si="20"/>
        <v>0.97609999999999997</v>
      </c>
    </row>
    <row r="90" spans="1:27" x14ac:dyDescent="0.25">
      <c r="A90" s="95">
        <v>45605</v>
      </c>
      <c r="B90" s="72" t="s">
        <v>708</v>
      </c>
      <c r="C90" s="72" t="s">
        <v>8</v>
      </c>
      <c r="D90" s="72" t="s">
        <v>40</v>
      </c>
      <c r="E90" s="72" t="s">
        <v>82</v>
      </c>
      <c r="F90" s="72">
        <v>1</v>
      </c>
      <c r="G90" s="73">
        <f>VLOOKUP(D90,$S$3:$T$70,2,0)</f>
        <v>45</v>
      </c>
      <c r="H90" s="73">
        <f t="shared" si="16"/>
        <v>45</v>
      </c>
      <c r="I90" s="73">
        <f t="shared" si="17"/>
        <v>45</v>
      </c>
      <c r="J90" s="72" t="s">
        <v>83</v>
      </c>
      <c r="K90" s="74"/>
      <c r="M90" s="79"/>
      <c r="N90" s="76" t="e">
        <f t="shared" si="18"/>
        <v>#N/A</v>
      </c>
      <c r="O90" s="76"/>
      <c r="P90" s="81"/>
      <c r="Y90" s="91" t="s">
        <v>249</v>
      </c>
      <c r="Z90" s="92">
        <v>9.5009999999999994</v>
      </c>
      <c r="AA90" s="92">
        <f t="shared" si="20"/>
        <v>0.95009999999999994</v>
      </c>
    </row>
    <row r="91" spans="1:27" x14ac:dyDescent="0.25">
      <c r="A91" s="95">
        <v>45605</v>
      </c>
      <c r="B91" s="72" t="s">
        <v>427</v>
      </c>
      <c r="C91" s="72" t="s">
        <v>8</v>
      </c>
      <c r="D91" s="72" t="s">
        <v>17</v>
      </c>
      <c r="E91" s="72" t="s">
        <v>56</v>
      </c>
      <c r="F91" s="72">
        <v>1</v>
      </c>
      <c r="G91" s="73">
        <f>VLOOKUP(D91,$S$3:$T$70,2,0)</f>
        <v>50</v>
      </c>
      <c r="H91" s="73">
        <f t="shared" si="16"/>
        <v>50</v>
      </c>
      <c r="I91" s="73">
        <f t="shared" si="17"/>
        <v>50</v>
      </c>
      <c r="J91" s="72" t="s">
        <v>83</v>
      </c>
      <c r="K91" s="74"/>
      <c r="M91" s="79" t="s">
        <v>17</v>
      </c>
      <c r="N91" s="76">
        <f t="shared" si="18"/>
        <v>20</v>
      </c>
      <c r="O91" s="76">
        <f>N91*F91</f>
        <v>20</v>
      </c>
      <c r="P91" s="81" t="s">
        <v>56</v>
      </c>
      <c r="Y91" s="91" t="s">
        <v>250</v>
      </c>
      <c r="Z91" s="92">
        <v>20</v>
      </c>
      <c r="AA91" s="92">
        <f t="shared" si="20"/>
        <v>2</v>
      </c>
    </row>
    <row r="92" spans="1:27" x14ac:dyDescent="0.25">
      <c r="A92" s="95">
        <v>45605</v>
      </c>
      <c r="B92" s="72" t="s">
        <v>602</v>
      </c>
      <c r="C92" s="72" t="s">
        <v>8</v>
      </c>
      <c r="D92" s="72" t="s">
        <v>16</v>
      </c>
      <c r="E92" s="72" t="s">
        <v>56</v>
      </c>
      <c r="F92" s="72">
        <v>1</v>
      </c>
      <c r="G92" s="73">
        <f>VLOOKUP(D92,$S$3:$T$70,2,0)</f>
        <v>80</v>
      </c>
      <c r="H92" s="73">
        <f t="shared" si="16"/>
        <v>80</v>
      </c>
      <c r="I92" s="73">
        <f t="shared" si="17"/>
        <v>80</v>
      </c>
      <c r="J92" s="72" t="s">
        <v>83</v>
      </c>
      <c r="K92" s="74"/>
      <c r="M92" s="79" t="s">
        <v>16</v>
      </c>
      <c r="N92" s="76">
        <f t="shared" si="18"/>
        <v>32</v>
      </c>
      <c r="O92" s="76">
        <f>N92*F92</f>
        <v>32</v>
      </c>
      <c r="P92" s="81" t="s">
        <v>56</v>
      </c>
      <c r="Y92" s="91" t="s">
        <v>252</v>
      </c>
      <c r="Z92" s="92">
        <v>20</v>
      </c>
      <c r="AA92" s="92">
        <f t="shared" si="20"/>
        <v>2</v>
      </c>
    </row>
    <row r="93" spans="1:27" x14ac:dyDescent="0.25">
      <c r="A93" s="95">
        <v>45605</v>
      </c>
      <c r="B93" s="72" t="s">
        <v>839</v>
      </c>
      <c r="C93" s="72" t="s">
        <v>8</v>
      </c>
      <c r="D93" s="72" t="s">
        <v>17</v>
      </c>
      <c r="E93" s="72" t="s">
        <v>56</v>
      </c>
      <c r="F93" s="72">
        <v>1</v>
      </c>
      <c r="G93" s="73">
        <f>VLOOKUP(D93,$S$3:$T$70,2,0)</f>
        <v>50</v>
      </c>
      <c r="H93" s="73">
        <f t="shared" si="16"/>
        <v>50</v>
      </c>
      <c r="I93" s="73">
        <f t="shared" si="17"/>
        <v>47.5</v>
      </c>
      <c r="J93" s="72" t="s">
        <v>867</v>
      </c>
      <c r="K93" s="74"/>
      <c r="M93" s="79" t="s">
        <v>17</v>
      </c>
      <c r="N93" s="76">
        <f t="shared" si="18"/>
        <v>20</v>
      </c>
      <c r="O93" s="76">
        <f>N93*F93</f>
        <v>20</v>
      </c>
      <c r="P93" s="81" t="s">
        <v>56</v>
      </c>
      <c r="Y93" s="91" t="s">
        <v>253</v>
      </c>
      <c r="Z93" s="92">
        <v>19.521999999999998</v>
      </c>
      <c r="AA93" s="92">
        <f t="shared" si="20"/>
        <v>1.9521999999999999</v>
      </c>
    </row>
    <row r="94" spans="1:27" x14ac:dyDescent="0.25">
      <c r="A94" s="95">
        <v>45605</v>
      </c>
      <c r="B94" s="72" t="s">
        <v>839</v>
      </c>
      <c r="C94" s="72" t="s">
        <v>8</v>
      </c>
      <c r="D94" s="72" t="s">
        <v>13</v>
      </c>
      <c r="E94" s="72" t="s">
        <v>56</v>
      </c>
      <c r="F94" s="72">
        <v>1</v>
      </c>
      <c r="G94" s="73">
        <v>15</v>
      </c>
      <c r="H94" s="73">
        <f t="shared" si="16"/>
        <v>15</v>
      </c>
      <c r="I94" s="73">
        <f t="shared" si="17"/>
        <v>14.25</v>
      </c>
      <c r="J94" s="72" t="s">
        <v>867</v>
      </c>
      <c r="K94" s="74" t="s">
        <v>888</v>
      </c>
      <c r="M94" s="79" t="s">
        <v>13</v>
      </c>
      <c r="N94" s="76">
        <f>H94*0.4</f>
        <v>6</v>
      </c>
      <c r="O94" s="76">
        <f>N94*F94</f>
        <v>6</v>
      </c>
      <c r="P94" s="81" t="s">
        <v>56</v>
      </c>
      <c r="Y94" s="91" t="s">
        <v>254</v>
      </c>
      <c r="Z94" s="92">
        <v>19.001999999999999</v>
      </c>
      <c r="AA94" s="92">
        <f t="shared" si="20"/>
        <v>1.9001999999999999</v>
      </c>
    </row>
    <row r="95" spans="1:27" x14ac:dyDescent="0.25">
      <c r="A95" s="95">
        <v>45605</v>
      </c>
      <c r="B95" s="72" t="s">
        <v>725</v>
      </c>
      <c r="C95" s="72" t="s">
        <v>8</v>
      </c>
      <c r="D95" s="72" t="s">
        <v>16</v>
      </c>
      <c r="E95" s="72" t="s">
        <v>56</v>
      </c>
      <c r="F95" s="72">
        <v>1</v>
      </c>
      <c r="G95" s="73">
        <f t="shared" ref="G95:G105" si="21">VLOOKUP(D95,$S$3:$T$70,2,0)</f>
        <v>80</v>
      </c>
      <c r="H95" s="73">
        <f t="shared" si="16"/>
        <v>80</v>
      </c>
      <c r="I95" s="73">
        <f t="shared" si="17"/>
        <v>76</v>
      </c>
      <c r="J95" s="72" t="s">
        <v>867</v>
      </c>
      <c r="K95" s="74"/>
      <c r="M95" s="79" t="s">
        <v>16</v>
      </c>
      <c r="N95" s="76">
        <f t="shared" ref="N95:N126" si="22">VLOOKUP(M95,$S$3:$U$70,3,0)</f>
        <v>32</v>
      </c>
      <c r="O95" s="76">
        <f>N95*F95</f>
        <v>32</v>
      </c>
      <c r="P95" s="81" t="s">
        <v>56</v>
      </c>
      <c r="Y95" s="91" t="s">
        <v>255</v>
      </c>
      <c r="Z95" s="92">
        <v>10</v>
      </c>
      <c r="AA95" s="92">
        <f t="shared" si="20"/>
        <v>1</v>
      </c>
    </row>
    <row r="96" spans="1:27" x14ac:dyDescent="0.25">
      <c r="A96" s="95">
        <v>45605</v>
      </c>
      <c r="B96" s="72" t="s">
        <v>217</v>
      </c>
      <c r="C96" s="72" t="s">
        <v>8</v>
      </c>
      <c r="D96" s="72" t="s">
        <v>18</v>
      </c>
      <c r="E96" s="72" t="s">
        <v>82</v>
      </c>
      <c r="F96" s="72">
        <v>1</v>
      </c>
      <c r="G96" s="73">
        <f t="shared" si="21"/>
        <v>40</v>
      </c>
      <c r="H96" s="73">
        <f t="shared" si="16"/>
        <v>40</v>
      </c>
      <c r="I96" s="73">
        <f t="shared" si="17"/>
        <v>40</v>
      </c>
      <c r="J96" s="72" t="s">
        <v>83</v>
      </c>
      <c r="K96" s="74"/>
      <c r="M96" s="79"/>
      <c r="N96" s="76" t="e">
        <f t="shared" si="22"/>
        <v>#N/A</v>
      </c>
      <c r="O96" s="76"/>
      <c r="P96" s="81"/>
      <c r="Y96" s="91" t="s">
        <v>257</v>
      </c>
      <c r="Z96" s="92">
        <v>10</v>
      </c>
      <c r="AA96" s="92">
        <f t="shared" si="20"/>
        <v>1</v>
      </c>
    </row>
    <row r="97" spans="1:27" x14ac:dyDescent="0.25">
      <c r="A97" s="95">
        <v>45605</v>
      </c>
      <c r="B97" s="72" t="s">
        <v>559</v>
      </c>
      <c r="C97" s="72" t="s">
        <v>8</v>
      </c>
      <c r="D97" s="72" t="s">
        <v>17</v>
      </c>
      <c r="E97" s="72" t="s">
        <v>82</v>
      </c>
      <c r="F97" s="72">
        <v>1</v>
      </c>
      <c r="G97" s="73">
        <f t="shared" si="21"/>
        <v>50</v>
      </c>
      <c r="H97" s="73">
        <f t="shared" si="16"/>
        <v>50</v>
      </c>
      <c r="I97" s="73">
        <f t="shared" si="17"/>
        <v>50</v>
      </c>
      <c r="J97" s="72" t="s">
        <v>79</v>
      </c>
      <c r="K97" s="74"/>
      <c r="M97" s="79"/>
      <c r="N97" s="76" t="e">
        <f t="shared" si="22"/>
        <v>#N/A</v>
      </c>
      <c r="O97" s="76"/>
      <c r="P97" s="81"/>
      <c r="Y97" s="91" t="s">
        <v>259</v>
      </c>
      <c r="Z97" s="92">
        <v>9.7609999999999992</v>
      </c>
      <c r="AA97" s="92">
        <f t="shared" si="20"/>
        <v>0.97609999999999997</v>
      </c>
    </row>
    <row r="98" spans="1:27" x14ac:dyDescent="0.25">
      <c r="A98" s="95">
        <v>45605</v>
      </c>
      <c r="B98" s="72" t="s">
        <v>301</v>
      </c>
      <c r="C98" s="72" t="s">
        <v>8</v>
      </c>
      <c r="D98" s="72" t="s">
        <v>16</v>
      </c>
      <c r="E98" s="72" t="s">
        <v>82</v>
      </c>
      <c r="F98" s="72">
        <v>1</v>
      </c>
      <c r="G98" s="73">
        <f t="shared" si="21"/>
        <v>80</v>
      </c>
      <c r="H98" s="73">
        <f t="shared" si="16"/>
        <v>80</v>
      </c>
      <c r="I98" s="73">
        <f t="shared" si="17"/>
        <v>76.28</v>
      </c>
      <c r="J98" s="72" t="s">
        <v>865</v>
      </c>
      <c r="K98" s="74"/>
      <c r="M98" s="79"/>
      <c r="N98" s="76" t="e">
        <f t="shared" si="22"/>
        <v>#N/A</v>
      </c>
      <c r="O98" s="76"/>
      <c r="P98" s="81"/>
      <c r="Y98" s="91" t="s">
        <v>261</v>
      </c>
      <c r="Z98" s="92">
        <v>9.5009999999999994</v>
      </c>
      <c r="AA98" s="92">
        <f t="shared" si="20"/>
        <v>0.95009999999999994</v>
      </c>
    </row>
    <row r="99" spans="1:27" x14ac:dyDescent="0.25">
      <c r="A99" s="95">
        <v>45605</v>
      </c>
      <c r="B99" s="72" t="s">
        <v>301</v>
      </c>
      <c r="C99" s="72" t="s">
        <v>8</v>
      </c>
      <c r="D99" s="72" t="s">
        <v>23</v>
      </c>
      <c r="E99" s="72" t="s">
        <v>82</v>
      </c>
      <c r="F99" s="72">
        <v>1</v>
      </c>
      <c r="G99" s="73">
        <f t="shared" si="21"/>
        <v>5</v>
      </c>
      <c r="H99" s="73">
        <f t="shared" ref="H99:H116" si="23">F99*G99</f>
        <v>5</v>
      </c>
      <c r="I99" s="73">
        <f t="shared" ref="I99:I130" si="24">IF(J99="Master Debito",H99-(H99*$AC$5),IF(J99="Master Credito",H99-(H99*$AC$6), IF(J99="Visa Debito",H99-(H99*$AC$7), IF(J99="Visa Credito", H99-(H99*$AC$8), IF(J99="Elo Debito", H99-(H99*$AC$9), IF(J99="Elo Credito", H99-(H99*$AC$10), IF(J99="Pix", H99-(H99*$AC$11), IF(J99="Dinheiro (R$)", H99-(H99*$AC$12)))))))))</f>
        <v>4.7675000000000001</v>
      </c>
      <c r="J99" s="72" t="s">
        <v>865</v>
      </c>
      <c r="K99" s="74"/>
      <c r="M99" s="79"/>
      <c r="N99" s="76" t="e">
        <f t="shared" si="22"/>
        <v>#N/A</v>
      </c>
      <c r="O99" s="76"/>
      <c r="P99" s="81"/>
      <c r="Y99" s="91" t="s">
        <v>263</v>
      </c>
      <c r="Z99" s="92">
        <v>35</v>
      </c>
      <c r="AA99" s="92">
        <f t="shared" si="20"/>
        <v>3.5</v>
      </c>
    </row>
    <row r="100" spans="1:27" x14ac:dyDescent="0.25">
      <c r="A100" s="95">
        <v>45605</v>
      </c>
      <c r="B100" s="72" t="s">
        <v>591</v>
      </c>
      <c r="C100" s="72" t="s">
        <v>8</v>
      </c>
      <c r="D100" s="72" t="s">
        <v>17</v>
      </c>
      <c r="E100" s="72" t="s">
        <v>82</v>
      </c>
      <c r="F100" s="72">
        <v>1</v>
      </c>
      <c r="G100" s="73">
        <f t="shared" si="21"/>
        <v>50</v>
      </c>
      <c r="H100" s="73">
        <f t="shared" si="23"/>
        <v>50</v>
      </c>
      <c r="I100" s="73">
        <f t="shared" si="24"/>
        <v>50</v>
      </c>
      <c r="J100" s="72" t="s">
        <v>83</v>
      </c>
      <c r="K100" s="74"/>
      <c r="M100" s="79"/>
      <c r="N100" s="76" t="e">
        <f t="shared" si="22"/>
        <v>#N/A</v>
      </c>
      <c r="O100" s="76"/>
      <c r="P100" s="81"/>
      <c r="Y100" s="91" t="s">
        <v>265</v>
      </c>
      <c r="Z100" s="92">
        <v>35</v>
      </c>
      <c r="AA100" s="92">
        <f t="shared" si="20"/>
        <v>3.5</v>
      </c>
    </row>
    <row r="101" spans="1:27" x14ac:dyDescent="0.25">
      <c r="A101" s="95">
        <v>45605</v>
      </c>
      <c r="B101" s="72" t="s">
        <v>783</v>
      </c>
      <c r="C101" s="72" t="s">
        <v>8</v>
      </c>
      <c r="D101" s="72" t="s">
        <v>18</v>
      </c>
      <c r="E101" s="72" t="s">
        <v>82</v>
      </c>
      <c r="F101" s="72">
        <v>1</v>
      </c>
      <c r="G101" s="73">
        <f t="shared" si="21"/>
        <v>40</v>
      </c>
      <c r="H101" s="73">
        <f t="shared" si="23"/>
        <v>40</v>
      </c>
      <c r="I101" s="73">
        <f t="shared" si="24"/>
        <v>39.164999999999999</v>
      </c>
      <c r="J101" s="72" t="s">
        <v>868</v>
      </c>
      <c r="K101" s="74"/>
      <c r="M101" s="79"/>
      <c r="N101" s="76" t="e">
        <f t="shared" si="22"/>
        <v>#N/A</v>
      </c>
      <c r="O101" s="76"/>
      <c r="P101" s="81"/>
      <c r="Y101" s="91" t="s">
        <v>267</v>
      </c>
      <c r="Z101" s="92">
        <v>34.163499999999999</v>
      </c>
      <c r="AA101" s="92">
        <f t="shared" si="20"/>
        <v>3.41635</v>
      </c>
    </row>
    <row r="102" spans="1:27" x14ac:dyDescent="0.25">
      <c r="A102" s="95">
        <v>45605</v>
      </c>
      <c r="B102" s="72" t="s">
        <v>198</v>
      </c>
      <c r="C102" s="72" t="s">
        <v>8</v>
      </c>
      <c r="D102" s="72" t="s">
        <v>18</v>
      </c>
      <c r="E102" s="72" t="s">
        <v>56</v>
      </c>
      <c r="F102" s="72">
        <v>1</v>
      </c>
      <c r="G102" s="73">
        <f t="shared" si="21"/>
        <v>40</v>
      </c>
      <c r="H102" s="73">
        <f t="shared" si="23"/>
        <v>40</v>
      </c>
      <c r="I102" s="73">
        <f t="shared" si="24"/>
        <v>39.159999999999997</v>
      </c>
      <c r="J102" s="72" t="s">
        <v>866</v>
      </c>
      <c r="K102" s="74"/>
      <c r="M102" s="79" t="s">
        <v>18</v>
      </c>
      <c r="N102" s="76">
        <f t="shared" si="22"/>
        <v>16</v>
      </c>
      <c r="O102" s="76">
        <f>N102*F102</f>
        <v>16</v>
      </c>
      <c r="P102" s="81" t="s">
        <v>56</v>
      </c>
      <c r="Y102" s="91" t="s">
        <v>271</v>
      </c>
      <c r="Z102" s="92">
        <v>35</v>
      </c>
      <c r="AA102" s="92">
        <f t="shared" si="20"/>
        <v>3.5</v>
      </c>
    </row>
    <row r="103" spans="1:27" x14ac:dyDescent="0.25">
      <c r="A103" s="95">
        <v>45605</v>
      </c>
      <c r="B103" s="72" t="s">
        <v>532</v>
      </c>
      <c r="C103" s="72" t="s">
        <v>8</v>
      </c>
      <c r="D103" s="72" t="s">
        <v>18</v>
      </c>
      <c r="E103" s="72" t="s">
        <v>56</v>
      </c>
      <c r="F103" s="72">
        <v>1</v>
      </c>
      <c r="G103" s="73">
        <f t="shared" si="21"/>
        <v>40</v>
      </c>
      <c r="H103" s="73">
        <f t="shared" si="23"/>
        <v>40</v>
      </c>
      <c r="I103" s="73">
        <f t="shared" si="24"/>
        <v>40</v>
      </c>
      <c r="J103" s="72" t="s">
        <v>83</v>
      </c>
      <c r="K103" s="74"/>
      <c r="M103" s="79" t="s">
        <v>18</v>
      </c>
      <c r="N103" s="76">
        <f t="shared" si="22"/>
        <v>16</v>
      </c>
      <c r="O103" s="76">
        <f>N103*F103</f>
        <v>16</v>
      </c>
      <c r="P103" s="81" t="s">
        <v>56</v>
      </c>
      <c r="Q103" s="106"/>
      <c r="Y103" s="91" t="s">
        <v>273</v>
      </c>
      <c r="Z103" s="92">
        <v>35</v>
      </c>
      <c r="AA103" s="92">
        <f t="shared" si="20"/>
        <v>3.5</v>
      </c>
    </row>
    <row r="104" spans="1:27" x14ac:dyDescent="0.25">
      <c r="A104" s="95">
        <v>45605</v>
      </c>
      <c r="B104" s="72" t="s">
        <v>194</v>
      </c>
      <c r="C104" s="72" t="s">
        <v>8</v>
      </c>
      <c r="D104" s="72" t="s">
        <v>17</v>
      </c>
      <c r="E104" s="72" t="s">
        <v>82</v>
      </c>
      <c r="F104" s="72">
        <v>1</v>
      </c>
      <c r="G104" s="73">
        <f t="shared" si="21"/>
        <v>50</v>
      </c>
      <c r="H104" s="73">
        <f t="shared" si="23"/>
        <v>50</v>
      </c>
      <c r="I104" s="73">
        <f t="shared" si="24"/>
        <v>50</v>
      </c>
      <c r="J104" s="72" t="s">
        <v>83</v>
      </c>
      <c r="K104" s="74"/>
      <c r="M104" s="79"/>
      <c r="N104" s="76" t="e">
        <f t="shared" si="22"/>
        <v>#N/A</v>
      </c>
      <c r="O104" s="76"/>
      <c r="P104" s="81"/>
      <c r="Y104" s="91" t="s">
        <v>275</v>
      </c>
      <c r="Z104" s="92">
        <v>34.163499999999999</v>
      </c>
      <c r="AA104" s="92">
        <f t="shared" si="20"/>
        <v>3.41635</v>
      </c>
    </row>
    <row r="105" spans="1:27" x14ac:dyDescent="0.25">
      <c r="A105" s="95">
        <v>45608</v>
      </c>
      <c r="B105" s="72" t="s">
        <v>236</v>
      </c>
      <c r="C105" s="72" t="s">
        <v>10</v>
      </c>
      <c r="D105" s="72" t="s">
        <v>17</v>
      </c>
      <c r="E105" s="72" t="s">
        <v>56</v>
      </c>
      <c r="F105" s="72">
        <v>1</v>
      </c>
      <c r="G105" s="73">
        <f t="shared" si="21"/>
        <v>50</v>
      </c>
      <c r="H105" s="73">
        <f t="shared" si="23"/>
        <v>50</v>
      </c>
      <c r="I105" s="73">
        <f t="shared" si="24"/>
        <v>50</v>
      </c>
      <c r="J105" s="72" t="s">
        <v>79</v>
      </c>
      <c r="K105" s="74"/>
      <c r="M105" s="79" t="s">
        <v>17</v>
      </c>
      <c r="N105" s="76">
        <f t="shared" si="22"/>
        <v>20</v>
      </c>
      <c r="O105" s="76">
        <f>N105*F105</f>
        <v>20</v>
      </c>
      <c r="P105" s="81" t="s">
        <v>56</v>
      </c>
      <c r="Y105" s="91" t="s">
        <v>277</v>
      </c>
      <c r="Z105" s="92">
        <v>33.253500000000003</v>
      </c>
      <c r="AA105" s="92">
        <f t="shared" si="20"/>
        <v>3.3253500000000003</v>
      </c>
    </row>
    <row r="106" spans="1:27" x14ac:dyDescent="0.25">
      <c r="A106" s="95">
        <v>45608</v>
      </c>
      <c r="B106" s="72" t="s">
        <v>512</v>
      </c>
      <c r="C106" s="72" t="s">
        <v>8</v>
      </c>
      <c r="D106" s="72" t="s">
        <v>19</v>
      </c>
      <c r="E106" s="72" t="s">
        <v>82</v>
      </c>
      <c r="F106" s="72">
        <v>1</v>
      </c>
      <c r="G106" s="73">
        <v>30</v>
      </c>
      <c r="H106" s="73">
        <f t="shared" si="23"/>
        <v>30</v>
      </c>
      <c r="I106" s="73">
        <f t="shared" si="24"/>
        <v>29.37</v>
      </c>
      <c r="J106" s="72" t="s">
        <v>866</v>
      </c>
      <c r="K106" s="74"/>
      <c r="M106" s="79"/>
      <c r="N106" s="76" t="e">
        <f t="shared" si="22"/>
        <v>#N/A</v>
      </c>
      <c r="O106" s="76"/>
      <c r="P106" s="81"/>
      <c r="Y106" s="91" t="s">
        <v>278</v>
      </c>
      <c r="Z106" s="92">
        <v>35</v>
      </c>
      <c r="AA106" s="92">
        <f t="shared" si="20"/>
        <v>3.5</v>
      </c>
    </row>
    <row r="107" spans="1:27" x14ac:dyDescent="0.25">
      <c r="A107" s="95">
        <v>45608</v>
      </c>
      <c r="B107" s="72" t="s">
        <v>512</v>
      </c>
      <c r="C107" s="72" t="s">
        <v>8</v>
      </c>
      <c r="D107" s="72" t="s">
        <v>774</v>
      </c>
      <c r="E107" s="72" t="s">
        <v>82</v>
      </c>
      <c r="F107" s="72">
        <v>1</v>
      </c>
      <c r="G107" s="73">
        <v>4.5</v>
      </c>
      <c r="H107" s="73">
        <f t="shared" si="23"/>
        <v>4.5</v>
      </c>
      <c r="I107" s="73">
        <f t="shared" si="24"/>
        <v>4.4055</v>
      </c>
      <c r="J107" s="72" t="s">
        <v>866</v>
      </c>
      <c r="K107" s="74"/>
      <c r="M107" s="79"/>
      <c r="N107" s="76" t="e">
        <f t="shared" si="22"/>
        <v>#N/A</v>
      </c>
      <c r="O107" s="76"/>
      <c r="P107" s="81"/>
      <c r="Y107" s="91" t="s">
        <v>280</v>
      </c>
      <c r="Z107" s="92">
        <v>35</v>
      </c>
      <c r="AA107" s="92">
        <f t="shared" si="20"/>
        <v>3.5</v>
      </c>
    </row>
    <row r="108" spans="1:27" x14ac:dyDescent="0.25">
      <c r="A108" s="95">
        <v>45608</v>
      </c>
      <c r="B108" s="72" t="s">
        <v>512</v>
      </c>
      <c r="C108" s="72" t="s">
        <v>8</v>
      </c>
      <c r="D108" s="72" t="s">
        <v>766</v>
      </c>
      <c r="E108" s="72" t="s">
        <v>82</v>
      </c>
      <c r="F108" s="72">
        <v>1</v>
      </c>
      <c r="G108" s="73">
        <v>4</v>
      </c>
      <c r="H108" s="73">
        <f t="shared" si="23"/>
        <v>4</v>
      </c>
      <c r="I108" s="73">
        <f t="shared" si="24"/>
        <v>3.9159999999999999</v>
      </c>
      <c r="J108" s="72" t="s">
        <v>866</v>
      </c>
      <c r="K108" s="74"/>
      <c r="M108" s="79"/>
      <c r="N108" s="76" t="e">
        <f t="shared" si="22"/>
        <v>#N/A</v>
      </c>
      <c r="O108" s="76"/>
      <c r="P108" s="81"/>
      <c r="Y108" s="91" t="s">
        <v>282</v>
      </c>
      <c r="Z108" s="92">
        <v>34.163499999999999</v>
      </c>
      <c r="AA108" s="92">
        <f t="shared" si="20"/>
        <v>3.41635</v>
      </c>
    </row>
    <row r="109" spans="1:27" x14ac:dyDescent="0.25">
      <c r="A109" s="95">
        <v>45608</v>
      </c>
      <c r="B109" s="72" t="s">
        <v>476</v>
      </c>
      <c r="C109" s="72" t="s">
        <v>8</v>
      </c>
      <c r="D109" s="72" t="s">
        <v>17</v>
      </c>
      <c r="E109" s="72" t="s">
        <v>82</v>
      </c>
      <c r="F109" s="72">
        <v>1</v>
      </c>
      <c r="G109" s="73">
        <v>40</v>
      </c>
      <c r="H109" s="73">
        <f t="shared" si="23"/>
        <v>40</v>
      </c>
      <c r="I109" s="73">
        <f t="shared" si="24"/>
        <v>38</v>
      </c>
      <c r="J109" s="72" t="s">
        <v>867</v>
      </c>
      <c r="K109" s="74"/>
      <c r="M109" s="79"/>
      <c r="N109" s="76" t="e">
        <f t="shared" si="22"/>
        <v>#N/A</v>
      </c>
      <c r="O109" s="76"/>
      <c r="P109" s="81"/>
      <c r="Y109" s="91" t="s">
        <v>285</v>
      </c>
      <c r="Z109" s="92">
        <v>33.253500000000003</v>
      </c>
      <c r="AA109" s="92">
        <f t="shared" si="20"/>
        <v>3.3253500000000003</v>
      </c>
    </row>
    <row r="110" spans="1:27" x14ac:dyDescent="0.25">
      <c r="A110" s="95">
        <v>45608</v>
      </c>
      <c r="B110" s="72" t="s">
        <v>889</v>
      </c>
      <c r="C110" s="72" t="s">
        <v>8</v>
      </c>
      <c r="D110" s="72" t="s">
        <v>40</v>
      </c>
      <c r="E110" s="72" t="s">
        <v>82</v>
      </c>
      <c r="F110" s="72">
        <v>1</v>
      </c>
      <c r="G110" s="73">
        <f>VLOOKUP(D110,$S$3:$T$70,2,0)</f>
        <v>45</v>
      </c>
      <c r="H110" s="73">
        <f t="shared" si="23"/>
        <v>45</v>
      </c>
      <c r="I110" s="73">
        <f t="shared" si="24"/>
        <v>42.75</v>
      </c>
      <c r="J110" s="72" t="s">
        <v>867</v>
      </c>
      <c r="K110" s="74"/>
      <c r="M110" s="79"/>
      <c r="N110" s="76" t="e">
        <f t="shared" si="22"/>
        <v>#N/A</v>
      </c>
      <c r="O110" s="76"/>
      <c r="P110" s="81"/>
      <c r="Y110" s="91" t="s">
        <v>286</v>
      </c>
      <c r="Z110" s="92">
        <v>35</v>
      </c>
      <c r="AA110" s="92">
        <f t="shared" si="20"/>
        <v>3.5</v>
      </c>
    </row>
    <row r="111" spans="1:27" x14ac:dyDescent="0.25">
      <c r="A111" s="95">
        <v>45608</v>
      </c>
      <c r="B111" s="72" t="s">
        <v>516</v>
      </c>
      <c r="C111" s="72" t="s">
        <v>8</v>
      </c>
      <c r="D111" s="72" t="s">
        <v>17</v>
      </c>
      <c r="E111" s="72" t="s">
        <v>82</v>
      </c>
      <c r="F111" s="72">
        <v>1</v>
      </c>
      <c r="G111" s="73">
        <v>40</v>
      </c>
      <c r="H111" s="73">
        <f t="shared" si="23"/>
        <v>40</v>
      </c>
      <c r="I111" s="73">
        <f t="shared" si="24"/>
        <v>40</v>
      </c>
      <c r="J111" s="72" t="s">
        <v>83</v>
      </c>
      <c r="K111" s="74"/>
      <c r="M111" s="79"/>
      <c r="N111" s="76" t="e">
        <f t="shared" si="22"/>
        <v>#N/A</v>
      </c>
      <c r="O111" s="76"/>
      <c r="P111" s="81"/>
      <c r="Y111" s="91" t="s">
        <v>287</v>
      </c>
      <c r="Z111" s="92">
        <v>35</v>
      </c>
      <c r="AA111" s="92">
        <f t="shared" si="20"/>
        <v>3.5</v>
      </c>
    </row>
    <row r="112" spans="1:27" x14ac:dyDescent="0.25">
      <c r="A112" s="95">
        <v>45608</v>
      </c>
      <c r="B112" s="72" t="s">
        <v>569</v>
      </c>
      <c r="C112" s="72" t="s">
        <v>8</v>
      </c>
      <c r="D112" s="72" t="s">
        <v>19</v>
      </c>
      <c r="E112" s="72" t="s">
        <v>82</v>
      </c>
      <c r="F112" s="72">
        <v>1</v>
      </c>
      <c r="G112" s="73">
        <v>30</v>
      </c>
      <c r="H112" s="73">
        <f t="shared" si="23"/>
        <v>30</v>
      </c>
      <c r="I112" s="73">
        <f t="shared" si="24"/>
        <v>30</v>
      </c>
      <c r="J112" s="72" t="s">
        <v>83</v>
      </c>
      <c r="K112" s="74"/>
      <c r="M112" s="79"/>
      <c r="N112" s="76" t="e">
        <f t="shared" si="22"/>
        <v>#N/A</v>
      </c>
      <c r="O112" s="76"/>
      <c r="P112" s="81"/>
      <c r="Y112" s="91" t="s">
        <v>288</v>
      </c>
      <c r="Z112" s="92">
        <v>34.163499999999999</v>
      </c>
      <c r="AA112" s="92">
        <f t="shared" si="20"/>
        <v>3.41635</v>
      </c>
    </row>
    <row r="113" spans="1:27" x14ac:dyDescent="0.25">
      <c r="A113" s="95">
        <v>45608</v>
      </c>
      <c r="B113" s="72" t="s">
        <v>555</v>
      </c>
      <c r="C113" s="72" t="s">
        <v>8</v>
      </c>
      <c r="D113" s="72" t="s">
        <v>18</v>
      </c>
      <c r="E113" s="72" t="s">
        <v>56</v>
      </c>
      <c r="F113" s="72">
        <v>1</v>
      </c>
      <c r="G113" s="73">
        <f>VLOOKUP(D113,$S$3:$T$70,2,0)</f>
        <v>40</v>
      </c>
      <c r="H113" s="73">
        <f t="shared" si="23"/>
        <v>40</v>
      </c>
      <c r="I113" s="73">
        <f t="shared" si="24"/>
        <v>40</v>
      </c>
      <c r="J113" s="72" t="s">
        <v>83</v>
      </c>
      <c r="K113" s="74"/>
      <c r="M113" s="79" t="s">
        <v>18</v>
      </c>
      <c r="N113" s="76">
        <f t="shared" si="22"/>
        <v>16</v>
      </c>
      <c r="O113" s="76">
        <f>N113*F113</f>
        <v>16</v>
      </c>
      <c r="P113" s="81" t="s">
        <v>56</v>
      </c>
      <c r="Y113" s="91" t="s">
        <v>290</v>
      </c>
      <c r="Z113" s="92">
        <v>33.253500000000003</v>
      </c>
      <c r="AA113" s="92">
        <f t="shared" si="20"/>
        <v>3.3253500000000003</v>
      </c>
    </row>
    <row r="114" spans="1:27" x14ac:dyDescent="0.25">
      <c r="A114" s="95">
        <v>45609</v>
      </c>
      <c r="B114" s="72" t="s">
        <v>890</v>
      </c>
      <c r="C114" s="72" t="s">
        <v>10</v>
      </c>
      <c r="D114" s="72" t="s">
        <v>778</v>
      </c>
      <c r="E114" s="72" t="s">
        <v>56</v>
      </c>
      <c r="F114" s="72">
        <v>1</v>
      </c>
      <c r="G114" s="73">
        <f>VLOOKUP(D114,$S$3:$T$70,2,0)</f>
        <v>2.5</v>
      </c>
      <c r="H114" s="73">
        <f t="shared" si="23"/>
        <v>2.5</v>
      </c>
      <c r="I114" s="73">
        <f t="shared" si="24"/>
        <v>2.5</v>
      </c>
      <c r="J114" s="72" t="s">
        <v>79</v>
      </c>
      <c r="K114" s="74"/>
      <c r="M114" s="79" t="s">
        <v>778</v>
      </c>
      <c r="N114" s="76">
        <f t="shared" si="22"/>
        <v>0.25</v>
      </c>
      <c r="O114" s="76">
        <f>N114*F114</f>
        <v>0.25</v>
      </c>
      <c r="P114" s="81" t="s">
        <v>56</v>
      </c>
      <c r="Y114" s="91" t="s">
        <v>293</v>
      </c>
      <c r="Z114" s="92">
        <v>60</v>
      </c>
      <c r="AA114" s="92">
        <f t="shared" si="20"/>
        <v>6</v>
      </c>
    </row>
    <row r="115" spans="1:27" x14ac:dyDescent="0.25">
      <c r="A115" s="95">
        <v>45609</v>
      </c>
      <c r="B115" s="72" t="s">
        <v>890</v>
      </c>
      <c r="C115" s="72" t="s">
        <v>10</v>
      </c>
      <c r="D115" s="72" t="s">
        <v>183</v>
      </c>
      <c r="E115" s="72" t="s">
        <v>56</v>
      </c>
      <c r="F115" s="72">
        <v>1</v>
      </c>
      <c r="G115" s="73">
        <v>5</v>
      </c>
      <c r="H115" s="73">
        <f t="shared" si="23"/>
        <v>5</v>
      </c>
      <c r="I115" s="73">
        <f t="shared" si="24"/>
        <v>5</v>
      </c>
      <c r="J115" s="72" t="s">
        <v>79</v>
      </c>
      <c r="K115" s="74"/>
      <c r="M115" s="79" t="s">
        <v>183</v>
      </c>
      <c r="N115" s="76">
        <f t="shared" si="22"/>
        <v>0.70000000000000007</v>
      </c>
      <c r="O115" s="76">
        <f>N115*F115</f>
        <v>0.70000000000000007</v>
      </c>
      <c r="P115" s="81" t="s">
        <v>56</v>
      </c>
      <c r="Y115" s="91" t="s">
        <v>295</v>
      </c>
      <c r="Z115" s="92">
        <v>58.566000000000003</v>
      </c>
      <c r="AA115" s="92">
        <f t="shared" si="20"/>
        <v>5.8566000000000003</v>
      </c>
    </row>
    <row r="116" spans="1:27" x14ac:dyDescent="0.25">
      <c r="A116" s="95">
        <v>45609</v>
      </c>
      <c r="B116" s="72" t="s">
        <v>204</v>
      </c>
      <c r="C116" s="72" t="s">
        <v>8</v>
      </c>
      <c r="D116" s="72" t="s">
        <v>15</v>
      </c>
      <c r="E116" s="72" t="s">
        <v>82</v>
      </c>
      <c r="F116" s="72">
        <v>1</v>
      </c>
      <c r="G116" s="73">
        <f>VLOOKUP(D116,$S$3:$T$70,2,0)</f>
        <v>70</v>
      </c>
      <c r="H116" s="73">
        <f t="shared" si="23"/>
        <v>70</v>
      </c>
      <c r="I116" s="73">
        <f t="shared" si="24"/>
        <v>70</v>
      </c>
      <c r="J116" s="72" t="s">
        <v>83</v>
      </c>
      <c r="K116" s="74"/>
      <c r="M116" s="79"/>
      <c r="N116" s="76" t="e">
        <f t="shared" si="22"/>
        <v>#N/A</v>
      </c>
      <c r="O116" s="76"/>
      <c r="P116" s="81"/>
      <c r="Y116" s="91" t="s">
        <v>296</v>
      </c>
      <c r="Z116" s="92">
        <v>57.006</v>
      </c>
      <c r="AA116" s="92">
        <f t="shared" si="20"/>
        <v>5.7006000000000006</v>
      </c>
    </row>
    <row r="117" spans="1:27" x14ac:dyDescent="0.25">
      <c r="A117" s="95">
        <v>45609</v>
      </c>
      <c r="B117" s="72" t="s">
        <v>204</v>
      </c>
      <c r="C117" s="72" t="s">
        <v>8</v>
      </c>
      <c r="D117" s="72" t="s">
        <v>36</v>
      </c>
      <c r="E117" s="72" t="s">
        <v>82</v>
      </c>
      <c r="F117" s="72">
        <v>1</v>
      </c>
      <c r="G117" s="73">
        <f>VLOOKUP(D117,$S$3:$T$70,2,0)</f>
        <v>30</v>
      </c>
      <c r="H117" s="73">
        <v>35</v>
      </c>
      <c r="I117" s="73">
        <f t="shared" si="24"/>
        <v>35</v>
      </c>
      <c r="J117" s="72" t="s">
        <v>83</v>
      </c>
      <c r="K117" s="74"/>
      <c r="M117" s="79"/>
      <c r="N117" s="76" t="e">
        <f t="shared" si="22"/>
        <v>#N/A</v>
      </c>
      <c r="O117" s="76"/>
      <c r="P117" s="81"/>
      <c r="Y117" s="91" t="s">
        <v>298</v>
      </c>
      <c r="Z117" s="92">
        <v>6</v>
      </c>
      <c r="AA117" s="92">
        <f t="shared" si="20"/>
        <v>0.60000000000000009</v>
      </c>
    </row>
    <row r="118" spans="1:27" x14ac:dyDescent="0.25">
      <c r="A118" s="95">
        <v>45609</v>
      </c>
      <c r="B118" s="72" t="s">
        <v>517</v>
      </c>
      <c r="C118" s="72" t="s">
        <v>8</v>
      </c>
      <c r="D118" s="72" t="s">
        <v>18</v>
      </c>
      <c r="E118" s="72" t="s">
        <v>82</v>
      </c>
      <c r="F118" s="72">
        <v>1</v>
      </c>
      <c r="G118" s="73">
        <f>VLOOKUP(D118,$S$3:$T$70,2,0)</f>
        <v>40</v>
      </c>
      <c r="H118" s="73">
        <f t="shared" ref="H118:H149" si="25">F118*G118</f>
        <v>40</v>
      </c>
      <c r="I118" s="73">
        <f t="shared" si="24"/>
        <v>40</v>
      </c>
      <c r="J118" s="72" t="s">
        <v>79</v>
      </c>
      <c r="K118" s="74"/>
      <c r="M118" s="79"/>
      <c r="N118" s="76" t="e">
        <f t="shared" si="22"/>
        <v>#N/A</v>
      </c>
      <c r="O118" s="76"/>
      <c r="P118" s="81"/>
      <c r="AA118" s="92"/>
    </row>
    <row r="119" spans="1:27" x14ac:dyDescent="0.25">
      <c r="A119" s="95">
        <v>45609</v>
      </c>
      <c r="B119" s="72" t="s">
        <v>561</v>
      </c>
      <c r="C119" s="72" t="s">
        <v>8</v>
      </c>
      <c r="D119" s="72" t="s">
        <v>17</v>
      </c>
      <c r="E119" s="72" t="s">
        <v>82</v>
      </c>
      <c r="F119" s="72">
        <v>1</v>
      </c>
      <c r="G119" s="73">
        <f>VLOOKUP(D119,$S$3:$T$70,2,0)</f>
        <v>50</v>
      </c>
      <c r="H119" s="73">
        <f t="shared" si="25"/>
        <v>50</v>
      </c>
      <c r="I119" s="73">
        <f t="shared" si="24"/>
        <v>48.95</v>
      </c>
      <c r="J119" s="72" t="s">
        <v>866</v>
      </c>
      <c r="K119" s="74"/>
      <c r="M119" s="79"/>
      <c r="N119" s="76" t="e">
        <f t="shared" si="22"/>
        <v>#N/A</v>
      </c>
      <c r="O119" s="76"/>
      <c r="P119" s="81"/>
      <c r="AA119" s="92"/>
    </row>
    <row r="120" spans="1:27" x14ac:dyDescent="0.25">
      <c r="A120" s="95">
        <v>45609</v>
      </c>
      <c r="B120" s="72" t="s">
        <v>561</v>
      </c>
      <c r="C120" s="72" t="s">
        <v>8</v>
      </c>
      <c r="D120" s="72" t="s">
        <v>143</v>
      </c>
      <c r="E120" s="72" t="s">
        <v>82</v>
      </c>
      <c r="F120" s="72">
        <v>1</v>
      </c>
      <c r="G120" s="73">
        <f>VLOOKUP(D120,$S$3:$T$70,2,0)</f>
        <v>35</v>
      </c>
      <c r="H120" s="73">
        <f t="shared" si="25"/>
        <v>35</v>
      </c>
      <c r="I120" s="73">
        <f t="shared" si="24"/>
        <v>34.265000000000001</v>
      </c>
      <c r="J120" s="72" t="s">
        <v>866</v>
      </c>
      <c r="K120" s="74"/>
      <c r="M120" s="79"/>
      <c r="N120" s="76" t="e">
        <f t="shared" si="22"/>
        <v>#N/A</v>
      </c>
      <c r="O120" s="76"/>
      <c r="P120" s="81"/>
      <c r="AA120" s="92"/>
    </row>
    <row r="121" spans="1:27" x14ac:dyDescent="0.25">
      <c r="A121" s="95">
        <v>45609</v>
      </c>
      <c r="B121" s="72" t="s">
        <v>891</v>
      </c>
      <c r="C121" s="72" t="s">
        <v>8</v>
      </c>
      <c r="D121" s="72" t="s">
        <v>19</v>
      </c>
      <c r="E121" s="72" t="s">
        <v>82</v>
      </c>
      <c r="F121" s="72">
        <v>1</v>
      </c>
      <c r="G121" s="73">
        <v>20</v>
      </c>
      <c r="H121" s="73">
        <f t="shared" si="25"/>
        <v>20</v>
      </c>
      <c r="I121" s="73">
        <f t="shared" si="24"/>
        <v>19</v>
      </c>
      <c r="J121" s="72" t="s">
        <v>867</v>
      </c>
      <c r="K121" s="74"/>
      <c r="M121" s="79"/>
      <c r="N121" s="76" t="e">
        <f t="shared" si="22"/>
        <v>#N/A</v>
      </c>
      <c r="O121" s="76"/>
      <c r="P121" s="81"/>
      <c r="AA121" s="92"/>
    </row>
    <row r="122" spans="1:27" x14ac:dyDescent="0.25">
      <c r="A122" s="95">
        <v>45609</v>
      </c>
      <c r="B122" s="72" t="s">
        <v>892</v>
      </c>
      <c r="C122" s="72" t="s">
        <v>8</v>
      </c>
      <c r="D122" s="72" t="s">
        <v>15</v>
      </c>
      <c r="E122" s="72" t="s">
        <v>56</v>
      </c>
      <c r="F122" s="72">
        <v>1</v>
      </c>
      <c r="G122" s="73">
        <f>VLOOKUP(D122,$S$3:$T$70,2,0)</f>
        <v>70</v>
      </c>
      <c r="H122" s="73">
        <f t="shared" si="25"/>
        <v>70</v>
      </c>
      <c r="I122" s="73">
        <f t="shared" si="24"/>
        <v>70</v>
      </c>
      <c r="J122" s="72" t="s">
        <v>83</v>
      </c>
      <c r="K122" s="74"/>
      <c r="M122" s="79" t="s">
        <v>15</v>
      </c>
      <c r="N122" s="76">
        <f t="shared" si="22"/>
        <v>28</v>
      </c>
      <c r="O122" s="76">
        <f>N122*F122</f>
        <v>28</v>
      </c>
      <c r="P122" s="81" t="s">
        <v>56</v>
      </c>
      <c r="AA122" s="92"/>
    </row>
    <row r="123" spans="1:27" x14ac:dyDescent="0.25">
      <c r="A123" s="95">
        <v>45609</v>
      </c>
      <c r="B123" s="72" t="s">
        <v>891</v>
      </c>
      <c r="C123" s="72" t="s">
        <v>8</v>
      </c>
      <c r="D123" s="72" t="s">
        <v>19</v>
      </c>
      <c r="E123" s="72" t="s">
        <v>82</v>
      </c>
      <c r="F123" s="72">
        <v>1</v>
      </c>
      <c r="G123" s="73">
        <v>10</v>
      </c>
      <c r="H123" s="73">
        <f t="shared" si="25"/>
        <v>10</v>
      </c>
      <c r="I123" s="73">
        <f t="shared" si="24"/>
        <v>10</v>
      </c>
      <c r="J123" s="72" t="s">
        <v>79</v>
      </c>
      <c r="K123" s="74"/>
      <c r="M123" s="79"/>
      <c r="N123" s="76" t="e">
        <f t="shared" si="22"/>
        <v>#N/A</v>
      </c>
      <c r="O123" s="76"/>
      <c r="P123" s="81"/>
      <c r="AA123" s="92"/>
    </row>
    <row r="124" spans="1:27" x14ac:dyDescent="0.25">
      <c r="A124" s="95">
        <v>45609</v>
      </c>
      <c r="B124" s="72" t="s">
        <v>533</v>
      </c>
      <c r="C124" s="72" t="s">
        <v>8</v>
      </c>
      <c r="D124" s="72" t="s">
        <v>19</v>
      </c>
      <c r="E124" s="72" t="s">
        <v>82</v>
      </c>
      <c r="F124" s="72">
        <v>1</v>
      </c>
      <c r="G124" s="73">
        <v>35</v>
      </c>
      <c r="H124" s="73">
        <f t="shared" si="25"/>
        <v>35</v>
      </c>
      <c r="I124" s="73">
        <f t="shared" si="24"/>
        <v>35</v>
      </c>
      <c r="J124" s="72" t="s">
        <v>83</v>
      </c>
      <c r="K124" s="74"/>
      <c r="M124" s="79"/>
      <c r="N124" s="76" t="e">
        <f t="shared" si="22"/>
        <v>#N/A</v>
      </c>
      <c r="O124" s="76"/>
      <c r="P124" s="81"/>
      <c r="Q124" s="106"/>
      <c r="Y124" s="91" t="s">
        <v>300</v>
      </c>
      <c r="Z124" s="92">
        <v>6</v>
      </c>
      <c r="AA124" s="92">
        <f>Z124*0.1</f>
        <v>0.60000000000000009</v>
      </c>
    </row>
    <row r="125" spans="1:27" x14ac:dyDescent="0.25">
      <c r="A125" s="95">
        <v>45609</v>
      </c>
      <c r="B125" s="72" t="s">
        <v>591</v>
      </c>
      <c r="C125" s="72" t="s">
        <v>8</v>
      </c>
      <c r="D125" s="72" t="s">
        <v>18</v>
      </c>
      <c r="E125" s="72" t="s">
        <v>82</v>
      </c>
      <c r="F125" s="72">
        <v>1</v>
      </c>
      <c r="G125" s="73">
        <f t="shared" ref="G125:G135" si="26">VLOOKUP(D125,$S$3:$T$70,2,0)</f>
        <v>40</v>
      </c>
      <c r="H125" s="73">
        <f t="shared" si="25"/>
        <v>40</v>
      </c>
      <c r="I125" s="73">
        <f t="shared" si="24"/>
        <v>40</v>
      </c>
      <c r="J125" s="72" t="s">
        <v>83</v>
      </c>
      <c r="K125" s="74"/>
      <c r="M125" s="79"/>
      <c r="N125" s="76" t="e">
        <f t="shared" si="22"/>
        <v>#N/A</v>
      </c>
      <c r="O125" s="76"/>
      <c r="P125" s="81"/>
      <c r="AA125" s="92"/>
    </row>
    <row r="126" spans="1:27" x14ac:dyDescent="0.25">
      <c r="A126" s="95">
        <v>45609</v>
      </c>
      <c r="B126" s="72" t="s">
        <v>893</v>
      </c>
      <c r="C126" s="72" t="s">
        <v>8</v>
      </c>
      <c r="D126" s="72" t="s">
        <v>15</v>
      </c>
      <c r="E126" s="72" t="s">
        <v>56</v>
      </c>
      <c r="F126" s="72">
        <v>1</v>
      </c>
      <c r="G126" s="73">
        <f t="shared" si="26"/>
        <v>70</v>
      </c>
      <c r="H126" s="73">
        <f t="shared" si="25"/>
        <v>70</v>
      </c>
      <c r="I126" s="73">
        <f t="shared" si="24"/>
        <v>66.5</v>
      </c>
      <c r="J126" s="72" t="s">
        <v>867</v>
      </c>
      <c r="K126" s="74"/>
      <c r="M126" s="79" t="s">
        <v>15</v>
      </c>
      <c r="N126" s="76">
        <f t="shared" si="22"/>
        <v>28</v>
      </c>
      <c r="O126" s="76">
        <f>N126*F126</f>
        <v>28</v>
      </c>
      <c r="P126" s="81" t="s">
        <v>56</v>
      </c>
      <c r="AA126" s="92"/>
    </row>
    <row r="127" spans="1:27" x14ac:dyDescent="0.25">
      <c r="A127" s="95">
        <v>45609</v>
      </c>
      <c r="B127" s="72" t="s">
        <v>893</v>
      </c>
      <c r="C127" s="72" t="s">
        <v>8</v>
      </c>
      <c r="D127" s="72" t="s">
        <v>779</v>
      </c>
      <c r="E127" s="72" t="s">
        <v>56</v>
      </c>
      <c r="F127" s="72">
        <v>1</v>
      </c>
      <c r="G127" s="73">
        <f t="shared" si="26"/>
        <v>3</v>
      </c>
      <c r="H127" s="73">
        <f t="shared" si="25"/>
        <v>3</v>
      </c>
      <c r="I127" s="73">
        <f t="shared" si="24"/>
        <v>2.85</v>
      </c>
      <c r="J127" s="72" t="s">
        <v>867</v>
      </c>
      <c r="K127" s="74"/>
      <c r="M127" s="79" t="s">
        <v>779</v>
      </c>
      <c r="N127" s="76">
        <f t="shared" ref="N127:N158" si="27">VLOOKUP(M127,$S$3:$U$70,3,0)</f>
        <v>0.30000000000000004</v>
      </c>
      <c r="O127" s="76">
        <f>N127*F127</f>
        <v>0.30000000000000004</v>
      </c>
      <c r="P127" s="81" t="s">
        <v>56</v>
      </c>
      <c r="AA127" s="92"/>
    </row>
    <row r="128" spans="1:27" x14ac:dyDescent="0.25">
      <c r="A128" s="95">
        <v>45610</v>
      </c>
      <c r="B128" s="72" t="s">
        <v>508</v>
      </c>
      <c r="C128" s="72" t="s">
        <v>8</v>
      </c>
      <c r="D128" s="72" t="s">
        <v>18</v>
      </c>
      <c r="E128" s="72" t="s">
        <v>56</v>
      </c>
      <c r="F128" s="72">
        <v>1</v>
      </c>
      <c r="G128" s="73">
        <f t="shared" si="26"/>
        <v>40</v>
      </c>
      <c r="H128" s="73">
        <f t="shared" si="25"/>
        <v>40</v>
      </c>
      <c r="I128" s="73">
        <f t="shared" si="24"/>
        <v>40</v>
      </c>
      <c r="J128" s="72" t="s">
        <v>83</v>
      </c>
      <c r="K128" s="74"/>
      <c r="M128" s="79" t="s">
        <v>18</v>
      </c>
      <c r="N128" s="76">
        <f t="shared" si="27"/>
        <v>16</v>
      </c>
      <c r="O128" s="76">
        <f>N128*F128</f>
        <v>16</v>
      </c>
      <c r="P128" s="81" t="s">
        <v>56</v>
      </c>
      <c r="Q128" s="106"/>
      <c r="AA128" s="92"/>
    </row>
    <row r="129" spans="1:27" x14ac:dyDescent="0.25">
      <c r="A129" s="95">
        <v>45610</v>
      </c>
      <c r="B129" s="72" t="s">
        <v>516</v>
      </c>
      <c r="C129" s="72" t="s">
        <v>8</v>
      </c>
      <c r="D129" s="72" t="s">
        <v>40</v>
      </c>
      <c r="E129" s="72" t="s">
        <v>82</v>
      </c>
      <c r="F129" s="72">
        <v>1</v>
      </c>
      <c r="G129" s="73">
        <f t="shared" si="26"/>
        <v>45</v>
      </c>
      <c r="H129" s="73">
        <f t="shared" si="25"/>
        <v>45</v>
      </c>
      <c r="I129" s="73">
        <f t="shared" si="24"/>
        <v>45</v>
      </c>
      <c r="J129" s="72" t="s">
        <v>83</v>
      </c>
      <c r="K129" s="74"/>
      <c r="M129" s="79"/>
      <c r="N129" s="76" t="e">
        <f t="shared" si="27"/>
        <v>#N/A</v>
      </c>
      <c r="O129" s="76"/>
      <c r="P129" s="81"/>
      <c r="Q129" s="106"/>
      <c r="AA129" s="92"/>
    </row>
    <row r="130" spans="1:27" x14ac:dyDescent="0.25">
      <c r="A130" s="95">
        <v>45610</v>
      </c>
      <c r="B130" s="72" t="s">
        <v>562</v>
      </c>
      <c r="C130" s="72" t="s">
        <v>8</v>
      </c>
      <c r="D130" s="72" t="s">
        <v>18</v>
      </c>
      <c r="E130" s="72" t="s">
        <v>82</v>
      </c>
      <c r="F130" s="72">
        <v>1</v>
      </c>
      <c r="G130" s="73">
        <f t="shared" si="26"/>
        <v>40</v>
      </c>
      <c r="H130" s="73">
        <f t="shared" si="25"/>
        <v>40</v>
      </c>
      <c r="I130" s="73">
        <f t="shared" si="24"/>
        <v>40</v>
      </c>
      <c r="J130" s="72" t="s">
        <v>83</v>
      </c>
      <c r="K130" s="74"/>
      <c r="M130" s="79"/>
      <c r="N130" s="76" t="e">
        <f t="shared" si="27"/>
        <v>#N/A</v>
      </c>
      <c r="O130" s="76"/>
      <c r="P130" s="81"/>
      <c r="AA130" s="92"/>
    </row>
    <row r="131" spans="1:27" x14ac:dyDescent="0.25">
      <c r="A131" s="95">
        <v>45610</v>
      </c>
      <c r="B131" s="72" t="s">
        <v>511</v>
      </c>
      <c r="C131" s="72" t="s">
        <v>8</v>
      </c>
      <c r="D131" s="72" t="s">
        <v>18</v>
      </c>
      <c r="E131" s="72" t="s">
        <v>82</v>
      </c>
      <c r="F131" s="72">
        <v>1</v>
      </c>
      <c r="G131" s="73">
        <f t="shared" si="26"/>
        <v>40</v>
      </c>
      <c r="H131" s="73">
        <f t="shared" si="25"/>
        <v>40</v>
      </c>
      <c r="I131" s="73">
        <f t="shared" ref="I131:I154" si="28">IF(J131="Master Debito",H131-(H131*$AC$5),IF(J131="Master Credito",H131-(H131*$AC$6), IF(J131="Visa Debito",H131-(H131*$AC$7), IF(J131="Visa Credito", H131-(H131*$AC$8), IF(J131="Elo Debito", H131-(H131*$AC$9), IF(J131="Elo Credito", H131-(H131*$AC$10), IF(J131="Pix", H131-(H131*$AC$11), IF(J131="Dinheiro (R$)", H131-(H131*$AC$12)))))))))</f>
        <v>40</v>
      </c>
      <c r="J131" s="72" t="s">
        <v>83</v>
      </c>
      <c r="K131" s="74"/>
      <c r="M131" s="79"/>
      <c r="N131" s="76" t="e">
        <f t="shared" si="27"/>
        <v>#N/A</v>
      </c>
      <c r="O131" s="76"/>
      <c r="P131" s="81"/>
      <c r="AA131" s="92"/>
    </row>
    <row r="132" spans="1:27" x14ac:dyDescent="0.25">
      <c r="A132" s="95">
        <v>45610</v>
      </c>
      <c r="B132" s="72" t="s">
        <v>839</v>
      </c>
      <c r="C132" s="72" t="s">
        <v>8</v>
      </c>
      <c r="D132" s="72" t="s">
        <v>22</v>
      </c>
      <c r="E132" s="72" t="s">
        <v>56</v>
      </c>
      <c r="F132" s="72">
        <v>1</v>
      </c>
      <c r="G132" s="73">
        <f t="shared" si="26"/>
        <v>30</v>
      </c>
      <c r="H132" s="73">
        <f t="shared" si="25"/>
        <v>30</v>
      </c>
      <c r="I132" s="73">
        <f t="shared" si="28"/>
        <v>29.37</v>
      </c>
      <c r="J132" s="72" t="s">
        <v>866</v>
      </c>
      <c r="K132" s="74"/>
      <c r="M132" s="79" t="s">
        <v>22</v>
      </c>
      <c r="N132" s="76">
        <f t="shared" si="27"/>
        <v>12</v>
      </c>
      <c r="O132" s="76">
        <f>N132*F132</f>
        <v>12</v>
      </c>
      <c r="P132" s="81" t="s">
        <v>56</v>
      </c>
      <c r="AA132" s="92"/>
    </row>
    <row r="133" spans="1:27" x14ac:dyDescent="0.25">
      <c r="A133" s="95">
        <v>45610</v>
      </c>
      <c r="B133" s="72" t="s">
        <v>839</v>
      </c>
      <c r="C133" s="72" t="s">
        <v>8</v>
      </c>
      <c r="D133" s="72" t="s">
        <v>13</v>
      </c>
      <c r="E133" s="72" t="s">
        <v>56</v>
      </c>
      <c r="F133" s="72">
        <v>1</v>
      </c>
      <c r="G133" s="73">
        <f t="shared" si="26"/>
        <v>30</v>
      </c>
      <c r="H133" s="73">
        <f t="shared" si="25"/>
        <v>30</v>
      </c>
      <c r="I133" s="73">
        <f t="shared" si="28"/>
        <v>29.37</v>
      </c>
      <c r="J133" s="72" t="s">
        <v>866</v>
      </c>
      <c r="K133" s="74"/>
      <c r="M133" s="79" t="s">
        <v>13</v>
      </c>
      <c r="N133" s="76">
        <f t="shared" si="27"/>
        <v>12</v>
      </c>
      <c r="O133" s="76">
        <f>N133*F133</f>
        <v>12</v>
      </c>
      <c r="P133" s="81" t="s">
        <v>56</v>
      </c>
      <c r="AA133" s="92"/>
    </row>
    <row r="134" spans="1:27" x14ac:dyDescent="0.25">
      <c r="A134" s="95">
        <v>45610</v>
      </c>
      <c r="B134" s="72" t="s">
        <v>586</v>
      </c>
      <c r="C134" s="72" t="s">
        <v>8</v>
      </c>
      <c r="D134" s="72" t="s">
        <v>18</v>
      </c>
      <c r="E134" s="72" t="s">
        <v>82</v>
      </c>
      <c r="F134" s="72">
        <v>1</v>
      </c>
      <c r="G134" s="73">
        <f t="shared" si="26"/>
        <v>40</v>
      </c>
      <c r="H134" s="73">
        <f t="shared" si="25"/>
        <v>40</v>
      </c>
      <c r="I134" s="73">
        <f t="shared" si="28"/>
        <v>39.159999999999997</v>
      </c>
      <c r="J134" s="72" t="s">
        <v>866</v>
      </c>
      <c r="K134" s="74"/>
      <c r="M134" s="79"/>
      <c r="N134" s="76" t="e">
        <f t="shared" si="27"/>
        <v>#N/A</v>
      </c>
      <c r="O134" s="76"/>
      <c r="P134" s="81"/>
      <c r="AA134" s="92"/>
    </row>
    <row r="135" spans="1:27" x14ac:dyDescent="0.25">
      <c r="A135" s="95">
        <v>45610</v>
      </c>
      <c r="B135" s="72" t="s">
        <v>558</v>
      </c>
      <c r="C135" s="72" t="s">
        <v>10</v>
      </c>
      <c r="D135" s="72" t="s">
        <v>15</v>
      </c>
      <c r="E135" s="72" t="s">
        <v>56</v>
      </c>
      <c r="F135" s="72">
        <v>1</v>
      </c>
      <c r="G135" s="73">
        <f t="shared" si="26"/>
        <v>70</v>
      </c>
      <c r="H135" s="73">
        <f t="shared" si="25"/>
        <v>70</v>
      </c>
      <c r="I135" s="73">
        <f t="shared" si="28"/>
        <v>68.53</v>
      </c>
      <c r="J135" s="72" t="s">
        <v>866</v>
      </c>
      <c r="K135" s="74"/>
      <c r="M135" s="79" t="s">
        <v>15</v>
      </c>
      <c r="N135" s="76">
        <f t="shared" si="27"/>
        <v>28</v>
      </c>
      <c r="O135" s="76">
        <f>N135*F135</f>
        <v>28</v>
      </c>
      <c r="P135" s="81" t="s">
        <v>56</v>
      </c>
      <c r="AA135" s="92"/>
    </row>
    <row r="136" spans="1:27" x14ac:dyDescent="0.25">
      <c r="A136" s="95">
        <v>45610</v>
      </c>
      <c r="B136" s="72" t="s">
        <v>142</v>
      </c>
      <c r="C136" s="72" t="s">
        <v>8</v>
      </c>
      <c r="D136" s="72" t="s">
        <v>15</v>
      </c>
      <c r="E136" s="72" t="s">
        <v>56</v>
      </c>
      <c r="F136" s="72">
        <v>1</v>
      </c>
      <c r="G136" s="73">
        <v>0</v>
      </c>
      <c r="H136" s="73">
        <f t="shared" si="25"/>
        <v>0</v>
      </c>
      <c r="I136" s="73" t="b">
        <f t="shared" si="28"/>
        <v>0</v>
      </c>
      <c r="J136" s="72"/>
      <c r="K136" s="74"/>
      <c r="M136" s="79" t="s">
        <v>15</v>
      </c>
      <c r="N136" s="76">
        <f t="shared" si="27"/>
        <v>28</v>
      </c>
      <c r="O136" s="76">
        <f>N136*F136</f>
        <v>28</v>
      </c>
      <c r="P136" s="81" t="s">
        <v>56</v>
      </c>
      <c r="AA136" s="92"/>
    </row>
    <row r="137" spans="1:27" x14ac:dyDescent="0.25">
      <c r="A137" s="95">
        <v>45610</v>
      </c>
      <c r="B137" s="72" t="s">
        <v>204</v>
      </c>
      <c r="C137" s="72" t="s">
        <v>8</v>
      </c>
      <c r="D137" s="72" t="s">
        <v>17</v>
      </c>
      <c r="E137" s="72" t="s">
        <v>82</v>
      </c>
      <c r="F137" s="72">
        <v>1</v>
      </c>
      <c r="G137" s="73">
        <f t="shared" ref="G137:G158" si="29">VLOOKUP(D137,$S$3:$T$70,2,0)</f>
        <v>50</v>
      </c>
      <c r="H137" s="73">
        <f t="shared" si="25"/>
        <v>50</v>
      </c>
      <c r="I137" s="73">
        <f t="shared" si="28"/>
        <v>50</v>
      </c>
      <c r="J137" s="72" t="s">
        <v>83</v>
      </c>
      <c r="K137" s="74"/>
      <c r="M137" s="79"/>
      <c r="N137" s="76" t="e">
        <f t="shared" si="27"/>
        <v>#N/A</v>
      </c>
      <c r="O137" s="76"/>
      <c r="P137" s="81"/>
      <c r="AA137" s="92"/>
    </row>
    <row r="138" spans="1:27" x14ac:dyDescent="0.25">
      <c r="A138" s="95">
        <v>45610</v>
      </c>
      <c r="B138" s="72" t="s">
        <v>535</v>
      </c>
      <c r="C138" s="72" t="s">
        <v>8</v>
      </c>
      <c r="D138" s="72" t="s">
        <v>17</v>
      </c>
      <c r="E138" s="72" t="s">
        <v>82</v>
      </c>
      <c r="F138" s="72">
        <v>1</v>
      </c>
      <c r="G138" s="73">
        <f t="shared" si="29"/>
        <v>50</v>
      </c>
      <c r="H138" s="73">
        <f t="shared" si="25"/>
        <v>50</v>
      </c>
      <c r="I138" s="73">
        <f t="shared" si="28"/>
        <v>50</v>
      </c>
      <c r="J138" s="72" t="s">
        <v>83</v>
      </c>
      <c r="K138" s="74"/>
      <c r="M138" s="79"/>
      <c r="N138" s="76" t="e">
        <f t="shared" si="27"/>
        <v>#N/A</v>
      </c>
      <c r="O138" s="76"/>
      <c r="P138" s="81"/>
      <c r="AA138" s="92"/>
    </row>
    <row r="139" spans="1:27" x14ac:dyDescent="0.25">
      <c r="A139" s="95">
        <v>45610</v>
      </c>
      <c r="B139" s="72" t="s">
        <v>574</v>
      </c>
      <c r="C139" s="72" t="s">
        <v>8</v>
      </c>
      <c r="D139" s="72" t="s">
        <v>23</v>
      </c>
      <c r="E139" s="72" t="s">
        <v>82</v>
      </c>
      <c r="F139" s="72">
        <v>1</v>
      </c>
      <c r="G139" s="73">
        <f t="shared" si="29"/>
        <v>5</v>
      </c>
      <c r="H139" s="73">
        <f t="shared" si="25"/>
        <v>5</v>
      </c>
      <c r="I139" s="73">
        <f t="shared" si="28"/>
        <v>5</v>
      </c>
      <c r="J139" s="72" t="s">
        <v>83</v>
      </c>
      <c r="K139" s="74"/>
      <c r="M139" s="79"/>
      <c r="N139" s="76" t="e">
        <f t="shared" si="27"/>
        <v>#N/A</v>
      </c>
      <c r="O139" s="76"/>
      <c r="P139" s="81"/>
      <c r="AA139" s="92"/>
    </row>
    <row r="140" spans="1:27" x14ac:dyDescent="0.25">
      <c r="A140" s="95">
        <v>45610</v>
      </c>
      <c r="B140" s="72" t="s">
        <v>485</v>
      </c>
      <c r="C140" s="72" t="s">
        <v>8</v>
      </c>
      <c r="D140" s="72" t="s">
        <v>18</v>
      </c>
      <c r="E140" s="72" t="s">
        <v>82</v>
      </c>
      <c r="F140" s="72">
        <v>1</v>
      </c>
      <c r="G140" s="73">
        <f t="shared" si="29"/>
        <v>40</v>
      </c>
      <c r="H140" s="73">
        <f t="shared" si="25"/>
        <v>40</v>
      </c>
      <c r="I140" s="73">
        <f t="shared" si="28"/>
        <v>38</v>
      </c>
      <c r="J140" s="72" t="s">
        <v>867</v>
      </c>
      <c r="K140" s="74"/>
      <c r="M140" s="79"/>
      <c r="N140" s="76" t="e">
        <f t="shared" si="27"/>
        <v>#N/A</v>
      </c>
      <c r="O140" s="76"/>
      <c r="P140" s="81"/>
      <c r="AA140" s="92"/>
    </row>
    <row r="141" spans="1:27" x14ac:dyDescent="0.25">
      <c r="A141" s="95">
        <v>45611</v>
      </c>
      <c r="B141" s="72" t="s">
        <v>324</v>
      </c>
      <c r="C141" s="72" t="s">
        <v>10</v>
      </c>
      <c r="D141" s="72" t="s">
        <v>18</v>
      </c>
      <c r="E141" s="72" t="s">
        <v>56</v>
      </c>
      <c r="F141" s="72">
        <v>1</v>
      </c>
      <c r="G141" s="73">
        <f t="shared" si="29"/>
        <v>40</v>
      </c>
      <c r="H141" s="73">
        <f t="shared" si="25"/>
        <v>40</v>
      </c>
      <c r="I141" s="73">
        <f t="shared" si="28"/>
        <v>40</v>
      </c>
      <c r="J141" s="72" t="s">
        <v>83</v>
      </c>
      <c r="K141" s="74"/>
      <c r="M141" s="79" t="s">
        <v>18</v>
      </c>
      <c r="N141" s="76">
        <f t="shared" si="27"/>
        <v>16</v>
      </c>
      <c r="O141" s="76">
        <f>N141*F141</f>
        <v>16</v>
      </c>
      <c r="P141" s="81" t="s">
        <v>56</v>
      </c>
      <c r="AA141" s="92"/>
    </row>
    <row r="142" spans="1:27" x14ac:dyDescent="0.25">
      <c r="A142" s="95">
        <v>45611</v>
      </c>
      <c r="B142" s="72" t="s">
        <v>324</v>
      </c>
      <c r="C142" s="72" t="s">
        <v>8</v>
      </c>
      <c r="D142" s="72" t="s">
        <v>58</v>
      </c>
      <c r="E142" s="72" t="s">
        <v>82</v>
      </c>
      <c r="F142" s="72">
        <v>1</v>
      </c>
      <c r="G142" s="73">
        <f t="shared" si="29"/>
        <v>100</v>
      </c>
      <c r="H142" s="73">
        <f t="shared" si="25"/>
        <v>100</v>
      </c>
      <c r="I142" s="73">
        <f t="shared" si="28"/>
        <v>95</v>
      </c>
      <c r="J142" s="72" t="s">
        <v>867</v>
      </c>
      <c r="K142" s="74"/>
      <c r="M142" s="79"/>
      <c r="N142" s="76" t="e">
        <f t="shared" si="27"/>
        <v>#N/A</v>
      </c>
      <c r="O142" s="76"/>
      <c r="P142" s="81"/>
      <c r="AA142" s="92"/>
    </row>
    <row r="143" spans="1:27" x14ac:dyDescent="0.25">
      <c r="A143" s="95">
        <v>45611</v>
      </c>
      <c r="B143" s="72" t="s">
        <v>324</v>
      </c>
      <c r="C143" s="72" t="s">
        <v>8</v>
      </c>
      <c r="D143" s="72" t="s">
        <v>24</v>
      </c>
      <c r="E143" s="72" t="s">
        <v>82</v>
      </c>
      <c r="F143" s="72">
        <v>1</v>
      </c>
      <c r="G143" s="73">
        <f t="shared" si="29"/>
        <v>10</v>
      </c>
      <c r="H143" s="73">
        <f t="shared" si="25"/>
        <v>10</v>
      </c>
      <c r="I143" s="73">
        <f t="shared" si="28"/>
        <v>9.5</v>
      </c>
      <c r="J143" s="72" t="s">
        <v>867</v>
      </c>
      <c r="K143" s="74"/>
      <c r="M143" s="79"/>
      <c r="N143" s="76" t="e">
        <f t="shared" si="27"/>
        <v>#N/A</v>
      </c>
      <c r="O143" s="76"/>
      <c r="P143" s="81"/>
      <c r="AA143" s="92"/>
    </row>
    <row r="144" spans="1:27" x14ac:dyDescent="0.25">
      <c r="A144" s="95">
        <v>45611</v>
      </c>
      <c r="B144" s="72" t="s">
        <v>572</v>
      </c>
      <c r="C144" s="72" t="s">
        <v>8</v>
      </c>
      <c r="D144" s="72" t="s">
        <v>40</v>
      </c>
      <c r="E144" s="72" t="s">
        <v>82</v>
      </c>
      <c r="F144" s="72">
        <v>1</v>
      </c>
      <c r="G144" s="73">
        <f t="shared" si="29"/>
        <v>45</v>
      </c>
      <c r="H144" s="73">
        <f t="shared" si="25"/>
        <v>45</v>
      </c>
      <c r="I144" s="73">
        <f t="shared" si="28"/>
        <v>45</v>
      </c>
      <c r="J144" s="72" t="s">
        <v>83</v>
      </c>
      <c r="K144" s="74"/>
      <c r="M144" s="79"/>
      <c r="N144" s="76" t="e">
        <f t="shared" si="27"/>
        <v>#N/A</v>
      </c>
      <c r="O144" s="76"/>
      <c r="P144" s="81"/>
      <c r="AA144" s="92"/>
    </row>
    <row r="145" spans="1:27" x14ac:dyDescent="0.25">
      <c r="A145" s="95">
        <v>45611</v>
      </c>
      <c r="B145" s="72" t="s">
        <v>558</v>
      </c>
      <c r="C145" s="72" t="s">
        <v>8</v>
      </c>
      <c r="D145" s="72" t="s">
        <v>18</v>
      </c>
      <c r="E145" s="72" t="s">
        <v>56</v>
      </c>
      <c r="F145" s="72">
        <v>1</v>
      </c>
      <c r="G145" s="73">
        <f t="shared" si="29"/>
        <v>40</v>
      </c>
      <c r="H145" s="73">
        <f t="shared" si="25"/>
        <v>40</v>
      </c>
      <c r="I145" s="73">
        <f t="shared" si="28"/>
        <v>40</v>
      </c>
      <c r="J145" s="72" t="s">
        <v>83</v>
      </c>
      <c r="K145" s="74"/>
      <c r="M145" s="79" t="s">
        <v>18</v>
      </c>
      <c r="N145" s="76">
        <f t="shared" si="27"/>
        <v>16</v>
      </c>
      <c r="O145" s="76">
        <f>N145*F145</f>
        <v>16</v>
      </c>
      <c r="P145" s="81" t="s">
        <v>56</v>
      </c>
      <c r="AA145" s="92"/>
    </row>
    <row r="146" spans="1:27" x14ac:dyDescent="0.25">
      <c r="A146" s="95">
        <v>45611</v>
      </c>
      <c r="B146" s="72" t="s">
        <v>894</v>
      </c>
      <c r="C146" s="72" t="s">
        <v>8</v>
      </c>
      <c r="D146" s="72" t="s">
        <v>18</v>
      </c>
      <c r="E146" s="72" t="s">
        <v>56</v>
      </c>
      <c r="F146" s="72">
        <v>1</v>
      </c>
      <c r="G146" s="73">
        <f t="shared" si="29"/>
        <v>40</v>
      </c>
      <c r="H146" s="73">
        <f t="shared" si="25"/>
        <v>40</v>
      </c>
      <c r="I146" s="73">
        <f t="shared" si="28"/>
        <v>40</v>
      </c>
      <c r="J146" s="72" t="s">
        <v>83</v>
      </c>
      <c r="K146" s="74"/>
      <c r="M146" s="79" t="s">
        <v>18</v>
      </c>
      <c r="N146" s="76">
        <f t="shared" si="27"/>
        <v>16</v>
      </c>
      <c r="O146" s="76">
        <f>N146*F146</f>
        <v>16</v>
      </c>
      <c r="P146" s="81" t="s">
        <v>56</v>
      </c>
      <c r="Q146" s="106"/>
      <c r="AA146" s="92"/>
    </row>
    <row r="147" spans="1:27" x14ac:dyDescent="0.25">
      <c r="A147" s="95">
        <v>45611</v>
      </c>
      <c r="B147" s="72" t="s">
        <v>516</v>
      </c>
      <c r="C147" s="72" t="s">
        <v>8</v>
      </c>
      <c r="D147" s="72" t="s">
        <v>16</v>
      </c>
      <c r="E147" s="72" t="s">
        <v>82</v>
      </c>
      <c r="F147" s="72">
        <v>1</v>
      </c>
      <c r="G147" s="73">
        <f t="shared" si="29"/>
        <v>80</v>
      </c>
      <c r="H147" s="73">
        <f t="shared" si="25"/>
        <v>80</v>
      </c>
      <c r="I147" s="73">
        <f t="shared" si="28"/>
        <v>80</v>
      </c>
      <c r="J147" s="72" t="s">
        <v>83</v>
      </c>
      <c r="K147" s="74"/>
      <c r="M147" s="79"/>
      <c r="N147" s="76" t="e">
        <f t="shared" si="27"/>
        <v>#N/A</v>
      </c>
      <c r="O147" s="76"/>
      <c r="P147" s="81"/>
      <c r="Y147" s="91" t="s">
        <v>309</v>
      </c>
      <c r="Z147" s="92">
        <v>6.8327</v>
      </c>
      <c r="AA147" s="92">
        <f t="shared" ref="AA147:AA183" si="30">Z147*0.1</f>
        <v>0.68327000000000004</v>
      </c>
    </row>
    <row r="148" spans="1:27" x14ac:dyDescent="0.25">
      <c r="A148" s="95">
        <v>45611</v>
      </c>
      <c r="B148" s="72" t="s">
        <v>558</v>
      </c>
      <c r="C148" s="72" t="s">
        <v>8</v>
      </c>
      <c r="D148" s="72" t="s">
        <v>18</v>
      </c>
      <c r="E148" s="72" t="s">
        <v>56</v>
      </c>
      <c r="F148" s="72">
        <v>1</v>
      </c>
      <c r="G148" s="73">
        <f t="shared" si="29"/>
        <v>40</v>
      </c>
      <c r="H148" s="73">
        <f t="shared" si="25"/>
        <v>40</v>
      </c>
      <c r="I148" s="73">
        <f t="shared" si="28"/>
        <v>40</v>
      </c>
      <c r="J148" s="72" t="s">
        <v>83</v>
      </c>
      <c r="K148" s="74"/>
      <c r="M148" s="79" t="s">
        <v>18</v>
      </c>
      <c r="N148" s="76">
        <f t="shared" si="27"/>
        <v>16</v>
      </c>
      <c r="O148" s="76">
        <f>N148*F148</f>
        <v>16</v>
      </c>
      <c r="P148" s="81" t="s">
        <v>56</v>
      </c>
      <c r="Y148" s="91" t="s">
        <v>311</v>
      </c>
      <c r="Z148" s="92">
        <v>6.6506999999999996</v>
      </c>
      <c r="AA148" s="92">
        <f t="shared" si="30"/>
        <v>0.66507000000000005</v>
      </c>
    </row>
    <row r="149" spans="1:27" x14ac:dyDescent="0.25">
      <c r="A149" s="95">
        <v>45611</v>
      </c>
      <c r="B149" s="72" t="s">
        <v>498</v>
      </c>
      <c r="C149" s="72" t="s">
        <v>8</v>
      </c>
      <c r="D149" s="72" t="s">
        <v>18</v>
      </c>
      <c r="E149" s="72" t="s">
        <v>56</v>
      </c>
      <c r="F149" s="72">
        <v>1</v>
      </c>
      <c r="G149" s="73">
        <f t="shared" si="29"/>
        <v>40</v>
      </c>
      <c r="H149" s="73">
        <f t="shared" si="25"/>
        <v>40</v>
      </c>
      <c r="I149" s="73">
        <f t="shared" si="28"/>
        <v>39.159999999999997</v>
      </c>
      <c r="J149" s="72" t="s">
        <v>866</v>
      </c>
      <c r="K149" s="74"/>
      <c r="M149" s="79" t="s">
        <v>18</v>
      </c>
      <c r="N149" s="76">
        <f t="shared" si="27"/>
        <v>16</v>
      </c>
      <c r="O149" s="76">
        <f>N149*F149</f>
        <v>16</v>
      </c>
      <c r="P149" s="81" t="s">
        <v>56</v>
      </c>
      <c r="Q149" s="106"/>
      <c r="Y149" s="91" t="s">
        <v>313</v>
      </c>
      <c r="Z149" s="92">
        <v>5</v>
      </c>
      <c r="AA149" s="92">
        <f t="shared" si="30"/>
        <v>0.5</v>
      </c>
    </row>
    <row r="150" spans="1:27" x14ac:dyDescent="0.25">
      <c r="A150" s="95">
        <v>45611</v>
      </c>
      <c r="B150" s="72" t="s">
        <v>482</v>
      </c>
      <c r="C150" s="72" t="s">
        <v>8</v>
      </c>
      <c r="D150" s="72" t="s">
        <v>17</v>
      </c>
      <c r="E150" s="72" t="s">
        <v>56</v>
      </c>
      <c r="F150" s="72">
        <v>1</v>
      </c>
      <c r="G150" s="73">
        <f t="shared" si="29"/>
        <v>50</v>
      </c>
      <c r="H150" s="73">
        <f t="shared" ref="H150:H178" si="31">F150*G150</f>
        <v>50</v>
      </c>
      <c r="I150" s="73">
        <f t="shared" si="28"/>
        <v>48.95</v>
      </c>
      <c r="J150" s="72" t="s">
        <v>866</v>
      </c>
      <c r="K150" s="74"/>
      <c r="M150" s="79" t="s">
        <v>17</v>
      </c>
      <c r="N150" s="76">
        <f t="shared" si="27"/>
        <v>20</v>
      </c>
      <c r="O150" s="76">
        <f>N150*F150</f>
        <v>20</v>
      </c>
      <c r="P150" s="81" t="s">
        <v>56</v>
      </c>
      <c r="Y150" s="91" t="s">
        <v>316</v>
      </c>
      <c r="Z150" s="92">
        <v>5</v>
      </c>
      <c r="AA150" s="92">
        <f t="shared" si="30"/>
        <v>0.5</v>
      </c>
    </row>
    <row r="151" spans="1:27" x14ac:dyDescent="0.25">
      <c r="A151" s="95">
        <v>45612</v>
      </c>
      <c r="B151" s="72" t="s">
        <v>765</v>
      </c>
      <c r="C151" s="72" t="s">
        <v>8</v>
      </c>
      <c r="D151" s="72" t="s">
        <v>17</v>
      </c>
      <c r="E151" s="72" t="s">
        <v>56</v>
      </c>
      <c r="F151" s="72">
        <v>1</v>
      </c>
      <c r="G151" s="73">
        <f t="shared" si="29"/>
        <v>50</v>
      </c>
      <c r="H151" s="73">
        <f t="shared" si="31"/>
        <v>50</v>
      </c>
      <c r="I151" s="73">
        <f t="shared" si="28"/>
        <v>47.5</v>
      </c>
      <c r="J151" s="72" t="s">
        <v>867</v>
      </c>
      <c r="K151" s="74"/>
      <c r="M151" s="79" t="s">
        <v>17</v>
      </c>
      <c r="N151" s="76">
        <f t="shared" si="27"/>
        <v>20</v>
      </c>
      <c r="O151" s="76">
        <f>N151*F151</f>
        <v>20</v>
      </c>
      <c r="P151" s="81" t="s">
        <v>56</v>
      </c>
      <c r="Y151" s="91" t="s">
        <v>318</v>
      </c>
      <c r="Z151" s="92">
        <v>4.8804999999999996</v>
      </c>
      <c r="AA151" s="92">
        <f t="shared" si="30"/>
        <v>0.48804999999999998</v>
      </c>
    </row>
    <row r="152" spans="1:27" x14ac:dyDescent="0.25">
      <c r="A152" s="95">
        <v>45612</v>
      </c>
      <c r="B152" s="72" t="s">
        <v>555</v>
      </c>
      <c r="C152" s="72" t="s">
        <v>8</v>
      </c>
      <c r="D152" s="72" t="s">
        <v>13</v>
      </c>
      <c r="E152" s="72" t="s">
        <v>82</v>
      </c>
      <c r="F152" s="72">
        <v>1</v>
      </c>
      <c r="G152" s="73">
        <f t="shared" si="29"/>
        <v>30</v>
      </c>
      <c r="H152" s="73">
        <f t="shared" si="31"/>
        <v>30</v>
      </c>
      <c r="I152" s="73">
        <f t="shared" si="28"/>
        <v>30</v>
      </c>
      <c r="J152" s="72" t="s">
        <v>83</v>
      </c>
      <c r="K152" s="74"/>
      <c r="M152" s="79"/>
      <c r="N152" s="76" t="e">
        <f t="shared" si="27"/>
        <v>#N/A</v>
      </c>
      <c r="O152" s="76"/>
      <c r="P152" s="81"/>
      <c r="Y152" s="91" t="s">
        <v>320</v>
      </c>
      <c r="Z152" s="92">
        <v>4.7504999999999997</v>
      </c>
      <c r="AA152" s="92">
        <f t="shared" si="30"/>
        <v>0.47504999999999997</v>
      </c>
    </row>
    <row r="153" spans="1:27" x14ac:dyDescent="0.25">
      <c r="A153" s="95">
        <v>45612</v>
      </c>
      <c r="B153" s="72" t="s">
        <v>686</v>
      </c>
      <c r="C153" s="72" t="s">
        <v>8</v>
      </c>
      <c r="D153" s="72" t="s">
        <v>13</v>
      </c>
      <c r="E153" s="72" t="s">
        <v>82</v>
      </c>
      <c r="F153" s="72">
        <v>1</v>
      </c>
      <c r="G153" s="73">
        <f t="shared" si="29"/>
        <v>30</v>
      </c>
      <c r="H153" s="73">
        <f t="shared" si="31"/>
        <v>30</v>
      </c>
      <c r="I153" s="73">
        <f t="shared" si="28"/>
        <v>28.5</v>
      </c>
      <c r="J153" s="72" t="s">
        <v>867</v>
      </c>
      <c r="K153" s="74"/>
      <c r="M153" s="79"/>
      <c r="N153" s="76" t="e">
        <f t="shared" si="27"/>
        <v>#N/A</v>
      </c>
      <c r="O153" s="76"/>
      <c r="P153" s="81"/>
      <c r="Y153" s="91" t="s">
        <v>321</v>
      </c>
      <c r="Z153" s="92">
        <v>10</v>
      </c>
      <c r="AA153" s="92">
        <f t="shared" si="30"/>
        <v>1</v>
      </c>
    </row>
    <row r="154" spans="1:27" x14ac:dyDescent="0.25">
      <c r="A154" s="95">
        <v>45612</v>
      </c>
      <c r="B154" s="72" t="s">
        <v>686</v>
      </c>
      <c r="C154" s="72" t="s">
        <v>8</v>
      </c>
      <c r="D154" s="72" t="s">
        <v>143</v>
      </c>
      <c r="E154" s="72" t="s">
        <v>82</v>
      </c>
      <c r="F154" s="72">
        <v>1</v>
      </c>
      <c r="G154" s="73">
        <f t="shared" si="29"/>
        <v>35</v>
      </c>
      <c r="H154" s="73">
        <f t="shared" si="31"/>
        <v>35</v>
      </c>
      <c r="I154" s="73">
        <f t="shared" si="28"/>
        <v>33.25</v>
      </c>
      <c r="J154" s="72" t="s">
        <v>867</v>
      </c>
      <c r="K154" s="74"/>
      <c r="M154" s="79"/>
      <c r="N154" s="76" t="e">
        <f t="shared" si="27"/>
        <v>#N/A</v>
      </c>
      <c r="O154" s="76"/>
      <c r="P154" s="81"/>
      <c r="Y154" s="91" t="s">
        <v>323</v>
      </c>
      <c r="Z154" s="92">
        <v>10</v>
      </c>
      <c r="AA154" s="92">
        <f t="shared" si="30"/>
        <v>1</v>
      </c>
    </row>
    <row r="155" spans="1:27" x14ac:dyDescent="0.25">
      <c r="A155" s="95">
        <v>45612</v>
      </c>
      <c r="B155" s="72" t="s">
        <v>283</v>
      </c>
      <c r="C155" s="72" t="s">
        <v>8</v>
      </c>
      <c r="D155" s="72" t="s">
        <v>43</v>
      </c>
      <c r="E155" s="72" t="s">
        <v>82</v>
      </c>
      <c r="F155" s="72">
        <v>1</v>
      </c>
      <c r="G155" s="73">
        <f t="shared" si="29"/>
        <v>130</v>
      </c>
      <c r="H155" s="73">
        <f t="shared" si="31"/>
        <v>130</v>
      </c>
      <c r="I155" s="73">
        <v>123.51</v>
      </c>
      <c r="J155" s="72" t="s">
        <v>865</v>
      </c>
      <c r="K155" s="74"/>
      <c r="M155" s="79"/>
      <c r="N155" s="76" t="e">
        <f t="shared" si="27"/>
        <v>#N/A</v>
      </c>
      <c r="O155" s="76"/>
      <c r="P155" s="81"/>
      <c r="Y155" s="91" t="s">
        <v>325</v>
      </c>
      <c r="Z155" s="92">
        <v>9.7609999999999992</v>
      </c>
      <c r="AA155" s="92">
        <f t="shared" si="30"/>
        <v>0.97609999999999997</v>
      </c>
    </row>
    <row r="156" spans="1:27" x14ac:dyDescent="0.25">
      <c r="A156" s="95">
        <v>45612</v>
      </c>
      <c r="B156" s="72" t="s">
        <v>827</v>
      </c>
      <c r="C156" s="72" t="s">
        <v>8</v>
      </c>
      <c r="D156" s="72" t="s">
        <v>18</v>
      </c>
      <c r="E156" s="72" t="s">
        <v>82</v>
      </c>
      <c r="F156" s="72">
        <v>1</v>
      </c>
      <c r="G156" s="73">
        <f t="shared" si="29"/>
        <v>40</v>
      </c>
      <c r="H156" s="73">
        <f t="shared" si="31"/>
        <v>40</v>
      </c>
      <c r="I156" s="73">
        <f t="shared" ref="I156:I173" si="32">IF(J156="Master Debito",H156-(H156*$AC$5),IF(J156="Master Credito",H156-(H156*$AC$6), IF(J156="Visa Debito",H156-(H156*$AC$7), IF(J156="Visa Credito", H156-(H156*$AC$8), IF(J156="Elo Debito", H156-(H156*$AC$9), IF(J156="Elo Credito", H156-(H156*$AC$10), IF(J156="Pix", H156-(H156*$AC$11), IF(J156="Dinheiro (R$)", H156-(H156*$AC$12)))))))))</f>
        <v>40</v>
      </c>
      <c r="J156" s="72" t="s">
        <v>83</v>
      </c>
      <c r="K156" s="74"/>
      <c r="M156" s="79"/>
      <c r="N156" s="76" t="e">
        <f t="shared" si="27"/>
        <v>#N/A</v>
      </c>
      <c r="O156" s="76"/>
      <c r="P156" s="81"/>
      <c r="Y156" s="91" t="s">
        <v>326</v>
      </c>
      <c r="Z156" s="92">
        <v>9.5009999999999994</v>
      </c>
      <c r="AA156" s="92">
        <f t="shared" si="30"/>
        <v>0.95009999999999994</v>
      </c>
    </row>
    <row r="157" spans="1:27" x14ac:dyDescent="0.25">
      <c r="A157" s="95">
        <v>45612</v>
      </c>
      <c r="B157" s="72" t="s">
        <v>251</v>
      </c>
      <c r="C157" s="72" t="s">
        <v>8</v>
      </c>
      <c r="D157" s="72" t="s">
        <v>24</v>
      </c>
      <c r="E157" s="72" t="s">
        <v>82</v>
      </c>
      <c r="F157" s="72">
        <v>1</v>
      </c>
      <c r="G157" s="73">
        <f t="shared" si="29"/>
        <v>10</v>
      </c>
      <c r="H157" s="73">
        <f t="shared" si="31"/>
        <v>10</v>
      </c>
      <c r="I157" s="73">
        <f t="shared" si="32"/>
        <v>9.7899999999999991</v>
      </c>
      <c r="J157" s="72" t="s">
        <v>866</v>
      </c>
      <c r="K157" s="74"/>
      <c r="M157" s="79"/>
      <c r="N157" s="76" t="e">
        <f t="shared" si="27"/>
        <v>#N/A</v>
      </c>
      <c r="O157" s="76"/>
      <c r="P157" s="81"/>
      <c r="Q157" s="106"/>
      <c r="Y157" s="91" t="s">
        <v>327</v>
      </c>
      <c r="Z157" s="92">
        <v>5</v>
      </c>
      <c r="AA157" s="92">
        <f t="shared" si="30"/>
        <v>0.5</v>
      </c>
    </row>
    <row r="158" spans="1:27" x14ac:dyDescent="0.25">
      <c r="A158" s="95">
        <v>45612</v>
      </c>
      <c r="B158" s="72" t="s">
        <v>536</v>
      </c>
      <c r="C158" s="72" t="s">
        <v>8</v>
      </c>
      <c r="D158" s="72" t="s">
        <v>18</v>
      </c>
      <c r="E158" s="72" t="s">
        <v>82</v>
      </c>
      <c r="F158" s="72">
        <v>1</v>
      </c>
      <c r="G158" s="73">
        <f t="shared" si="29"/>
        <v>40</v>
      </c>
      <c r="H158" s="73">
        <f t="shared" si="31"/>
        <v>40</v>
      </c>
      <c r="I158" s="73">
        <f t="shared" si="32"/>
        <v>40</v>
      </c>
      <c r="J158" s="72" t="s">
        <v>83</v>
      </c>
      <c r="K158" s="74"/>
      <c r="M158" s="79"/>
      <c r="N158" s="76" t="e">
        <f t="shared" si="27"/>
        <v>#N/A</v>
      </c>
      <c r="O158" s="76"/>
      <c r="P158" s="81"/>
      <c r="Y158" s="91" t="s">
        <v>329</v>
      </c>
      <c r="Z158" s="92">
        <v>5</v>
      </c>
      <c r="AA158" s="92">
        <f t="shared" si="30"/>
        <v>0.5</v>
      </c>
    </row>
    <row r="159" spans="1:27" x14ac:dyDescent="0.25">
      <c r="A159" s="95">
        <v>45612</v>
      </c>
      <c r="B159" s="72" t="s">
        <v>536</v>
      </c>
      <c r="C159" s="72" t="s">
        <v>8</v>
      </c>
      <c r="D159" s="72" t="s">
        <v>46</v>
      </c>
      <c r="E159" s="72" t="s">
        <v>82</v>
      </c>
      <c r="F159" s="72">
        <v>1</v>
      </c>
      <c r="G159" s="73">
        <v>6</v>
      </c>
      <c r="H159" s="73">
        <f t="shared" si="31"/>
        <v>6</v>
      </c>
      <c r="I159" s="73">
        <f t="shared" si="32"/>
        <v>6</v>
      </c>
      <c r="J159" s="72" t="s">
        <v>83</v>
      </c>
      <c r="K159" s="74"/>
      <c r="M159" s="79"/>
      <c r="N159" s="76" t="e">
        <f t="shared" ref="N159:N190" si="33">VLOOKUP(M159,$S$3:$U$70,3,0)</f>
        <v>#N/A</v>
      </c>
      <c r="O159" s="76"/>
      <c r="P159" s="81"/>
      <c r="Y159" s="91" t="s">
        <v>330</v>
      </c>
      <c r="Z159" s="92">
        <v>4.8804999999999996</v>
      </c>
      <c r="AA159" s="92">
        <f t="shared" si="30"/>
        <v>0.48804999999999998</v>
      </c>
    </row>
    <row r="160" spans="1:27" x14ac:dyDescent="0.25">
      <c r="A160" s="95">
        <v>45612</v>
      </c>
      <c r="B160" s="72" t="s">
        <v>536</v>
      </c>
      <c r="C160" s="72" t="s">
        <v>8</v>
      </c>
      <c r="D160" s="72" t="s">
        <v>779</v>
      </c>
      <c r="E160" s="72" t="s">
        <v>82</v>
      </c>
      <c r="F160" s="72">
        <v>1</v>
      </c>
      <c r="G160" s="73">
        <f t="shared" ref="G160:G190" si="34">VLOOKUP(D160,$S$3:$T$70,2,0)</f>
        <v>3</v>
      </c>
      <c r="H160" s="73">
        <f t="shared" si="31"/>
        <v>3</v>
      </c>
      <c r="I160" s="73">
        <f t="shared" si="32"/>
        <v>3</v>
      </c>
      <c r="J160" s="72" t="s">
        <v>83</v>
      </c>
      <c r="K160" s="74"/>
      <c r="M160" s="79"/>
      <c r="N160" s="76" t="e">
        <f t="shared" si="33"/>
        <v>#N/A</v>
      </c>
      <c r="O160" s="76"/>
      <c r="P160" s="81"/>
      <c r="Y160" s="91" t="s">
        <v>331</v>
      </c>
      <c r="Z160" s="92">
        <v>4.7504999999999997</v>
      </c>
      <c r="AA160" s="92">
        <f t="shared" si="30"/>
        <v>0.47504999999999997</v>
      </c>
    </row>
    <row r="161" spans="1:28" x14ac:dyDescent="0.25">
      <c r="A161" s="95">
        <v>45612</v>
      </c>
      <c r="B161" s="72" t="s">
        <v>895</v>
      </c>
      <c r="C161" s="72" t="s">
        <v>8</v>
      </c>
      <c r="D161" s="72" t="s">
        <v>21</v>
      </c>
      <c r="E161" s="72" t="s">
        <v>82</v>
      </c>
      <c r="F161" s="72">
        <v>1</v>
      </c>
      <c r="G161" s="73">
        <f t="shared" si="34"/>
        <v>10</v>
      </c>
      <c r="H161" s="73">
        <f t="shared" si="31"/>
        <v>10</v>
      </c>
      <c r="I161" s="73">
        <f t="shared" si="32"/>
        <v>10</v>
      </c>
      <c r="J161" s="72" t="s">
        <v>83</v>
      </c>
      <c r="K161" s="74"/>
      <c r="M161" s="79"/>
      <c r="N161" s="76" t="e">
        <f t="shared" si="33"/>
        <v>#N/A</v>
      </c>
      <c r="O161" s="76"/>
      <c r="P161" s="81"/>
      <c r="Y161" s="91" t="s">
        <v>334</v>
      </c>
      <c r="Z161" s="92">
        <v>7</v>
      </c>
      <c r="AA161" s="92">
        <f t="shared" si="30"/>
        <v>0.70000000000000007</v>
      </c>
    </row>
    <row r="162" spans="1:28" x14ac:dyDescent="0.25">
      <c r="A162" s="95">
        <v>45612</v>
      </c>
      <c r="B162" s="72" t="s">
        <v>204</v>
      </c>
      <c r="C162" s="72" t="s">
        <v>8</v>
      </c>
      <c r="D162" s="72" t="s">
        <v>18</v>
      </c>
      <c r="E162" s="72" t="s">
        <v>56</v>
      </c>
      <c r="F162" s="72">
        <v>1</v>
      </c>
      <c r="G162" s="73">
        <f t="shared" si="34"/>
        <v>40</v>
      </c>
      <c r="H162" s="73">
        <f t="shared" si="31"/>
        <v>40</v>
      </c>
      <c r="I162" s="73">
        <f t="shared" si="32"/>
        <v>40</v>
      </c>
      <c r="J162" s="72" t="s">
        <v>83</v>
      </c>
      <c r="K162" s="74"/>
      <c r="M162" s="79" t="s">
        <v>18</v>
      </c>
      <c r="N162" s="76">
        <f t="shared" si="33"/>
        <v>16</v>
      </c>
      <c r="O162" s="76">
        <f>N162*F162</f>
        <v>16</v>
      </c>
      <c r="P162" s="81" t="s">
        <v>56</v>
      </c>
      <c r="Y162" s="91" t="s">
        <v>335</v>
      </c>
      <c r="Z162" s="92">
        <v>7</v>
      </c>
      <c r="AA162" s="92">
        <f t="shared" si="30"/>
        <v>0.70000000000000007</v>
      </c>
    </row>
    <row r="163" spans="1:28" x14ac:dyDescent="0.25">
      <c r="A163" s="95">
        <v>45612</v>
      </c>
      <c r="B163" s="72" t="s">
        <v>896</v>
      </c>
      <c r="C163" s="72" t="s">
        <v>10</v>
      </c>
      <c r="D163" s="72" t="s">
        <v>18</v>
      </c>
      <c r="E163" s="72" t="s">
        <v>56</v>
      </c>
      <c r="F163" s="72">
        <v>1</v>
      </c>
      <c r="G163" s="73">
        <f t="shared" si="34"/>
        <v>40</v>
      </c>
      <c r="H163" s="73">
        <f t="shared" si="31"/>
        <v>40</v>
      </c>
      <c r="I163" s="73">
        <f t="shared" si="32"/>
        <v>40</v>
      </c>
      <c r="J163" s="72" t="s">
        <v>83</v>
      </c>
      <c r="K163" s="74"/>
      <c r="M163" s="79" t="s">
        <v>18</v>
      </c>
      <c r="N163" s="76">
        <f t="shared" si="33"/>
        <v>16</v>
      </c>
      <c r="O163" s="76">
        <f>N163*F163</f>
        <v>16</v>
      </c>
      <c r="P163" s="81" t="s">
        <v>56</v>
      </c>
      <c r="Y163" s="91" t="s">
        <v>337</v>
      </c>
      <c r="Z163" s="92">
        <v>6.8327</v>
      </c>
      <c r="AA163" s="92">
        <f t="shared" si="30"/>
        <v>0.68327000000000004</v>
      </c>
    </row>
    <row r="164" spans="1:28" x14ac:dyDescent="0.25">
      <c r="A164" s="95">
        <v>45612</v>
      </c>
      <c r="B164" s="72" t="s">
        <v>414</v>
      </c>
      <c r="C164" s="72" t="s">
        <v>8</v>
      </c>
      <c r="D164" s="72" t="s">
        <v>17</v>
      </c>
      <c r="E164" s="72" t="s">
        <v>56</v>
      </c>
      <c r="F164" s="72">
        <v>1</v>
      </c>
      <c r="G164" s="73">
        <f t="shared" si="34"/>
        <v>50</v>
      </c>
      <c r="H164" s="73">
        <f t="shared" si="31"/>
        <v>50</v>
      </c>
      <c r="I164" s="73">
        <f t="shared" si="32"/>
        <v>48.95</v>
      </c>
      <c r="J164" s="72" t="s">
        <v>866</v>
      </c>
      <c r="K164" s="74"/>
      <c r="M164" s="79" t="s">
        <v>17</v>
      </c>
      <c r="N164" s="76">
        <f t="shared" si="33"/>
        <v>20</v>
      </c>
      <c r="O164" s="76">
        <f>N164*F164</f>
        <v>20</v>
      </c>
      <c r="P164" s="81" t="s">
        <v>56</v>
      </c>
      <c r="Y164" s="91" t="s">
        <v>339</v>
      </c>
      <c r="Z164" s="92">
        <v>6.6506999999999996</v>
      </c>
      <c r="AA164" s="92">
        <f t="shared" si="30"/>
        <v>0.66507000000000005</v>
      </c>
    </row>
    <row r="165" spans="1:28" x14ac:dyDescent="0.25">
      <c r="A165" s="95">
        <v>45612</v>
      </c>
      <c r="B165" s="72" t="s">
        <v>670</v>
      </c>
      <c r="C165" s="72" t="s">
        <v>8</v>
      </c>
      <c r="D165" s="72" t="s">
        <v>18</v>
      </c>
      <c r="E165" s="72" t="s">
        <v>56</v>
      </c>
      <c r="F165" s="72">
        <v>1</v>
      </c>
      <c r="G165" s="73">
        <f t="shared" si="34"/>
        <v>40</v>
      </c>
      <c r="H165" s="73">
        <f t="shared" si="31"/>
        <v>40</v>
      </c>
      <c r="I165" s="73">
        <f t="shared" si="32"/>
        <v>39.159999999999997</v>
      </c>
      <c r="J165" s="72" t="s">
        <v>866</v>
      </c>
      <c r="K165" s="74"/>
      <c r="M165" s="79" t="s">
        <v>18</v>
      </c>
      <c r="N165" s="76">
        <f t="shared" si="33"/>
        <v>16</v>
      </c>
      <c r="O165" s="76">
        <f>N165*F165</f>
        <v>16</v>
      </c>
      <c r="P165" s="81" t="s">
        <v>56</v>
      </c>
      <c r="Y165" s="91" t="s">
        <v>341</v>
      </c>
      <c r="Z165" s="92">
        <v>3.5</v>
      </c>
      <c r="AA165" s="92">
        <f t="shared" si="30"/>
        <v>0.35000000000000003</v>
      </c>
    </row>
    <row r="166" spans="1:28" x14ac:dyDescent="0.25">
      <c r="A166" s="95">
        <v>45612</v>
      </c>
      <c r="B166" s="72" t="s">
        <v>236</v>
      </c>
      <c r="C166" s="72" t="s">
        <v>8</v>
      </c>
      <c r="D166" s="72" t="s">
        <v>17</v>
      </c>
      <c r="E166" s="72" t="s">
        <v>56</v>
      </c>
      <c r="F166" s="72">
        <v>1</v>
      </c>
      <c r="G166" s="73">
        <f t="shared" si="34"/>
        <v>50</v>
      </c>
      <c r="H166" s="73">
        <f t="shared" si="31"/>
        <v>50</v>
      </c>
      <c r="I166" s="73">
        <f t="shared" si="32"/>
        <v>48.95</v>
      </c>
      <c r="J166" s="72" t="s">
        <v>866</v>
      </c>
      <c r="K166" s="74"/>
      <c r="M166" s="79" t="s">
        <v>17</v>
      </c>
      <c r="N166" s="76">
        <f t="shared" si="33"/>
        <v>20</v>
      </c>
      <c r="O166" s="76">
        <f>N166*F166</f>
        <v>20</v>
      </c>
      <c r="P166" s="81" t="s">
        <v>56</v>
      </c>
      <c r="Y166" s="91" t="s">
        <v>343</v>
      </c>
      <c r="Z166" s="92">
        <v>3.5</v>
      </c>
      <c r="AA166" s="92">
        <f t="shared" si="30"/>
        <v>0.35000000000000003</v>
      </c>
    </row>
    <row r="167" spans="1:28" x14ac:dyDescent="0.25">
      <c r="A167" s="95">
        <v>45612</v>
      </c>
      <c r="B167" s="72" t="s">
        <v>142</v>
      </c>
      <c r="C167" s="72" t="s">
        <v>8</v>
      </c>
      <c r="D167" s="72" t="s">
        <v>17</v>
      </c>
      <c r="E167" s="72" t="s">
        <v>82</v>
      </c>
      <c r="F167" s="72">
        <v>1</v>
      </c>
      <c r="G167" s="73">
        <f t="shared" si="34"/>
        <v>50</v>
      </c>
      <c r="H167" s="73">
        <f t="shared" si="31"/>
        <v>50</v>
      </c>
      <c r="I167" s="73">
        <f t="shared" si="32"/>
        <v>50</v>
      </c>
      <c r="J167" s="72" t="s">
        <v>83</v>
      </c>
      <c r="K167" s="74"/>
      <c r="M167" s="79"/>
      <c r="N167" s="76" t="e">
        <f t="shared" si="33"/>
        <v>#N/A</v>
      </c>
      <c r="O167" s="76"/>
      <c r="P167" s="81"/>
      <c r="Y167" s="91" t="s">
        <v>345</v>
      </c>
      <c r="Z167" s="92">
        <v>3.41635</v>
      </c>
      <c r="AA167" s="92">
        <f t="shared" si="30"/>
        <v>0.34163500000000002</v>
      </c>
    </row>
    <row r="168" spans="1:28" x14ac:dyDescent="0.25">
      <c r="A168" s="95">
        <v>45615</v>
      </c>
      <c r="B168" s="72" t="s">
        <v>645</v>
      </c>
      <c r="C168" s="72" t="s">
        <v>9</v>
      </c>
      <c r="D168" s="72" t="s">
        <v>18</v>
      </c>
      <c r="E168" s="72" t="s">
        <v>56</v>
      </c>
      <c r="F168" s="72">
        <v>1</v>
      </c>
      <c r="G168" s="73">
        <f t="shared" si="34"/>
        <v>40</v>
      </c>
      <c r="H168" s="73">
        <f t="shared" si="31"/>
        <v>40</v>
      </c>
      <c r="I168" s="73">
        <f t="shared" si="32"/>
        <v>40</v>
      </c>
      <c r="J168" s="72" t="s">
        <v>79</v>
      </c>
      <c r="K168" s="74" t="s">
        <v>897</v>
      </c>
      <c r="M168" s="79" t="s">
        <v>18</v>
      </c>
      <c r="N168" s="76">
        <f t="shared" si="33"/>
        <v>16</v>
      </c>
      <c r="O168" s="76">
        <f>N168*F168</f>
        <v>16</v>
      </c>
      <c r="P168" s="81" t="s">
        <v>56</v>
      </c>
      <c r="Y168" s="91" t="s">
        <v>347</v>
      </c>
      <c r="Z168" s="92">
        <v>3.3253499999999998</v>
      </c>
      <c r="AA168" s="92">
        <f t="shared" si="30"/>
        <v>0.33253500000000003</v>
      </c>
    </row>
    <row r="169" spans="1:28" x14ac:dyDescent="0.25">
      <c r="A169" s="95">
        <v>45615</v>
      </c>
      <c r="B169" s="72" t="s">
        <v>244</v>
      </c>
      <c r="C169" s="72" t="s">
        <v>9</v>
      </c>
      <c r="D169" s="72" t="s">
        <v>22</v>
      </c>
      <c r="E169" s="72" t="s">
        <v>56</v>
      </c>
      <c r="F169" s="72">
        <v>1</v>
      </c>
      <c r="G169" s="73">
        <f t="shared" si="34"/>
        <v>30</v>
      </c>
      <c r="H169" s="73">
        <f t="shared" si="31"/>
        <v>30</v>
      </c>
      <c r="I169" s="73">
        <f t="shared" si="32"/>
        <v>28.5</v>
      </c>
      <c r="J169" s="72" t="s">
        <v>867</v>
      </c>
      <c r="K169" s="74"/>
      <c r="M169" s="79" t="s">
        <v>22</v>
      </c>
      <c r="N169" s="76">
        <f t="shared" si="33"/>
        <v>12</v>
      </c>
      <c r="O169" s="76">
        <f>N169*F169</f>
        <v>12</v>
      </c>
      <c r="P169" s="81" t="s">
        <v>56</v>
      </c>
      <c r="Y169" s="91" t="s">
        <v>348</v>
      </c>
      <c r="Z169" s="92">
        <v>5</v>
      </c>
      <c r="AA169" s="92">
        <f t="shared" si="30"/>
        <v>0.5</v>
      </c>
    </row>
    <row r="170" spans="1:28" x14ac:dyDescent="0.25">
      <c r="A170" s="95">
        <v>45615</v>
      </c>
      <c r="B170" s="72" t="s">
        <v>266</v>
      </c>
      <c r="C170" s="72" t="s">
        <v>8</v>
      </c>
      <c r="D170" s="72" t="s">
        <v>18</v>
      </c>
      <c r="E170" s="72" t="s">
        <v>82</v>
      </c>
      <c r="F170" s="72">
        <v>1</v>
      </c>
      <c r="G170" s="73">
        <f t="shared" si="34"/>
        <v>40</v>
      </c>
      <c r="H170" s="73">
        <f t="shared" si="31"/>
        <v>40</v>
      </c>
      <c r="I170" s="73">
        <f t="shared" si="32"/>
        <v>39.159999999999997</v>
      </c>
      <c r="J170" s="72" t="s">
        <v>866</v>
      </c>
      <c r="K170" s="74"/>
      <c r="M170" s="79"/>
      <c r="N170" s="76" t="e">
        <f t="shared" si="33"/>
        <v>#N/A</v>
      </c>
      <c r="O170" s="76"/>
      <c r="P170" s="81"/>
      <c r="Y170" s="91" t="s">
        <v>349</v>
      </c>
      <c r="Z170" s="92">
        <v>5</v>
      </c>
      <c r="AA170" s="92">
        <f t="shared" si="30"/>
        <v>0.5</v>
      </c>
    </row>
    <row r="171" spans="1:28" x14ac:dyDescent="0.25">
      <c r="A171" s="95">
        <v>45615</v>
      </c>
      <c r="B171" s="72" t="s">
        <v>479</v>
      </c>
      <c r="C171" s="72" t="s">
        <v>8</v>
      </c>
      <c r="D171" s="72" t="s">
        <v>18</v>
      </c>
      <c r="E171" s="72" t="s">
        <v>82</v>
      </c>
      <c r="F171" s="72">
        <v>1</v>
      </c>
      <c r="G171" s="73">
        <f t="shared" si="34"/>
        <v>40</v>
      </c>
      <c r="H171" s="73">
        <f t="shared" si="31"/>
        <v>40</v>
      </c>
      <c r="I171" s="73">
        <f t="shared" si="32"/>
        <v>40</v>
      </c>
      <c r="J171" s="72" t="s">
        <v>83</v>
      </c>
      <c r="K171" s="74"/>
      <c r="M171" s="79"/>
      <c r="N171" s="76" t="e">
        <f t="shared" si="33"/>
        <v>#N/A</v>
      </c>
      <c r="O171" s="76"/>
      <c r="P171" s="81"/>
      <c r="Y171" s="91" t="s">
        <v>351</v>
      </c>
      <c r="Z171" s="92">
        <v>4.8804999999999996</v>
      </c>
      <c r="AA171" s="92">
        <f t="shared" si="30"/>
        <v>0.48804999999999998</v>
      </c>
    </row>
    <row r="172" spans="1:28" x14ac:dyDescent="0.25">
      <c r="A172" s="95">
        <v>45615</v>
      </c>
      <c r="B172" s="72" t="s">
        <v>673</v>
      </c>
      <c r="C172" s="72" t="s">
        <v>8</v>
      </c>
      <c r="D172" s="72" t="s">
        <v>777</v>
      </c>
      <c r="E172" s="72" t="s">
        <v>82</v>
      </c>
      <c r="F172" s="72">
        <v>1</v>
      </c>
      <c r="G172" s="73">
        <f t="shared" si="34"/>
        <v>4</v>
      </c>
      <c r="H172" s="73">
        <f t="shared" si="31"/>
        <v>4</v>
      </c>
      <c r="I172" s="73">
        <f t="shared" si="32"/>
        <v>4</v>
      </c>
      <c r="J172" s="72" t="s">
        <v>83</v>
      </c>
      <c r="K172" s="74"/>
      <c r="M172" s="79"/>
      <c r="N172" s="76" t="e">
        <f t="shared" si="33"/>
        <v>#N/A</v>
      </c>
      <c r="O172" s="76"/>
      <c r="P172" s="81"/>
      <c r="Y172" s="91" t="s">
        <v>352</v>
      </c>
      <c r="Z172" s="92">
        <v>4.7504999999999997</v>
      </c>
      <c r="AA172" s="92">
        <f t="shared" si="30"/>
        <v>0.47504999999999997</v>
      </c>
    </row>
    <row r="173" spans="1:28" x14ac:dyDescent="0.25">
      <c r="A173" s="95">
        <v>45615</v>
      </c>
      <c r="B173" s="72" t="s">
        <v>497</v>
      </c>
      <c r="C173" s="72" t="s">
        <v>8</v>
      </c>
      <c r="D173" s="72" t="s">
        <v>18</v>
      </c>
      <c r="E173" s="72" t="s">
        <v>82</v>
      </c>
      <c r="F173" s="72">
        <v>1</v>
      </c>
      <c r="G173" s="73">
        <f t="shared" si="34"/>
        <v>40</v>
      </c>
      <c r="H173" s="73">
        <f t="shared" si="31"/>
        <v>40</v>
      </c>
      <c r="I173" s="73">
        <f t="shared" si="32"/>
        <v>38</v>
      </c>
      <c r="J173" s="72" t="s">
        <v>867</v>
      </c>
      <c r="K173" s="74"/>
      <c r="M173" s="79"/>
      <c r="N173" s="76" t="e">
        <f t="shared" si="33"/>
        <v>#N/A</v>
      </c>
      <c r="O173" s="76"/>
      <c r="P173" s="81"/>
      <c r="Y173" s="91" t="s">
        <v>353</v>
      </c>
      <c r="Z173" s="92">
        <v>7</v>
      </c>
      <c r="AA173" s="92">
        <f t="shared" si="30"/>
        <v>0.70000000000000007</v>
      </c>
    </row>
    <row r="174" spans="1:28" x14ac:dyDescent="0.25">
      <c r="A174" s="95">
        <v>45615</v>
      </c>
      <c r="B174" s="72" t="s">
        <v>516</v>
      </c>
      <c r="C174" s="72" t="s">
        <v>8</v>
      </c>
      <c r="D174" s="72" t="s">
        <v>18</v>
      </c>
      <c r="E174" s="72" t="s">
        <v>82</v>
      </c>
      <c r="F174" s="72">
        <v>1</v>
      </c>
      <c r="G174" s="73">
        <f t="shared" si="34"/>
        <v>40</v>
      </c>
      <c r="H174" s="73">
        <f t="shared" si="31"/>
        <v>40</v>
      </c>
      <c r="I174" s="73">
        <v>39.159999999999997</v>
      </c>
      <c r="J174" s="72" t="s">
        <v>869</v>
      </c>
      <c r="K174" s="74"/>
      <c r="M174" s="79"/>
      <c r="N174" s="76" t="e">
        <f t="shared" si="33"/>
        <v>#N/A</v>
      </c>
      <c r="O174" s="76"/>
      <c r="P174" s="81"/>
      <c r="Y174" s="91" t="s">
        <v>355</v>
      </c>
      <c r="Z174" s="92">
        <v>7</v>
      </c>
      <c r="AA174" s="92">
        <f t="shared" si="30"/>
        <v>0.70000000000000007</v>
      </c>
    </row>
    <row r="175" spans="1:28" x14ac:dyDescent="0.25">
      <c r="A175" s="95">
        <v>45617</v>
      </c>
      <c r="B175" s="72" t="s">
        <v>596</v>
      </c>
      <c r="C175" s="72" t="s">
        <v>8</v>
      </c>
      <c r="D175" s="72" t="s">
        <v>17</v>
      </c>
      <c r="E175" s="72" t="s">
        <v>82</v>
      </c>
      <c r="F175" s="72">
        <v>1</v>
      </c>
      <c r="G175" s="73">
        <f t="shared" si="34"/>
        <v>50</v>
      </c>
      <c r="H175" s="73">
        <f t="shared" si="31"/>
        <v>50</v>
      </c>
      <c r="I175" s="73">
        <f t="shared" ref="I175:I206" si="35">IF(J175="Master Debito",H175-(H175*$AC$5),IF(J175="Master Credito",H175-(H175*$AC$6), IF(J175="Visa Debito",H175-(H175*$AC$7), IF(J175="Visa Credito", H175-(H175*$AC$8), IF(J175="Elo Debito", H175-(H175*$AC$9), IF(J175="Elo Credito", H175-(H175*$AC$10), IF(J175="Pix", H175-(H175*$AC$11), IF(J175="Dinheiro (R$)", H175-(H175*$AC$12)))))))))</f>
        <v>48.8</v>
      </c>
      <c r="J175" s="72" t="s">
        <v>869</v>
      </c>
      <c r="K175" s="74"/>
      <c r="M175" s="72"/>
      <c r="N175" s="76" t="e">
        <f t="shared" si="33"/>
        <v>#N/A</v>
      </c>
      <c r="O175" s="76"/>
      <c r="P175" s="81"/>
      <c r="Q175" s="106"/>
      <c r="Y175" s="91" t="s">
        <v>357</v>
      </c>
      <c r="Z175" s="92">
        <v>6.8327</v>
      </c>
      <c r="AA175" s="92">
        <f t="shared" si="30"/>
        <v>0.68327000000000004</v>
      </c>
    </row>
    <row r="176" spans="1:28" x14ac:dyDescent="0.25">
      <c r="A176" s="95">
        <v>45617</v>
      </c>
      <c r="B176" s="72" t="s">
        <v>898</v>
      </c>
      <c r="C176" s="72" t="s">
        <v>8</v>
      </c>
      <c r="D176" s="72" t="s">
        <v>17</v>
      </c>
      <c r="E176" s="72" t="s">
        <v>56</v>
      </c>
      <c r="F176" s="72">
        <v>1</v>
      </c>
      <c r="G176" s="73">
        <f t="shared" si="34"/>
        <v>50</v>
      </c>
      <c r="H176" s="73">
        <f t="shared" si="31"/>
        <v>50</v>
      </c>
      <c r="I176" s="73">
        <f t="shared" si="35"/>
        <v>48.95</v>
      </c>
      <c r="J176" s="72" t="s">
        <v>866</v>
      </c>
      <c r="K176" s="74"/>
      <c r="M176" s="79" t="s">
        <v>17</v>
      </c>
      <c r="N176" s="76">
        <f t="shared" si="33"/>
        <v>20</v>
      </c>
      <c r="O176" s="76">
        <f>N176*F176</f>
        <v>20</v>
      </c>
      <c r="P176" s="81" t="s">
        <v>56</v>
      </c>
      <c r="Y176" s="91" t="s">
        <v>368</v>
      </c>
      <c r="Z176" s="92">
        <v>3.5</v>
      </c>
      <c r="AA176" s="92">
        <f t="shared" si="30"/>
        <v>0.35000000000000003</v>
      </c>
      <c r="AB176" s="92"/>
    </row>
    <row r="177" spans="1:27" x14ac:dyDescent="0.25">
      <c r="A177" s="95">
        <v>45617</v>
      </c>
      <c r="B177" s="72" t="s">
        <v>485</v>
      </c>
      <c r="C177" s="72" t="s">
        <v>10</v>
      </c>
      <c r="D177" s="72" t="s">
        <v>18</v>
      </c>
      <c r="E177" s="72" t="s">
        <v>56</v>
      </c>
      <c r="F177" s="72">
        <v>1</v>
      </c>
      <c r="G177" s="73">
        <f t="shared" si="34"/>
        <v>40</v>
      </c>
      <c r="H177" s="73">
        <f t="shared" si="31"/>
        <v>40</v>
      </c>
      <c r="I177" s="73">
        <f t="shared" si="35"/>
        <v>39.159999999999997</v>
      </c>
      <c r="J177" s="72" t="s">
        <v>866</v>
      </c>
      <c r="K177" s="74"/>
      <c r="M177" s="79" t="s">
        <v>18</v>
      </c>
      <c r="N177" s="76">
        <f t="shared" si="33"/>
        <v>16</v>
      </c>
      <c r="O177" s="76">
        <f>N177*F177</f>
        <v>16</v>
      </c>
      <c r="P177" s="81" t="s">
        <v>56</v>
      </c>
      <c r="Y177" s="91" t="s">
        <v>370</v>
      </c>
      <c r="Z177" s="92">
        <v>3.5</v>
      </c>
      <c r="AA177" s="92">
        <f t="shared" si="30"/>
        <v>0.35000000000000003</v>
      </c>
    </row>
    <row r="178" spans="1:27" x14ac:dyDescent="0.25">
      <c r="A178" s="95">
        <v>45617</v>
      </c>
      <c r="B178" s="72" t="s">
        <v>839</v>
      </c>
      <c r="C178" s="72" t="s">
        <v>8</v>
      </c>
      <c r="D178" s="72" t="s">
        <v>13</v>
      </c>
      <c r="E178" s="72" t="s">
        <v>56</v>
      </c>
      <c r="F178" s="72">
        <v>1</v>
      </c>
      <c r="G178" s="73">
        <f t="shared" si="34"/>
        <v>30</v>
      </c>
      <c r="H178" s="73">
        <f t="shared" si="31"/>
        <v>30</v>
      </c>
      <c r="I178" s="73">
        <f t="shared" si="35"/>
        <v>29.37</v>
      </c>
      <c r="J178" s="72" t="s">
        <v>866</v>
      </c>
      <c r="K178" s="74"/>
      <c r="M178" s="79" t="s">
        <v>13</v>
      </c>
      <c r="N178" s="76">
        <f t="shared" si="33"/>
        <v>12</v>
      </c>
      <c r="O178" s="76">
        <f>N178*F178</f>
        <v>12</v>
      </c>
      <c r="P178" s="81" t="s">
        <v>56</v>
      </c>
      <c r="Y178" s="91" t="s">
        <v>372</v>
      </c>
      <c r="Z178" s="92">
        <v>3.41635</v>
      </c>
      <c r="AA178" s="92">
        <f t="shared" si="30"/>
        <v>0.34163500000000002</v>
      </c>
    </row>
    <row r="179" spans="1:27" x14ac:dyDescent="0.25">
      <c r="A179" s="95">
        <v>45617</v>
      </c>
      <c r="B179" s="72" t="s">
        <v>196</v>
      </c>
      <c r="C179" s="72" t="s">
        <v>8</v>
      </c>
      <c r="D179" s="72" t="s">
        <v>18</v>
      </c>
      <c r="E179" s="72" t="s">
        <v>82</v>
      </c>
      <c r="F179" s="72">
        <v>4</v>
      </c>
      <c r="G179" s="73">
        <f t="shared" si="34"/>
        <v>40</v>
      </c>
      <c r="H179" s="73">
        <v>140</v>
      </c>
      <c r="I179" s="73">
        <f t="shared" si="35"/>
        <v>140</v>
      </c>
      <c r="J179" s="72" t="s">
        <v>83</v>
      </c>
      <c r="K179" s="74"/>
      <c r="M179" s="79"/>
      <c r="N179" s="76" t="e">
        <f t="shared" si="33"/>
        <v>#N/A</v>
      </c>
      <c r="O179" s="76"/>
      <c r="P179" s="81"/>
      <c r="Y179" s="91" t="s">
        <v>374</v>
      </c>
      <c r="Z179" s="92">
        <v>3.3253499999999998</v>
      </c>
      <c r="AA179" s="92">
        <f t="shared" si="30"/>
        <v>0.33253500000000003</v>
      </c>
    </row>
    <row r="180" spans="1:27" x14ac:dyDescent="0.25">
      <c r="A180" s="95">
        <v>45617</v>
      </c>
      <c r="B180" s="72" t="s">
        <v>579</v>
      </c>
      <c r="C180" s="72" t="s">
        <v>8</v>
      </c>
      <c r="D180" s="72" t="s">
        <v>16</v>
      </c>
      <c r="E180" s="72" t="s">
        <v>82</v>
      </c>
      <c r="F180" s="72">
        <v>1</v>
      </c>
      <c r="G180" s="73">
        <f t="shared" si="34"/>
        <v>80</v>
      </c>
      <c r="H180" s="73">
        <f t="shared" ref="H180:H205" si="36">F180*G180</f>
        <v>80</v>
      </c>
      <c r="I180" s="73">
        <f t="shared" si="35"/>
        <v>78.33</v>
      </c>
      <c r="J180" s="72" t="s">
        <v>868</v>
      </c>
      <c r="K180" s="74"/>
      <c r="M180" s="79"/>
      <c r="N180" s="76" t="e">
        <f t="shared" si="33"/>
        <v>#N/A</v>
      </c>
      <c r="O180" s="76"/>
      <c r="P180" s="81"/>
      <c r="Y180" s="91" t="s">
        <v>375</v>
      </c>
      <c r="Z180" s="92">
        <v>3.5</v>
      </c>
      <c r="AA180" s="92">
        <f t="shared" si="30"/>
        <v>0.35000000000000003</v>
      </c>
    </row>
    <row r="181" spans="1:27" x14ac:dyDescent="0.25">
      <c r="A181" s="95">
        <v>45617</v>
      </c>
      <c r="B181" s="72" t="s">
        <v>899</v>
      </c>
      <c r="C181" s="72" t="s">
        <v>8</v>
      </c>
      <c r="D181" s="72" t="s">
        <v>17</v>
      </c>
      <c r="E181" s="72" t="s">
        <v>82</v>
      </c>
      <c r="F181" s="72">
        <v>1</v>
      </c>
      <c r="G181" s="73">
        <f t="shared" si="34"/>
        <v>50</v>
      </c>
      <c r="H181" s="73">
        <f t="shared" si="36"/>
        <v>50</v>
      </c>
      <c r="I181" s="73">
        <f t="shared" si="35"/>
        <v>50</v>
      </c>
      <c r="J181" s="72" t="s">
        <v>83</v>
      </c>
      <c r="K181" s="74"/>
      <c r="M181" s="79"/>
      <c r="N181" s="76" t="e">
        <f t="shared" si="33"/>
        <v>#N/A</v>
      </c>
      <c r="O181" s="76"/>
      <c r="P181" s="81"/>
      <c r="Y181" s="91" t="s">
        <v>376</v>
      </c>
      <c r="Z181" s="92">
        <v>3.5</v>
      </c>
      <c r="AA181" s="92">
        <f t="shared" si="30"/>
        <v>0.35000000000000003</v>
      </c>
    </row>
    <row r="182" spans="1:27" x14ac:dyDescent="0.25">
      <c r="A182" s="95">
        <v>45617</v>
      </c>
      <c r="B182" s="72" t="s">
        <v>238</v>
      </c>
      <c r="C182" s="72" t="s">
        <v>8</v>
      </c>
      <c r="D182" s="72" t="s">
        <v>18</v>
      </c>
      <c r="E182" s="72" t="s">
        <v>82</v>
      </c>
      <c r="F182" s="72">
        <v>1</v>
      </c>
      <c r="G182" s="73">
        <f t="shared" si="34"/>
        <v>40</v>
      </c>
      <c r="H182" s="73">
        <f t="shared" si="36"/>
        <v>40</v>
      </c>
      <c r="I182" s="73">
        <f t="shared" si="35"/>
        <v>38.14</v>
      </c>
      <c r="J182" s="72" t="s">
        <v>865</v>
      </c>
      <c r="K182" s="74"/>
      <c r="M182" s="79"/>
      <c r="N182" s="76" t="e">
        <f t="shared" si="33"/>
        <v>#N/A</v>
      </c>
      <c r="O182" s="76"/>
      <c r="P182" s="81"/>
      <c r="Y182" s="91" t="s">
        <v>378</v>
      </c>
      <c r="Z182" s="92">
        <v>3.41635</v>
      </c>
      <c r="AA182" s="92">
        <f t="shared" si="30"/>
        <v>0.34163500000000002</v>
      </c>
    </row>
    <row r="183" spans="1:27" x14ac:dyDescent="0.25">
      <c r="A183" s="95">
        <v>45617</v>
      </c>
      <c r="B183" s="72" t="s">
        <v>238</v>
      </c>
      <c r="C183" s="72" t="s">
        <v>8</v>
      </c>
      <c r="D183" s="72" t="s">
        <v>162</v>
      </c>
      <c r="E183" s="72" t="s">
        <v>82</v>
      </c>
      <c r="F183" s="72">
        <v>1</v>
      </c>
      <c r="G183" s="73">
        <f t="shared" si="34"/>
        <v>8</v>
      </c>
      <c r="H183" s="73">
        <f t="shared" si="36"/>
        <v>8</v>
      </c>
      <c r="I183" s="73">
        <f t="shared" si="35"/>
        <v>7.6280000000000001</v>
      </c>
      <c r="J183" s="72" t="s">
        <v>865</v>
      </c>
      <c r="K183" s="74"/>
      <c r="M183" s="79"/>
      <c r="N183" s="76" t="e">
        <f t="shared" si="33"/>
        <v>#N/A</v>
      </c>
      <c r="O183" s="76"/>
      <c r="P183" s="81"/>
      <c r="Y183" s="91" t="s">
        <v>380</v>
      </c>
      <c r="Z183" s="92">
        <v>3.3253499999999998</v>
      </c>
      <c r="AA183" s="92">
        <f t="shared" si="30"/>
        <v>0.33253500000000003</v>
      </c>
    </row>
    <row r="184" spans="1:27" x14ac:dyDescent="0.25">
      <c r="A184" s="95">
        <v>45617</v>
      </c>
      <c r="B184" s="72" t="s">
        <v>555</v>
      </c>
      <c r="C184" s="72" t="s">
        <v>8</v>
      </c>
      <c r="D184" s="72" t="s">
        <v>15</v>
      </c>
      <c r="E184" s="72" t="s">
        <v>82</v>
      </c>
      <c r="F184" s="72">
        <v>1</v>
      </c>
      <c r="G184" s="73">
        <f t="shared" si="34"/>
        <v>70</v>
      </c>
      <c r="H184" s="73">
        <f t="shared" si="36"/>
        <v>70</v>
      </c>
      <c r="I184" s="73">
        <f t="shared" si="35"/>
        <v>70</v>
      </c>
      <c r="J184" s="72" t="s">
        <v>83</v>
      </c>
      <c r="K184" s="74"/>
      <c r="M184" s="79"/>
      <c r="N184" s="76" t="e">
        <f t="shared" si="33"/>
        <v>#N/A</v>
      </c>
      <c r="O184" s="76"/>
      <c r="P184" s="81"/>
    </row>
    <row r="185" spans="1:27" x14ac:dyDescent="0.25">
      <c r="A185" s="95">
        <v>45617</v>
      </c>
      <c r="B185" s="72" t="s">
        <v>194</v>
      </c>
      <c r="C185" s="72" t="s">
        <v>8</v>
      </c>
      <c r="D185" s="72" t="s">
        <v>17</v>
      </c>
      <c r="E185" s="72" t="s">
        <v>82</v>
      </c>
      <c r="F185" s="72">
        <v>1</v>
      </c>
      <c r="G185" s="73">
        <f t="shared" si="34"/>
        <v>50</v>
      </c>
      <c r="H185" s="73">
        <f t="shared" si="36"/>
        <v>50</v>
      </c>
      <c r="I185" s="73">
        <f t="shared" si="35"/>
        <v>50</v>
      </c>
      <c r="J185" s="72" t="s">
        <v>83</v>
      </c>
      <c r="K185" s="74"/>
      <c r="M185" s="79"/>
      <c r="N185" s="76" t="e">
        <f t="shared" si="33"/>
        <v>#N/A</v>
      </c>
      <c r="O185" s="76"/>
      <c r="P185" s="81"/>
    </row>
    <row r="186" spans="1:27" x14ac:dyDescent="0.25">
      <c r="A186" s="95">
        <v>45618</v>
      </c>
      <c r="B186" s="72" t="s">
        <v>147</v>
      </c>
      <c r="C186" s="72" t="s">
        <v>8</v>
      </c>
      <c r="D186" s="72" t="s">
        <v>16</v>
      </c>
      <c r="E186" s="72" t="s">
        <v>56</v>
      </c>
      <c r="F186" s="72">
        <v>1</v>
      </c>
      <c r="G186" s="73">
        <f t="shared" si="34"/>
        <v>80</v>
      </c>
      <c r="H186" s="73">
        <f t="shared" si="36"/>
        <v>80</v>
      </c>
      <c r="I186" s="73">
        <f t="shared" si="35"/>
        <v>78.319999999999993</v>
      </c>
      <c r="J186" s="72" t="s">
        <v>866</v>
      </c>
      <c r="K186" s="74"/>
      <c r="M186" s="79" t="s">
        <v>16</v>
      </c>
      <c r="N186" s="76">
        <f t="shared" si="33"/>
        <v>32</v>
      </c>
      <c r="O186" s="76">
        <f>N186*F186</f>
        <v>32</v>
      </c>
      <c r="P186" s="81" t="s">
        <v>56</v>
      </c>
    </row>
    <row r="187" spans="1:27" x14ac:dyDescent="0.25">
      <c r="A187" s="95">
        <v>45618</v>
      </c>
      <c r="B187" s="72" t="s">
        <v>900</v>
      </c>
      <c r="C187" s="72" t="s">
        <v>8</v>
      </c>
      <c r="D187" s="72" t="s">
        <v>18</v>
      </c>
      <c r="E187" s="72" t="s">
        <v>56</v>
      </c>
      <c r="F187" s="72">
        <v>1</v>
      </c>
      <c r="G187" s="73">
        <f t="shared" si="34"/>
        <v>40</v>
      </c>
      <c r="H187" s="73">
        <f t="shared" si="36"/>
        <v>40</v>
      </c>
      <c r="I187" s="73">
        <f t="shared" si="35"/>
        <v>40</v>
      </c>
      <c r="J187" s="72" t="s">
        <v>79</v>
      </c>
      <c r="K187" s="74"/>
      <c r="M187" s="79" t="s">
        <v>18</v>
      </c>
      <c r="N187" s="76">
        <f t="shared" si="33"/>
        <v>16</v>
      </c>
      <c r="O187" s="76">
        <f>N187*F187</f>
        <v>16</v>
      </c>
      <c r="P187" s="81" t="s">
        <v>56</v>
      </c>
    </row>
    <row r="188" spans="1:27" x14ac:dyDescent="0.25">
      <c r="A188" s="95">
        <v>45618</v>
      </c>
      <c r="B188" s="72" t="s">
        <v>839</v>
      </c>
      <c r="C188" s="72" t="s">
        <v>8</v>
      </c>
      <c r="D188" s="72" t="s">
        <v>18</v>
      </c>
      <c r="E188" s="72" t="s">
        <v>56</v>
      </c>
      <c r="F188" s="72">
        <v>1</v>
      </c>
      <c r="G188" s="73">
        <f t="shared" si="34"/>
        <v>40</v>
      </c>
      <c r="H188" s="73">
        <f t="shared" si="36"/>
        <v>40</v>
      </c>
      <c r="I188" s="73">
        <f t="shared" si="35"/>
        <v>38</v>
      </c>
      <c r="J188" s="72" t="s">
        <v>867</v>
      </c>
      <c r="K188" s="74"/>
      <c r="M188" s="79" t="s">
        <v>18</v>
      </c>
      <c r="N188" s="76">
        <f t="shared" si="33"/>
        <v>16</v>
      </c>
      <c r="O188" s="76">
        <f>N188*F188</f>
        <v>16</v>
      </c>
      <c r="P188" s="81" t="s">
        <v>56</v>
      </c>
    </row>
    <row r="189" spans="1:27" x14ac:dyDescent="0.25">
      <c r="A189" s="95">
        <v>45618</v>
      </c>
      <c r="B189" s="72" t="s">
        <v>839</v>
      </c>
      <c r="C189" s="72" t="s">
        <v>8</v>
      </c>
      <c r="D189" s="72" t="s">
        <v>36</v>
      </c>
      <c r="E189" s="72" t="s">
        <v>56</v>
      </c>
      <c r="F189" s="72">
        <v>1</v>
      </c>
      <c r="G189" s="73">
        <f t="shared" si="34"/>
        <v>30</v>
      </c>
      <c r="H189" s="73">
        <f t="shared" si="36"/>
        <v>30</v>
      </c>
      <c r="I189" s="73">
        <f t="shared" si="35"/>
        <v>28.5</v>
      </c>
      <c r="J189" s="72" t="s">
        <v>867</v>
      </c>
      <c r="K189" s="74"/>
      <c r="M189" s="79" t="s">
        <v>36</v>
      </c>
      <c r="N189" s="76">
        <f t="shared" si="33"/>
        <v>3</v>
      </c>
      <c r="O189" s="76">
        <f>N189*F189</f>
        <v>3</v>
      </c>
      <c r="P189" s="81" t="s">
        <v>56</v>
      </c>
    </row>
    <row r="190" spans="1:27" x14ac:dyDescent="0.25">
      <c r="A190" s="95">
        <v>45618</v>
      </c>
      <c r="B190" s="72" t="s">
        <v>564</v>
      </c>
      <c r="C190" s="72" t="s">
        <v>8</v>
      </c>
      <c r="D190" s="72" t="s">
        <v>18</v>
      </c>
      <c r="E190" s="72" t="s">
        <v>82</v>
      </c>
      <c r="F190" s="72">
        <v>1</v>
      </c>
      <c r="G190" s="73">
        <f t="shared" si="34"/>
        <v>40</v>
      </c>
      <c r="H190" s="73">
        <f t="shared" si="36"/>
        <v>40</v>
      </c>
      <c r="I190" s="73">
        <f t="shared" si="35"/>
        <v>40</v>
      </c>
      <c r="J190" s="72" t="s">
        <v>79</v>
      </c>
      <c r="K190" s="74"/>
      <c r="M190" s="79"/>
      <c r="N190" s="76" t="e">
        <f t="shared" si="33"/>
        <v>#N/A</v>
      </c>
      <c r="O190" s="76"/>
      <c r="P190" s="81"/>
    </row>
    <row r="191" spans="1:27" x14ac:dyDescent="0.25">
      <c r="A191" s="95">
        <v>45618</v>
      </c>
      <c r="B191" s="72" t="s">
        <v>881</v>
      </c>
      <c r="C191" s="72" t="s">
        <v>8</v>
      </c>
      <c r="D191" s="72" t="s">
        <v>18</v>
      </c>
      <c r="E191" s="72" t="s">
        <v>82</v>
      </c>
      <c r="F191" s="72">
        <v>1</v>
      </c>
      <c r="G191" s="73">
        <v>30</v>
      </c>
      <c r="H191" s="73">
        <f t="shared" si="36"/>
        <v>30</v>
      </c>
      <c r="I191" s="73">
        <f t="shared" si="35"/>
        <v>30</v>
      </c>
      <c r="J191" s="72" t="s">
        <v>79</v>
      </c>
      <c r="K191" s="74"/>
      <c r="M191" s="79"/>
      <c r="N191" s="76" t="e">
        <f t="shared" ref="N191:N197" si="37">VLOOKUP(M191,$S$3:$U$70,3,0)</f>
        <v>#N/A</v>
      </c>
      <c r="O191" s="76"/>
      <c r="P191" s="81"/>
    </row>
    <row r="192" spans="1:27" x14ac:dyDescent="0.25">
      <c r="A192" s="95">
        <v>45618</v>
      </c>
      <c r="B192" s="72" t="s">
        <v>360</v>
      </c>
      <c r="C192" s="72" t="s">
        <v>8</v>
      </c>
      <c r="D192" s="72" t="s">
        <v>18</v>
      </c>
      <c r="E192" s="72" t="s">
        <v>82</v>
      </c>
      <c r="F192" s="72">
        <v>1</v>
      </c>
      <c r="G192" s="73">
        <f t="shared" ref="G192:G197" si="38">VLOOKUP(D192,$S$3:$T$70,2,0)</f>
        <v>40</v>
      </c>
      <c r="H192" s="73">
        <f t="shared" si="36"/>
        <v>40</v>
      </c>
      <c r="I192" s="73">
        <f t="shared" si="35"/>
        <v>39.159999999999997</v>
      </c>
      <c r="J192" s="72" t="s">
        <v>866</v>
      </c>
      <c r="K192" s="74"/>
      <c r="M192" s="79"/>
      <c r="N192" s="76" t="e">
        <f t="shared" si="37"/>
        <v>#N/A</v>
      </c>
      <c r="O192" s="76"/>
      <c r="P192" s="81"/>
    </row>
    <row r="193" spans="1:17" x14ac:dyDescent="0.25">
      <c r="A193" s="95">
        <v>45618</v>
      </c>
      <c r="B193" s="72" t="s">
        <v>556</v>
      </c>
      <c r="C193" s="72" t="s">
        <v>8</v>
      </c>
      <c r="D193" s="72" t="s">
        <v>17</v>
      </c>
      <c r="E193" s="72" t="s">
        <v>82</v>
      </c>
      <c r="F193" s="72">
        <v>1</v>
      </c>
      <c r="G193" s="73">
        <f t="shared" si="38"/>
        <v>50</v>
      </c>
      <c r="H193" s="73">
        <f t="shared" si="36"/>
        <v>50</v>
      </c>
      <c r="I193" s="73">
        <f t="shared" si="35"/>
        <v>50</v>
      </c>
      <c r="J193" s="72" t="s">
        <v>79</v>
      </c>
      <c r="K193" s="74"/>
      <c r="M193" s="79"/>
      <c r="N193" s="76" t="e">
        <f t="shared" si="37"/>
        <v>#N/A</v>
      </c>
      <c r="O193" s="76"/>
      <c r="P193" s="81"/>
    </row>
    <row r="194" spans="1:17" x14ac:dyDescent="0.25">
      <c r="A194" s="95">
        <v>45618</v>
      </c>
      <c r="B194" s="72" t="s">
        <v>504</v>
      </c>
      <c r="C194" s="72" t="s">
        <v>8</v>
      </c>
      <c r="D194" s="72" t="s">
        <v>15</v>
      </c>
      <c r="E194" s="72" t="s">
        <v>82</v>
      </c>
      <c r="F194" s="72">
        <v>1</v>
      </c>
      <c r="G194" s="73">
        <f t="shared" si="38"/>
        <v>70</v>
      </c>
      <c r="H194" s="73">
        <f t="shared" si="36"/>
        <v>70</v>
      </c>
      <c r="I194" s="73">
        <f t="shared" si="35"/>
        <v>70</v>
      </c>
      <c r="J194" s="72" t="s">
        <v>79</v>
      </c>
      <c r="K194" s="74"/>
      <c r="M194" s="79"/>
      <c r="N194" s="76" t="e">
        <f t="shared" si="37"/>
        <v>#N/A</v>
      </c>
      <c r="O194" s="76"/>
      <c r="P194" s="81"/>
    </row>
    <row r="195" spans="1:17" x14ac:dyDescent="0.25">
      <c r="A195" s="95">
        <v>45618</v>
      </c>
      <c r="B195" s="72" t="s">
        <v>360</v>
      </c>
      <c r="C195" s="72" t="s">
        <v>8</v>
      </c>
      <c r="D195" s="72" t="s">
        <v>17</v>
      </c>
      <c r="E195" s="72" t="s">
        <v>56</v>
      </c>
      <c r="F195" s="72">
        <v>1</v>
      </c>
      <c r="G195" s="73">
        <f t="shared" si="38"/>
        <v>50</v>
      </c>
      <c r="H195" s="73">
        <f t="shared" si="36"/>
        <v>50</v>
      </c>
      <c r="I195" s="73">
        <f t="shared" si="35"/>
        <v>47.5</v>
      </c>
      <c r="J195" s="72" t="s">
        <v>867</v>
      </c>
      <c r="K195" s="74"/>
      <c r="M195" s="79" t="s">
        <v>17</v>
      </c>
      <c r="N195" s="76">
        <f t="shared" si="37"/>
        <v>20</v>
      </c>
      <c r="O195" s="76">
        <f>N195*F195</f>
        <v>20</v>
      </c>
      <c r="P195" s="81" t="s">
        <v>56</v>
      </c>
      <c r="Q195" s="106"/>
    </row>
    <row r="196" spans="1:17" x14ac:dyDescent="0.25">
      <c r="A196" s="95">
        <v>45619</v>
      </c>
      <c r="B196" s="72" t="s">
        <v>576</v>
      </c>
      <c r="C196" s="72" t="s">
        <v>8</v>
      </c>
      <c r="D196" s="72" t="s">
        <v>18</v>
      </c>
      <c r="E196" s="72" t="s">
        <v>56</v>
      </c>
      <c r="F196" s="72">
        <v>1</v>
      </c>
      <c r="G196" s="73">
        <f t="shared" si="38"/>
        <v>40</v>
      </c>
      <c r="H196" s="73">
        <f t="shared" si="36"/>
        <v>40</v>
      </c>
      <c r="I196" s="73">
        <f t="shared" si="35"/>
        <v>38.14</v>
      </c>
      <c r="J196" s="72" t="s">
        <v>865</v>
      </c>
      <c r="K196" s="74"/>
      <c r="M196" s="79" t="s">
        <v>18</v>
      </c>
      <c r="N196" s="76">
        <f t="shared" si="37"/>
        <v>16</v>
      </c>
      <c r="O196" s="76">
        <f>N196*F196</f>
        <v>16</v>
      </c>
      <c r="P196" s="81" t="s">
        <v>56</v>
      </c>
    </row>
    <row r="197" spans="1:17" x14ac:dyDescent="0.25">
      <c r="A197" s="95">
        <v>45619</v>
      </c>
      <c r="B197" s="72" t="s">
        <v>194</v>
      </c>
      <c r="C197" s="72" t="s">
        <v>8</v>
      </c>
      <c r="D197" s="72" t="s">
        <v>15</v>
      </c>
      <c r="E197" s="72" t="s">
        <v>56</v>
      </c>
      <c r="F197" s="72">
        <v>1</v>
      </c>
      <c r="G197" s="73">
        <f t="shared" si="38"/>
        <v>70</v>
      </c>
      <c r="H197" s="73">
        <f t="shared" si="36"/>
        <v>70</v>
      </c>
      <c r="I197" s="73">
        <f t="shared" si="35"/>
        <v>70</v>
      </c>
      <c r="J197" s="72" t="s">
        <v>83</v>
      </c>
      <c r="K197" s="74"/>
      <c r="M197" s="79" t="s">
        <v>15</v>
      </c>
      <c r="N197" s="76">
        <f t="shared" si="37"/>
        <v>28</v>
      </c>
      <c r="O197" s="76">
        <f>N197*F197</f>
        <v>28</v>
      </c>
      <c r="P197" s="81" t="s">
        <v>56</v>
      </c>
    </row>
    <row r="198" spans="1:17" x14ac:dyDescent="0.25">
      <c r="A198" s="95">
        <v>45619</v>
      </c>
      <c r="B198" s="72" t="s">
        <v>620</v>
      </c>
      <c r="C198" s="72" t="s">
        <v>8</v>
      </c>
      <c r="D198" s="72" t="s">
        <v>13</v>
      </c>
      <c r="E198" s="72" t="s">
        <v>56</v>
      </c>
      <c r="F198" s="72">
        <v>1</v>
      </c>
      <c r="G198" s="73">
        <v>27</v>
      </c>
      <c r="H198" s="73">
        <f t="shared" si="36"/>
        <v>27</v>
      </c>
      <c r="I198" s="73">
        <f t="shared" si="35"/>
        <v>27</v>
      </c>
      <c r="J198" s="72" t="s">
        <v>79</v>
      </c>
      <c r="K198" s="74"/>
      <c r="M198" s="79" t="s">
        <v>13</v>
      </c>
      <c r="N198" s="76">
        <f>H198*0.4</f>
        <v>10.8</v>
      </c>
      <c r="O198" s="76">
        <f>N198*F198</f>
        <v>10.8</v>
      </c>
      <c r="P198" s="81" t="s">
        <v>56</v>
      </c>
    </row>
    <row r="199" spans="1:17" x14ac:dyDescent="0.25">
      <c r="A199" s="95">
        <v>45619</v>
      </c>
      <c r="B199" s="72" t="s">
        <v>225</v>
      </c>
      <c r="C199" s="72" t="s">
        <v>8</v>
      </c>
      <c r="D199" s="72" t="s">
        <v>18</v>
      </c>
      <c r="E199" s="72" t="s">
        <v>56</v>
      </c>
      <c r="F199" s="72">
        <v>1</v>
      </c>
      <c r="G199" s="73">
        <f t="shared" ref="G199:G213" si="39">VLOOKUP(D199,$S$3:$T$70,2,0)</f>
        <v>40</v>
      </c>
      <c r="H199" s="73">
        <f t="shared" si="36"/>
        <v>40</v>
      </c>
      <c r="I199" s="73">
        <f t="shared" si="35"/>
        <v>40</v>
      </c>
      <c r="J199" s="72" t="s">
        <v>83</v>
      </c>
      <c r="K199" s="74"/>
      <c r="M199" s="79" t="s">
        <v>18</v>
      </c>
      <c r="N199" s="76">
        <f t="shared" ref="N199:N246" si="40">VLOOKUP(M199,$S$3:$U$70,3,0)</f>
        <v>16</v>
      </c>
      <c r="O199" s="76">
        <f>N199*F199</f>
        <v>16</v>
      </c>
      <c r="P199" s="81" t="s">
        <v>56</v>
      </c>
    </row>
    <row r="200" spans="1:17" x14ac:dyDescent="0.25">
      <c r="A200" s="95">
        <v>45619</v>
      </c>
      <c r="B200" s="72" t="s">
        <v>558</v>
      </c>
      <c r="C200" s="72" t="s">
        <v>8</v>
      </c>
      <c r="D200" s="72" t="s">
        <v>17</v>
      </c>
      <c r="E200" s="72" t="s">
        <v>82</v>
      </c>
      <c r="F200" s="72">
        <v>1</v>
      </c>
      <c r="G200" s="73">
        <f t="shared" si="39"/>
        <v>50</v>
      </c>
      <c r="H200" s="73">
        <f t="shared" si="36"/>
        <v>50</v>
      </c>
      <c r="I200" s="73">
        <f t="shared" si="35"/>
        <v>47.5</v>
      </c>
      <c r="J200" s="72" t="s">
        <v>867</v>
      </c>
      <c r="K200" s="74"/>
      <c r="M200" s="79"/>
      <c r="N200" s="76" t="e">
        <f t="shared" si="40"/>
        <v>#N/A</v>
      </c>
      <c r="O200" s="76"/>
      <c r="P200" s="81"/>
      <c r="Q200" s="106"/>
    </row>
    <row r="201" spans="1:17" x14ac:dyDescent="0.25">
      <c r="A201" s="95">
        <v>45619</v>
      </c>
      <c r="B201" s="72" t="s">
        <v>251</v>
      </c>
      <c r="C201" s="72" t="s">
        <v>8</v>
      </c>
      <c r="D201" s="72" t="s">
        <v>17</v>
      </c>
      <c r="E201" s="72" t="s">
        <v>82</v>
      </c>
      <c r="F201" s="72">
        <v>1</v>
      </c>
      <c r="G201" s="73">
        <f t="shared" si="39"/>
        <v>50</v>
      </c>
      <c r="H201" s="73">
        <f t="shared" si="36"/>
        <v>50</v>
      </c>
      <c r="I201" s="73">
        <f t="shared" si="35"/>
        <v>48.95</v>
      </c>
      <c r="J201" s="72" t="s">
        <v>866</v>
      </c>
      <c r="K201" s="74"/>
      <c r="M201" s="79"/>
      <c r="N201" s="76" t="e">
        <f t="shared" si="40"/>
        <v>#N/A</v>
      </c>
      <c r="O201" s="76"/>
      <c r="P201" s="81"/>
    </row>
    <row r="202" spans="1:17" x14ac:dyDescent="0.25">
      <c r="A202" s="95">
        <v>45619</v>
      </c>
      <c r="B202" s="72" t="s">
        <v>251</v>
      </c>
      <c r="C202" s="72" t="s">
        <v>8</v>
      </c>
      <c r="D202" s="72" t="s">
        <v>38</v>
      </c>
      <c r="E202" s="72" t="s">
        <v>82</v>
      </c>
      <c r="F202" s="72">
        <v>1</v>
      </c>
      <c r="G202" s="73">
        <f t="shared" si="39"/>
        <v>6</v>
      </c>
      <c r="H202" s="73">
        <f t="shared" si="36"/>
        <v>6</v>
      </c>
      <c r="I202" s="73">
        <f t="shared" si="35"/>
        <v>5.8739999999999997</v>
      </c>
      <c r="J202" s="72" t="s">
        <v>866</v>
      </c>
      <c r="K202" s="74"/>
      <c r="M202" s="79"/>
      <c r="N202" s="76" t="e">
        <f t="shared" si="40"/>
        <v>#N/A</v>
      </c>
      <c r="O202" s="76"/>
      <c r="P202" s="81"/>
    </row>
    <row r="203" spans="1:17" x14ac:dyDescent="0.25">
      <c r="A203" s="95">
        <v>45619</v>
      </c>
      <c r="B203" s="72" t="s">
        <v>215</v>
      </c>
      <c r="C203" s="72" t="s">
        <v>8</v>
      </c>
      <c r="D203" s="72" t="s">
        <v>18</v>
      </c>
      <c r="E203" s="72" t="s">
        <v>82</v>
      </c>
      <c r="F203" s="72">
        <v>1</v>
      </c>
      <c r="G203" s="73">
        <f t="shared" si="39"/>
        <v>40</v>
      </c>
      <c r="H203" s="73">
        <f t="shared" si="36"/>
        <v>40</v>
      </c>
      <c r="I203" s="73">
        <f t="shared" si="35"/>
        <v>40</v>
      </c>
      <c r="J203" s="72" t="s">
        <v>79</v>
      </c>
      <c r="K203" s="74"/>
      <c r="M203" s="79"/>
      <c r="N203" s="76" t="e">
        <f t="shared" si="40"/>
        <v>#N/A</v>
      </c>
      <c r="O203" s="76"/>
      <c r="P203" s="81"/>
    </row>
    <row r="204" spans="1:17" x14ac:dyDescent="0.25">
      <c r="A204" s="95">
        <v>45619</v>
      </c>
      <c r="B204" s="72" t="s">
        <v>550</v>
      </c>
      <c r="C204" s="72" t="s">
        <v>8</v>
      </c>
      <c r="D204" s="72" t="s">
        <v>18</v>
      </c>
      <c r="E204" s="72" t="s">
        <v>82</v>
      </c>
      <c r="F204" s="72">
        <v>1</v>
      </c>
      <c r="G204" s="73">
        <f t="shared" si="39"/>
        <v>40</v>
      </c>
      <c r="H204" s="73">
        <f t="shared" si="36"/>
        <v>40</v>
      </c>
      <c r="I204" s="73">
        <f t="shared" si="35"/>
        <v>39.159999999999997</v>
      </c>
      <c r="J204" s="72" t="s">
        <v>866</v>
      </c>
      <c r="K204" s="74"/>
      <c r="M204" s="79"/>
      <c r="N204" s="76" t="e">
        <f t="shared" si="40"/>
        <v>#N/A</v>
      </c>
      <c r="O204" s="76"/>
      <c r="P204" s="81"/>
    </row>
    <row r="205" spans="1:17" x14ac:dyDescent="0.25">
      <c r="A205" s="95">
        <v>45619</v>
      </c>
      <c r="B205" s="72" t="s">
        <v>708</v>
      </c>
      <c r="C205" s="72" t="s">
        <v>8</v>
      </c>
      <c r="D205" s="72" t="s">
        <v>40</v>
      </c>
      <c r="E205" s="72" t="s">
        <v>82</v>
      </c>
      <c r="F205" s="72">
        <v>1</v>
      </c>
      <c r="G205" s="73">
        <f t="shared" si="39"/>
        <v>45</v>
      </c>
      <c r="H205" s="73">
        <f t="shared" si="36"/>
        <v>45</v>
      </c>
      <c r="I205" s="73">
        <f t="shared" si="35"/>
        <v>45</v>
      </c>
      <c r="J205" s="72" t="s">
        <v>83</v>
      </c>
      <c r="K205" s="74"/>
      <c r="M205" s="79"/>
      <c r="N205" s="76" t="e">
        <f t="shared" si="40"/>
        <v>#N/A</v>
      </c>
      <c r="O205" s="76"/>
      <c r="P205" s="81"/>
    </row>
    <row r="206" spans="1:17" x14ac:dyDescent="0.25">
      <c r="A206" s="95">
        <v>45619</v>
      </c>
      <c r="B206" s="72" t="s">
        <v>204</v>
      </c>
      <c r="C206" s="72" t="s">
        <v>8</v>
      </c>
      <c r="D206" s="72" t="s">
        <v>18</v>
      </c>
      <c r="E206" s="72" t="s">
        <v>82</v>
      </c>
      <c r="F206" s="72">
        <v>4</v>
      </c>
      <c r="G206" s="73">
        <f t="shared" si="39"/>
        <v>40</v>
      </c>
      <c r="H206" s="73">
        <v>170</v>
      </c>
      <c r="I206" s="73">
        <f t="shared" si="35"/>
        <v>162.095</v>
      </c>
      <c r="J206" s="72" t="s">
        <v>865</v>
      </c>
      <c r="K206" s="74"/>
      <c r="M206" s="79"/>
      <c r="N206" s="76" t="e">
        <f t="shared" si="40"/>
        <v>#N/A</v>
      </c>
      <c r="O206" s="76"/>
      <c r="P206" s="81"/>
    </row>
    <row r="207" spans="1:17" x14ac:dyDescent="0.25">
      <c r="A207" s="95">
        <v>45619</v>
      </c>
      <c r="B207" s="72" t="s">
        <v>585</v>
      </c>
      <c r="C207" s="72" t="s">
        <v>8</v>
      </c>
      <c r="D207" s="72" t="s">
        <v>18</v>
      </c>
      <c r="E207" s="72" t="s">
        <v>82</v>
      </c>
      <c r="F207" s="72">
        <v>1</v>
      </c>
      <c r="G207" s="73">
        <f t="shared" si="39"/>
        <v>40</v>
      </c>
      <c r="H207" s="73">
        <f t="shared" ref="H207:H238" si="41">F207*G207</f>
        <v>40</v>
      </c>
      <c r="I207" s="73">
        <f t="shared" ref="I207:I238" si="42">IF(J207="Master Debito",H207-(H207*$AC$5),IF(J207="Master Credito",H207-(H207*$AC$6), IF(J207="Visa Debito",H207-(H207*$AC$7), IF(J207="Visa Credito", H207-(H207*$AC$8), IF(J207="Elo Debito", H207-(H207*$AC$9), IF(J207="Elo Credito", H207-(H207*$AC$10), IF(J207="Pix", H207-(H207*$AC$11), IF(J207="Dinheiro (R$)", H207-(H207*$AC$12)))))))))</f>
        <v>40</v>
      </c>
      <c r="J207" s="72" t="s">
        <v>83</v>
      </c>
      <c r="K207" s="74"/>
      <c r="M207" s="79"/>
      <c r="N207" s="76" t="e">
        <f t="shared" si="40"/>
        <v>#N/A</v>
      </c>
      <c r="O207" s="76"/>
      <c r="P207" s="81"/>
    </row>
    <row r="208" spans="1:17" x14ac:dyDescent="0.25">
      <c r="A208" s="95">
        <v>45619</v>
      </c>
      <c r="B208" s="72" t="s">
        <v>585</v>
      </c>
      <c r="C208" s="72" t="s">
        <v>8</v>
      </c>
      <c r="D208" s="72" t="s">
        <v>63</v>
      </c>
      <c r="E208" s="72" t="s">
        <v>82</v>
      </c>
      <c r="F208" s="72">
        <v>1</v>
      </c>
      <c r="G208" s="73">
        <f t="shared" si="39"/>
        <v>20</v>
      </c>
      <c r="H208" s="73">
        <f t="shared" si="41"/>
        <v>20</v>
      </c>
      <c r="I208" s="73">
        <f t="shared" si="42"/>
        <v>20</v>
      </c>
      <c r="J208" s="72" t="s">
        <v>83</v>
      </c>
      <c r="K208" s="74"/>
      <c r="M208" s="79"/>
      <c r="N208" s="76" t="e">
        <f t="shared" si="40"/>
        <v>#N/A</v>
      </c>
      <c r="O208" s="76"/>
      <c r="P208" s="81"/>
    </row>
    <row r="209" spans="1:17" x14ac:dyDescent="0.25">
      <c r="A209" s="95">
        <v>45619</v>
      </c>
      <c r="B209" s="72" t="s">
        <v>532</v>
      </c>
      <c r="C209" s="72" t="s">
        <v>8</v>
      </c>
      <c r="D209" s="72" t="s">
        <v>18</v>
      </c>
      <c r="E209" s="72" t="s">
        <v>56</v>
      </c>
      <c r="F209" s="72">
        <v>1</v>
      </c>
      <c r="G209" s="73">
        <f t="shared" si="39"/>
        <v>40</v>
      </c>
      <c r="H209" s="73">
        <f t="shared" si="41"/>
        <v>40</v>
      </c>
      <c r="I209" s="73">
        <f t="shared" si="42"/>
        <v>40</v>
      </c>
      <c r="J209" s="72" t="s">
        <v>83</v>
      </c>
      <c r="K209" s="74"/>
      <c r="M209" s="79" t="s">
        <v>18</v>
      </c>
      <c r="N209" s="76">
        <f t="shared" si="40"/>
        <v>16</v>
      </c>
      <c r="O209" s="76">
        <f>N209*F209</f>
        <v>16</v>
      </c>
      <c r="P209" s="81" t="s">
        <v>56</v>
      </c>
    </row>
    <row r="210" spans="1:17" x14ac:dyDescent="0.25">
      <c r="A210" s="95">
        <v>45619</v>
      </c>
      <c r="B210" s="72" t="s">
        <v>324</v>
      </c>
      <c r="C210" s="72" t="s">
        <v>8</v>
      </c>
      <c r="D210" s="72" t="s">
        <v>18</v>
      </c>
      <c r="E210" s="72" t="s">
        <v>56</v>
      </c>
      <c r="F210" s="72">
        <v>1</v>
      </c>
      <c r="G210" s="73">
        <f t="shared" si="39"/>
        <v>40</v>
      </c>
      <c r="H210" s="73">
        <f t="shared" si="41"/>
        <v>40</v>
      </c>
      <c r="I210" s="73">
        <f t="shared" si="42"/>
        <v>38</v>
      </c>
      <c r="J210" s="72" t="s">
        <v>867</v>
      </c>
      <c r="K210" s="74"/>
      <c r="M210" s="79" t="s">
        <v>18</v>
      </c>
      <c r="N210" s="76">
        <f t="shared" si="40"/>
        <v>16</v>
      </c>
      <c r="O210" s="76">
        <f>N210*F210</f>
        <v>16</v>
      </c>
      <c r="P210" s="81" t="s">
        <v>56</v>
      </c>
    </row>
    <row r="211" spans="1:17" x14ac:dyDescent="0.25">
      <c r="A211" s="95">
        <v>45622</v>
      </c>
      <c r="B211" s="72" t="s">
        <v>149</v>
      </c>
      <c r="C211" s="72" t="s">
        <v>8</v>
      </c>
      <c r="D211" s="72" t="s">
        <v>18</v>
      </c>
      <c r="E211" s="72" t="s">
        <v>56</v>
      </c>
      <c r="F211" s="72">
        <v>1</v>
      </c>
      <c r="G211" s="73">
        <f t="shared" si="39"/>
        <v>40</v>
      </c>
      <c r="H211" s="73">
        <f t="shared" si="41"/>
        <v>40</v>
      </c>
      <c r="I211" s="73">
        <f t="shared" si="42"/>
        <v>39.159999999999997</v>
      </c>
      <c r="J211" s="72" t="s">
        <v>866</v>
      </c>
      <c r="K211" s="74"/>
      <c r="M211" s="72" t="s">
        <v>18</v>
      </c>
      <c r="N211" s="76">
        <f t="shared" si="40"/>
        <v>16</v>
      </c>
      <c r="O211" s="76">
        <f>N211*F211</f>
        <v>16</v>
      </c>
      <c r="P211" s="81" t="s">
        <v>56</v>
      </c>
    </row>
    <row r="212" spans="1:17" x14ac:dyDescent="0.25">
      <c r="A212" s="95">
        <v>45622</v>
      </c>
      <c r="B212" s="72" t="s">
        <v>149</v>
      </c>
      <c r="C212" s="72" t="s">
        <v>8</v>
      </c>
      <c r="D212" s="72" t="s">
        <v>44</v>
      </c>
      <c r="E212" s="72" t="s">
        <v>56</v>
      </c>
      <c r="F212" s="72">
        <v>1</v>
      </c>
      <c r="G212" s="73">
        <f t="shared" si="39"/>
        <v>5</v>
      </c>
      <c r="H212" s="73">
        <f t="shared" si="41"/>
        <v>5</v>
      </c>
      <c r="I212" s="73">
        <f t="shared" si="42"/>
        <v>4.8949999999999996</v>
      </c>
      <c r="J212" s="72" t="s">
        <v>866</v>
      </c>
      <c r="K212" s="74"/>
      <c r="M212" s="79" t="s">
        <v>44</v>
      </c>
      <c r="N212" s="76">
        <f t="shared" si="40"/>
        <v>0.5</v>
      </c>
      <c r="O212" s="76">
        <f>N212*F212</f>
        <v>0.5</v>
      </c>
      <c r="P212" s="81" t="s">
        <v>56</v>
      </c>
    </row>
    <row r="213" spans="1:17" x14ac:dyDescent="0.25">
      <c r="A213" s="95">
        <v>45622</v>
      </c>
      <c r="B213" s="72" t="s">
        <v>528</v>
      </c>
      <c r="C213" s="72" t="s">
        <v>8</v>
      </c>
      <c r="D213" s="72" t="s">
        <v>18</v>
      </c>
      <c r="E213" s="72" t="s">
        <v>56</v>
      </c>
      <c r="F213" s="72">
        <v>1</v>
      </c>
      <c r="G213" s="73">
        <f t="shared" si="39"/>
        <v>40</v>
      </c>
      <c r="H213" s="73">
        <f t="shared" si="41"/>
        <v>40</v>
      </c>
      <c r="I213" s="73">
        <f t="shared" si="42"/>
        <v>39.159999999999997</v>
      </c>
      <c r="J213" s="72" t="s">
        <v>866</v>
      </c>
      <c r="K213" s="74"/>
      <c r="M213" s="79" t="s">
        <v>18</v>
      </c>
      <c r="N213" s="76">
        <f t="shared" si="40"/>
        <v>16</v>
      </c>
      <c r="O213" s="76">
        <f>N213*F213</f>
        <v>16</v>
      </c>
      <c r="P213" s="81" t="s">
        <v>56</v>
      </c>
    </row>
    <row r="214" spans="1:17" x14ac:dyDescent="0.25">
      <c r="A214" s="95">
        <v>45622</v>
      </c>
      <c r="B214" s="72" t="s">
        <v>561</v>
      </c>
      <c r="C214" s="72" t="s">
        <v>8</v>
      </c>
      <c r="D214" s="72" t="s">
        <v>17</v>
      </c>
      <c r="E214" s="72" t="s">
        <v>82</v>
      </c>
      <c r="F214" s="72">
        <v>1</v>
      </c>
      <c r="G214" s="73">
        <v>40</v>
      </c>
      <c r="H214" s="73">
        <f t="shared" si="41"/>
        <v>40</v>
      </c>
      <c r="I214" s="73">
        <f t="shared" si="42"/>
        <v>38</v>
      </c>
      <c r="J214" s="72" t="s">
        <v>867</v>
      </c>
      <c r="K214" s="74"/>
      <c r="M214" s="72"/>
      <c r="N214" s="76" t="e">
        <f t="shared" si="40"/>
        <v>#N/A</v>
      </c>
      <c r="O214" s="76"/>
      <c r="P214" s="81"/>
    </row>
    <row r="215" spans="1:17" x14ac:dyDescent="0.25">
      <c r="A215" s="95">
        <v>45622</v>
      </c>
      <c r="B215" s="72" t="s">
        <v>178</v>
      </c>
      <c r="C215" s="72" t="s">
        <v>8</v>
      </c>
      <c r="D215" s="72" t="s">
        <v>18</v>
      </c>
      <c r="E215" s="72" t="s">
        <v>82</v>
      </c>
      <c r="F215" s="72">
        <v>1</v>
      </c>
      <c r="G215" s="73">
        <f t="shared" ref="G215:G246" si="43">VLOOKUP(D215,$S$3:$T$70,2,0)</f>
        <v>40</v>
      </c>
      <c r="H215" s="73">
        <f t="shared" si="41"/>
        <v>40</v>
      </c>
      <c r="I215" s="73">
        <f t="shared" si="42"/>
        <v>38</v>
      </c>
      <c r="J215" s="72" t="s">
        <v>867</v>
      </c>
      <c r="K215" s="74"/>
      <c r="M215" s="72"/>
      <c r="N215" s="76" t="e">
        <f t="shared" si="40"/>
        <v>#N/A</v>
      </c>
      <c r="O215" s="76"/>
      <c r="P215" s="81"/>
      <c r="Q215" s="106"/>
    </row>
    <row r="216" spans="1:17" x14ac:dyDescent="0.25">
      <c r="A216" s="95">
        <v>45622</v>
      </c>
      <c r="B216" s="72" t="s">
        <v>611</v>
      </c>
      <c r="C216" s="72" t="s">
        <v>8</v>
      </c>
      <c r="D216" s="72" t="s">
        <v>18</v>
      </c>
      <c r="E216" s="72" t="s">
        <v>82</v>
      </c>
      <c r="F216" s="72">
        <v>1</v>
      </c>
      <c r="G216" s="73">
        <f t="shared" si="43"/>
        <v>40</v>
      </c>
      <c r="H216" s="73">
        <f t="shared" si="41"/>
        <v>40</v>
      </c>
      <c r="I216" s="73">
        <f t="shared" si="42"/>
        <v>40</v>
      </c>
      <c r="J216" s="72" t="s">
        <v>83</v>
      </c>
      <c r="K216" s="74"/>
      <c r="M216" s="79"/>
      <c r="N216" s="76" t="e">
        <f t="shared" si="40"/>
        <v>#N/A</v>
      </c>
      <c r="O216" s="76"/>
      <c r="P216" s="81"/>
    </row>
    <row r="217" spans="1:17" x14ac:dyDescent="0.25">
      <c r="A217" s="95">
        <v>45622</v>
      </c>
      <c r="B217" s="72" t="s">
        <v>647</v>
      </c>
      <c r="C217" s="72" t="s">
        <v>8</v>
      </c>
      <c r="D217" s="72" t="s">
        <v>38</v>
      </c>
      <c r="E217" s="72" t="s">
        <v>82</v>
      </c>
      <c r="F217" s="72">
        <v>8</v>
      </c>
      <c r="G217" s="73">
        <f t="shared" si="43"/>
        <v>6</v>
      </c>
      <c r="H217" s="73">
        <f t="shared" si="41"/>
        <v>48</v>
      </c>
      <c r="I217" s="73">
        <f t="shared" si="42"/>
        <v>48</v>
      </c>
      <c r="J217" s="72" t="s">
        <v>83</v>
      </c>
      <c r="K217" s="74"/>
      <c r="M217" s="79"/>
      <c r="N217" s="76" t="e">
        <f t="shared" si="40"/>
        <v>#N/A</v>
      </c>
      <c r="O217" s="76"/>
      <c r="P217" s="81"/>
    </row>
    <row r="218" spans="1:17" x14ac:dyDescent="0.25">
      <c r="A218" s="95">
        <v>45622</v>
      </c>
      <c r="B218" s="72" t="s">
        <v>561</v>
      </c>
      <c r="C218" s="72" t="s">
        <v>8</v>
      </c>
      <c r="D218" s="72" t="s">
        <v>18</v>
      </c>
      <c r="E218" s="72" t="s">
        <v>82</v>
      </c>
      <c r="F218" s="72">
        <v>1</v>
      </c>
      <c r="G218" s="73">
        <f t="shared" si="43"/>
        <v>40</v>
      </c>
      <c r="H218" s="73">
        <f t="shared" si="41"/>
        <v>40</v>
      </c>
      <c r="I218" s="73">
        <f t="shared" si="42"/>
        <v>40</v>
      </c>
      <c r="J218" s="72" t="s">
        <v>83</v>
      </c>
      <c r="K218" s="74"/>
      <c r="M218" s="79"/>
      <c r="N218" s="76" t="e">
        <f t="shared" si="40"/>
        <v>#N/A</v>
      </c>
      <c r="O218" s="76"/>
      <c r="P218" s="81"/>
    </row>
    <row r="219" spans="1:17" x14ac:dyDescent="0.25">
      <c r="A219" s="95">
        <v>45622</v>
      </c>
      <c r="B219" s="72" t="s">
        <v>726</v>
      </c>
      <c r="C219" s="72" t="s">
        <v>8</v>
      </c>
      <c r="D219" s="72" t="s">
        <v>18</v>
      </c>
      <c r="E219" s="72" t="s">
        <v>56</v>
      </c>
      <c r="F219" s="72">
        <v>1</v>
      </c>
      <c r="G219" s="73">
        <f t="shared" si="43"/>
        <v>40</v>
      </c>
      <c r="H219" s="73">
        <f t="shared" si="41"/>
        <v>40</v>
      </c>
      <c r="I219" s="73">
        <f t="shared" si="42"/>
        <v>38</v>
      </c>
      <c r="J219" s="72" t="s">
        <v>867</v>
      </c>
      <c r="K219" s="74"/>
      <c r="M219" s="79" t="s">
        <v>18</v>
      </c>
      <c r="N219" s="76">
        <f t="shared" si="40"/>
        <v>16</v>
      </c>
      <c r="O219" s="76">
        <f>N219*F219</f>
        <v>16</v>
      </c>
      <c r="P219" s="81" t="s">
        <v>56</v>
      </c>
    </row>
    <row r="220" spans="1:17" x14ac:dyDescent="0.25">
      <c r="A220" s="95">
        <v>45622</v>
      </c>
      <c r="B220" s="72" t="s">
        <v>726</v>
      </c>
      <c r="C220" s="72" t="s">
        <v>8</v>
      </c>
      <c r="D220" s="72" t="s">
        <v>106</v>
      </c>
      <c r="E220" s="72" t="s">
        <v>56</v>
      </c>
      <c r="F220" s="72">
        <v>1</v>
      </c>
      <c r="G220" s="73">
        <f t="shared" si="43"/>
        <v>15</v>
      </c>
      <c r="H220" s="73">
        <f t="shared" si="41"/>
        <v>15</v>
      </c>
      <c r="I220" s="73">
        <f t="shared" si="42"/>
        <v>14.25</v>
      </c>
      <c r="J220" s="72" t="s">
        <v>867</v>
      </c>
      <c r="K220" s="74"/>
      <c r="M220" s="79" t="s">
        <v>106</v>
      </c>
      <c r="N220" s="76">
        <f t="shared" si="40"/>
        <v>6</v>
      </c>
      <c r="O220" s="76">
        <f>N220*F220</f>
        <v>6</v>
      </c>
      <c r="P220" s="81" t="s">
        <v>56</v>
      </c>
      <c r="Q220" s="106"/>
    </row>
    <row r="221" spans="1:17" x14ac:dyDescent="0.25">
      <c r="A221" s="95">
        <v>45622</v>
      </c>
      <c r="B221" s="72" t="s">
        <v>726</v>
      </c>
      <c r="C221" s="72" t="s">
        <v>8</v>
      </c>
      <c r="D221" s="72" t="s">
        <v>778</v>
      </c>
      <c r="E221" s="72" t="s">
        <v>56</v>
      </c>
      <c r="F221" s="72">
        <v>1</v>
      </c>
      <c r="G221" s="73">
        <f t="shared" si="43"/>
        <v>2.5</v>
      </c>
      <c r="H221" s="73">
        <f t="shared" si="41"/>
        <v>2.5</v>
      </c>
      <c r="I221" s="73">
        <f t="shared" si="42"/>
        <v>2.375</v>
      </c>
      <c r="J221" s="72" t="s">
        <v>867</v>
      </c>
      <c r="K221" s="74"/>
      <c r="M221" s="79" t="s">
        <v>778</v>
      </c>
      <c r="N221" s="76">
        <f t="shared" si="40"/>
        <v>0.25</v>
      </c>
      <c r="O221" s="76">
        <f>N221*F221</f>
        <v>0.25</v>
      </c>
      <c r="P221" s="81" t="s">
        <v>56</v>
      </c>
    </row>
    <row r="222" spans="1:17" x14ac:dyDescent="0.25">
      <c r="A222" s="95">
        <v>45623</v>
      </c>
      <c r="B222" s="72" t="s">
        <v>397</v>
      </c>
      <c r="C222" s="72" t="s">
        <v>8</v>
      </c>
      <c r="D222" s="72" t="s">
        <v>18</v>
      </c>
      <c r="E222" s="72" t="s">
        <v>56</v>
      </c>
      <c r="F222" s="72">
        <v>1</v>
      </c>
      <c r="G222" s="73">
        <f t="shared" si="43"/>
        <v>40</v>
      </c>
      <c r="H222" s="73">
        <f t="shared" si="41"/>
        <v>40</v>
      </c>
      <c r="I222" s="73">
        <f t="shared" si="42"/>
        <v>40</v>
      </c>
      <c r="J222" s="72" t="s">
        <v>79</v>
      </c>
      <c r="K222" s="74" t="s">
        <v>901</v>
      </c>
      <c r="M222" s="79" t="s">
        <v>18</v>
      </c>
      <c r="N222" s="76">
        <f t="shared" si="40"/>
        <v>16</v>
      </c>
      <c r="O222" s="76">
        <f>N222*F222</f>
        <v>16</v>
      </c>
      <c r="P222" s="81" t="s">
        <v>56</v>
      </c>
    </row>
    <row r="223" spans="1:17" x14ac:dyDescent="0.25">
      <c r="A223" s="95">
        <v>45623</v>
      </c>
      <c r="B223" s="72" t="s">
        <v>902</v>
      </c>
      <c r="C223" s="72" t="s">
        <v>8</v>
      </c>
      <c r="D223" s="72" t="s">
        <v>17</v>
      </c>
      <c r="E223" s="72" t="s">
        <v>82</v>
      </c>
      <c r="F223" s="72">
        <v>1</v>
      </c>
      <c r="G223" s="73">
        <f t="shared" si="43"/>
        <v>50</v>
      </c>
      <c r="H223" s="73">
        <f t="shared" si="41"/>
        <v>50</v>
      </c>
      <c r="I223" s="73">
        <f t="shared" si="42"/>
        <v>50</v>
      </c>
      <c r="J223" s="72" t="s">
        <v>83</v>
      </c>
      <c r="K223" s="74"/>
      <c r="M223" s="79"/>
      <c r="N223" s="76" t="e">
        <f t="shared" si="40"/>
        <v>#N/A</v>
      </c>
      <c r="O223" s="76"/>
      <c r="P223" s="81"/>
    </row>
    <row r="224" spans="1:17" x14ac:dyDescent="0.25">
      <c r="A224" s="95">
        <v>45623</v>
      </c>
      <c r="B224" s="72" t="s">
        <v>220</v>
      </c>
      <c r="C224" s="72" t="s">
        <v>8</v>
      </c>
      <c r="D224" s="72" t="s">
        <v>15</v>
      </c>
      <c r="E224" s="72" t="s">
        <v>82</v>
      </c>
      <c r="F224" s="72">
        <v>1</v>
      </c>
      <c r="G224" s="73">
        <f t="shared" si="43"/>
        <v>70</v>
      </c>
      <c r="H224" s="73">
        <f t="shared" si="41"/>
        <v>70</v>
      </c>
      <c r="I224" s="73">
        <f t="shared" si="42"/>
        <v>70</v>
      </c>
      <c r="J224" s="72" t="s">
        <v>83</v>
      </c>
      <c r="K224" s="74"/>
      <c r="M224" s="79"/>
      <c r="N224" s="76" t="e">
        <f t="shared" si="40"/>
        <v>#N/A</v>
      </c>
      <c r="O224" s="76"/>
      <c r="P224" s="81"/>
    </row>
    <row r="225" spans="1:16" x14ac:dyDescent="0.25">
      <c r="A225" s="95">
        <v>45623</v>
      </c>
      <c r="B225" s="72" t="s">
        <v>903</v>
      </c>
      <c r="C225" s="72" t="s">
        <v>8</v>
      </c>
      <c r="D225" s="72" t="s">
        <v>24</v>
      </c>
      <c r="E225" s="72" t="s">
        <v>82</v>
      </c>
      <c r="F225" s="72">
        <v>1</v>
      </c>
      <c r="G225" s="73">
        <f t="shared" si="43"/>
        <v>10</v>
      </c>
      <c r="H225" s="73">
        <f t="shared" si="41"/>
        <v>10</v>
      </c>
      <c r="I225" s="73">
        <f t="shared" si="42"/>
        <v>10</v>
      </c>
      <c r="J225" s="72" t="s">
        <v>79</v>
      </c>
      <c r="K225" s="74"/>
      <c r="M225" s="79"/>
      <c r="N225" s="76" t="e">
        <f t="shared" si="40"/>
        <v>#N/A</v>
      </c>
      <c r="O225" s="76"/>
      <c r="P225" s="81"/>
    </row>
    <row r="226" spans="1:16" x14ac:dyDescent="0.25">
      <c r="A226" s="95">
        <v>45623</v>
      </c>
      <c r="B226" s="72" t="s">
        <v>904</v>
      </c>
      <c r="C226" s="72" t="s">
        <v>8</v>
      </c>
      <c r="D226" s="72" t="s">
        <v>13</v>
      </c>
      <c r="E226" s="72" t="s">
        <v>82</v>
      </c>
      <c r="F226" s="72">
        <v>1</v>
      </c>
      <c r="G226" s="73">
        <f t="shared" si="43"/>
        <v>30</v>
      </c>
      <c r="H226" s="73">
        <f t="shared" si="41"/>
        <v>30</v>
      </c>
      <c r="I226" s="73">
        <f t="shared" si="42"/>
        <v>29.37</v>
      </c>
      <c r="J226" s="72" t="s">
        <v>866</v>
      </c>
      <c r="K226" s="74"/>
      <c r="M226" s="79"/>
      <c r="N226" s="76" t="e">
        <f t="shared" si="40"/>
        <v>#N/A</v>
      </c>
      <c r="O226" s="76"/>
      <c r="P226" s="81"/>
    </row>
    <row r="227" spans="1:16" x14ac:dyDescent="0.25">
      <c r="A227" s="95">
        <v>45623</v>
      </c>
      <c r="B227" s="72" t="s">
        <v>584</v>
      </c>
      <c r="C227" s="72" t="s">
        <v>8</v>
      </c>
      <c r="D227" s="72" t="s">
        <v>22</v>
      </c>
      <c r="E227" s="72" t="s">
        <v>82</v>
      </c>
      <c r="F227" s="72">
        <v>1</v>
      </c>
      <c r="G227" s="73">
        <f t="shared" si="43"/>
        <v>30</v>
      </c>
      <c r="H227" s="73">
        <f t="shared" si="41"/>
        <v>30</v>
      </c>
      <c r="I227" s="73">
        <f t="shared" si="42"/>
        <v>29.37</v>
      </c>
      <c r="J227" s="72" t="s">
        <v>866</v>
      </c>
      <c r="K227" s="74"/>
      <c r="M227" s="79"/>
      <c r="N227" s="76" t="e">
        <f t="shared" si="40"/>
        <v>#N/A</v>
      </c>
      <c r="O227" s="76"/>
      <c r="P227" s="81"/>
    </row>
    <row r="228" spans="1:16" x14ac:dyDescent="0.25">
      <c r="A228" s="95">
        <v>45623</v>
      </c>
      <c r="B228" s="72" t="s">
        <v>612</v>
      </c>
      <c r="C228" s="72" t="s">
        <v>8</v>
      </c>
      <c r="D228" s="72" t="s">
        <v>17</v>
      </c>
      <c r="E228" s="72" t="s">
        <v>56</v>
      </c>
      <c r="F228" s="72">
        <v>1</v>
      </c>
      <c r="G228" s="73">
        <f t="shared" si="43"/>
        <v>50</v>
      </c>
      <c r="H228" s="73">
        <f t="shared" si="41"/>
        <v>50</v>
      </c>
      <c r="I228" s="73">
        <f t="shared" si="42"/>
        <v>47.5</v>
      </c>
      <c r="J228" s="72" t="s">
        <v>867</v>
      </c>
      <c r="K228" s="74"/>
      <c r="M228" s="79" t="s">
        <v>17</v>
      </c>
      <c r="N228" s="76">
        <f t="shared" si="40"/>
        <v>20</v>
      </c>
      <c r="O228" s="76">
        <f>N228*F228</f>
        <v>20</v>
      </c>
      <c r="P228" s="81" t="s">
        <v>56</v>
      </c>
    </row>
    <row r="229" spans="1:16" x14ac:dyDescent="0.25">
      <c r="A229" s="95">
        <v>45623</v>
      </c>
      <c r="B229" s="72" t="s">
        <v>210</v>
      </c>
      <c r="C229" s="72" t="s">
        <v>8</v>
      </c>
      <c r="D229" s="72" t="s">
        <v>17</v>
      </c>
      <c r="E229" s="72" t="s">
        <v>56</v>
      </c>
      <c r="F229" s="72">
        <v>1</v>
      </c>
      <c r="G229" s="73">
        <f t="shared" si="43"/>
        <v>50</v>
      </c>
      <c r="H229" s="73">
        <f t="shared" si="41"/>
        <v>50</v>
      </c>
      <c r="I229" s="73">
        <f t="shared" si="42"/>
        <v>50</v>
      </c>
      <c r="J229" s="72" t="s">
        <v>83</v>
      </c>
      <c r="K229" s="74"/>
      <c r="M229" s="79" t="s">
        <v>17</v>
      </c>
      <c r="N229" s="76">
        <f t="shared" si="40"/>
        <v>20</v>
      </c>
      <c r="O229" s="76">
        <f>N229*F229</f>
        <v>20</v>
      </c>
      <c r="P229" s="81" t="s">
        <v>56</v>
      </c>
    </row>
    <row r="230" spans="1:16" x14ac:dyDescent="0.25">
      <c r="A230" s="95">
        <v>45623</v>
      </c>
      <c r="B230" s="72" t="s">
        <v>225</v>
      </c>
      <c r="C230" s="72" t="s">
        <v>8</v>
      </c>
      <c r="D230" s="72" t="s">
        <v>16</v>
      </c>
      <c r="E230" s="72" t="s">
        <v>56</v>
      </c>
      <c r="F230" s="72">
        <v>1</v>
      </c>
      <c r="G230" s="73">
        <f t="shared" si="43"/>
        <v>80</v>
      </c>
      <c r="H230" s="73">
        <f t="shared" si="41"/>
        <v>80</v>
      </c>
      <c r="I230" s="73">
        <f t="shared" si="42"/>
        <v>80</v>
      </c>
      <c r="J230" s="72" t="s">
        <v>83</v>
      </c>
      <c r="K230" s="74"/>
      <c r="M230" s="79" t="s">
        <v>16</v>
      </c>
      <c r="N230" s="76">
        <f t="shared" si="40"/>
        <v>32</v>
      </c>
      <c r="O230" s="76">
        <f>N230*F230</f>
        <v>32</v>
      </c>
      <c r="P230" s="81" t="s">
        <v>56</v>
      </c>
    </row>
    <row r="231" spans="1:16" x14ac:dyDescent="0.25">
      <c r="A231" s="95">
        <v>45623</v>
      </c>
      <c r="B231" s="72" t="s">
        <v>324</v>
      </c>
      <c r="C231" s="72" t="s">
        <v>8</v>
      </c>
      <c r="D231" s="72" t="s">
        <v>18</v>
      </c>
      <c r="E231" s="72" t="s">
        <v>82</v>
      </c>
      <c r="F231" s="72">
        <v>1</v>
      </c>
      <c r="G231" s="73">
        <f t="shared" si="43"/>
        <v>40</v>
      </c>
      <c r="H231" s="73">
        <f t="shared" si="41"/>
        <v>40</v>
      </c>
      <c r="I231" s="73">
        <f t="shared" si="42"/>
        <v>39.159999999999997</v>
      </c>
      <c r="J231" s="72" t="s">
        <v>866</v>
      </c>
      <c r="K231" s="74"/>
      <c r="M231" s="79"/>
      <c r="N231" s="76" t="e">
        <f t="shared" si="40"/>
        <v>#N/A</v>
      </c>
      <c r="O231" s="76"/>
      <c r="P231" s="81"/>
    </row>
    <row r="232" spans="1:16" x14ac:dyDescent="0.25">
      <c r="A232" s="95">
        <v>45623</v>
      </c>
      <c r="B232" s="72" t="s">
        <v>558</v>
      </c>
      <c r="C232" s="72" t="s">
        <v>8</v>
      </c>
      <c r="D232" s="72" t="s">
        <v>18</v>
      </c>
      <c r="E232" s="72" t="s">
        <v>82</v>
      </c>
      <c r="F232" s="72">
        <v>2</v>
      </c>
      <c r="G232" s="73">
        <f t="shared" si="43"/>
        <v>40</v>
      </c>
      <c r="H232" s="73">
        <f t="shared" si="41"/>
        <v>80</v>
      </c>
      <c r="I232" s="73">
        <f t="shared" si="42"/>
        <v>80</v>
      </c>
      <c r="J232" s="72" t="s">
        <v>83</v>
      </c>
      <c r="K232" s="74"/>
      <c r="M232" s="79"/>
      <c r="N232" s="76" t="e">
        <f t="shared" si="40"/>
        <v>#N/A</v>
      </c>
      <c r="O232" s="76"/>
      <c r="P232" s="81"/>
    </row>
    <row r="233" spans="1:16" x14ac:dyDescent="0.25">
      <c r="A233" s="95">
        <v>45623</v>
      </c>
      <c r="B233" s="72" t="s">
        <v>200</v>
      </c>
      <c r="C233" s="72" t="s">
        <v>8</v>
      </c>
      <c r="D233" s="72" t="s">
        <v>18</v>
      </c>
      <c r="E233" s="72" t="s">
        <v>82</v>
      </c>
      <c r="F233" s="72">
        <v>1</v>
      </c>
      <c r="G233" s="73">
        <f t="shared" si="43"/>
        <v>40</v>
      </c>
      <c r="H233" s="73">
        <f t="shared" si="41"/>
        <v>40</v>
      </c>
      <c r="I233" s="73">
        <f t="shared" si="42"/>
        <v>38</v>
      </c>
      <c r="J233" s="72" t="s">
        <v>867</v>
      </c>
      <c r="K233" s="74"/>
      <c r="M233" s="79"/>
      <c r="N233" s="76" t="e">
        <f t="shared" si="40"/>
        <v>#N/A</v>
      </c>
      <c r="O233" s="76"/>
      <c r="P233" s="81"/>
    </row>
    <row r="234" spans="1:16" x14ac:dyDescent="0.25">
      <c r="A234" s="95">
        <v>45623</v>
      </c>
      <c r="B234" s="72" t="s">
        <v>200</v>
      </c>
      <c r="C234" s="72" t="s">
        <v>8</v>
      </c>
      <c r="D234" s="72" t="s">
        <v>18</v>
      </c>
      <c r="E234" s="72" t="s">
        <v>56</v>
      </c>
      <c r="F234" s="72">
        <v>1</v>
      </c>
      <c r="G234" s="73">
        <f t="shared" si="43"/>
        <v>40</v>
      </c>
      <c r="H234" s="73">
        <f t="shared" si="41"/>
        <v>40</v>
      </c>
      <c r="I234" s="73">
        <f t="shared" si="42"/>
        <v>38</v>
      </c>
      <c r="J234" s="72" t="s">
        <v>867</v>
      </c>
      <c r="K234" s="74"/>
      <c r="M234" s="79" t="s">
        <v>18</v>
      </c>
      <c r="N234" s="76">
        <f t="shared" si="40"/>
        <v>16</v>
      </c>
      <c r="O234" s="76">
        <f>N234*F234</f>
        <v>16</v>
      </c>
      <c r="P234" s="81" t="s">
        <v>56</v>
      </c>
    </row>
    <row r="235" spans="1:16" x14ac:dyDescent="0.25">
      <c r="A235" s="95">
        <v>45624</v>
      </c>
      <c r="B235" s="72" t="s">
        <v>905</v>
      </c>
      <c r="C235" s="72" t="s">
        <v>10</v>
      </c>
      <c r="D235" s="72" t="s">
        <v>15</v>
      </c>
      <c r="E235" s="72" t="s">
        <v>56</v>
      </c>
      <c r="F235" s="72">
        <v>1</v>
      </c>
      <c r="G235" s="73">
        <f t="shared" si="43"/>
        <v>70</v>
      </c>
      <c r="H235" s="73">
        <f t="shared" si="41"/>
        <v>70</v>
      </c>
      <c r="I235" s="73">
        <f t="shared" si="42"/>
        <v>70</v>
      </c>
      <c r="J235" s="72" t="s">
        <v>83</v>
      </c>
      <c r="K235" s="74"/>
      <c r="M235" s="79" t="s">
        <v>15</v>
      </c>
      <c r="N235" s="76">
        <f t="shared" si="40"/>
        <v>28</v>
      </c>
      <c r="O235" s="76">
        <f>N235*F235</f>
        <v>28</v>
      </c>
      <c r="P235" s="81" t="s">
        <v>56</v>
      </c>
    </row>
    <row r="236" spans="1:16" x14ac:dyDescent="0.25">
      <c r="A236" s="95">
        <v>45624</v>
      </c>
      <c r="B236" s="72" t="s">
        <v>772</v>
      </c>
      <c r="C236" s="72" t="s">
        <v>8</v>
      </c>
      <c r="D236" s="72" t="s">
        <v>18</v>
      </c>
      <c r="E236" s="72" t="s">
        <v>56</v>
      </c>
      <c r="F236" s="72">
        <v>1</v>
      </c>
      <c r="G236" s="73">
        <f t="shared" si="43"/>
        <v>40</v>
      </c>
      <c r="H236" s="73">
        <f t="shared" si="41"/>
        <v>40</v>
      </c>
      <c r="I236" s="73">
        <f t="shared" si="42"/>
        <v>39.159999999999997</v>
      </c>
      <c r="J236" s="72" t="s">
        <v>866</v>
      </c>
      <c r="K236" s="74"/>
      <c r="M236" s="79" t="s">
        <v>18</v>
      </c>
      <c r="N236" s="76">
        <f t="shared" si="40"/>
        <v>16</v>
      </c>
      <c r="O236" s="76">
        <f>N236*F236</f>
        <v>16</v>
      </c>
      <c r="P236" s="81" t="s">
        <v>56</v>
      </c>
    </row>
    <row r="237" spans="1:16" x14ac:dyDescent="0.25">
      <c r="A237" s="95">
        <v>45624</v>
      </c>
      <c r="B237" s="72" t="s">
        <v>772</v>
      </c>
      <c r="C237" s="72" t="s">
        <v>8</v>
      </c>
      <c r="D237" s="72" t="s">
        <v>37</v>
      </c>
      <c r="E237" s="72" t="s">
        <v>56</v>
      </c>
      <c r="F237" s="72">
        <v>1</v>
      </c>
      <c r="G237" s="73">
        <f t="shared" si="43"/>
        <v>7</v>
      </c>
      <c r="H237" s="73">
        <f t="shared" si="41"/>
        <v>7</v>
      </c>
      <c r="I237" s="73">
        <f t="shared" si="42"/>
        <v>6.8529999999999998</v>
      </c>
      <c r="J237" s="72" t="s">
        <v>866</v>
      </c>
      <c r="K237" s="74"/>
      <c r="M237" s="79" t="s">
        <v>37</v>
      </c>
      <c r="N237" s="76">
        <f t="shared" si="40"/>
        <v>0.70000000000000007</v>
      </c>
      <c r="O237" s="76">
        <f>N237*F237</f>
        <v>0.70000000000000007</v>
      </c>
      <c r="P237" s="81" t="s">
        <v>56</v>
      </c>
    </row>
    <row r="238" spans="1:16" x14ac:dyDescent="0.25">
      <c r="A238" s="95">
        <v>45624</v>
      </c>
      <c r="B238" s="72" t="s">
        <v>723</v>
      </c>
      <c r="C238" s="72" t="s">
        <v>8</v>
      </c>
      <c r="D238" s="72" t="s">
        <v>15</v>
      </c>
      <c r="E238" s="72" t="s">
        <v>82</v>
      </c>
      <c r="F238" s="72">
        <v>1</v>
      </c>
      <c r="G238" s="73">
        <f t="shared" si="43"/>
        <v>70</v>
      </c>
      <c r="H238" s="73">
        <f t="shared" si="41"/>
        <v>70</v>
      </c>
      <c r="I238" s="73">
        <f t="shared" si="42"/>
        <v>70</v>
      </c>
      <c r="J238" s="72" t="s">
        <v>83</v>
      </c>
      <c r="K238" s="74"/>
      <c r="M238" s="79"/>
      <c r="N238" s="76" t="e">
        <f t="shared" si="40"/>
        <v>#N/A</v>
      </c>
      <c r="O238" s="76"/>
      <c r="P238" s="81"/>
    </row>
    <row r="239" spans="1:16" x14ac:dyDescent="0.25">
      <c r="A239" s="95">
        <v>45624</v>
      </c>
      <c r="B239" s="72" t="s">
        <v>545</v>
      </c>
      <c r="C239" s="72" t="s">
        <v>8</v>
      </c>
      <c r="D239" s="72" t="s">
        <v>15</v>
      </c>
      <c r="E239" s="72" t="s">
        <v>82</v>
      </c>
      <c r="F239" s="72">
        <v>1</v>
      </c>
      <c r="G239" s="73">
        <f t="shared" si="43"/>
        <v>70</v>
      </c>
      <c r="H239" s="73">
        <f t="shared" ref="H239:H270" si="44">F239*G239</f>
        <v>70</v>
      </c>
      <c r="I239" s="73">
        <f t="shared" ref="I239:I270" si="45">IF(J239="Master Debito",H239-(H239*$AC$5),IF(J239="Master Credito",H239-(H239*$AC$6), IF(J239="Visa Debito",H239-(H239*$AC$7), IF(J239="Visa Credito", H239-(H239*$AC$8), IF(J239="Elo Debito", H239-(H239*$AC$9), IF(J239="Elo Credito", H239-(H239*$AC$10), IF(J239="Pix", H239-(H239*$AC$11), IF(J239="Dinheiro (R$)", H239-(H239*$AC$12)))))))))</f>
        <v>70</v>
      </c>
      <c r="J239" s="72" t="s">
        <v>83</v>
      </c>
      <c r="K239" s="74"/>
      <c r="M239" s="79"/>
      <c r="N239" s="76" t="e">
        <f t="shared" si="40"/>
        <v>#N/A</v>
      </c>
      <c r="O239" s="76"/>
      <c r="P239" s="81"/>
    </row>
    <row r="240" spans="1:16" x14ac:dyDescent="0.25">
      <c r="A240" s="95">
        <v>45624</v>
      </c>
      <c r="B240" s="72" t="s">
        <v>736</v>
      </c>
      <c r="C240" s="72" t="s">
        <v>8</v>
      </c>
      <c r="D240" s="72" t="s">
        <v>16</v>
      </c>
      <c r="E240" s="72" t="s">
        <v>56</v>
      </c>
      <c r="F240" s="72">
        <v>1</v>
      </c>
      <c r="G240" s="73">
        <f t="shared" si="43"/>
        <v>80</v>
      </c>
      <c r="H240" s="73">
        <f t="shared" si="44"/>
        <v>80</v>
      </c>
      <c r="I240" s="73">
        <f t="shared" si="45"/>
        <v>80</v>
      </c>
      <c r="J240" s="72" t="s">
        <v>83</v>
      </c>
      <c r="K240" s="74"/>
      <c r="M240" s="79" t="s">
        <v>16</v>
      </c>
      <c r="N240" s="76">
        <f t="shared" si="40"/>
        <v>32</v>
      </c>
      <c r="O240" s="76">
        <f>N240*F240</f>
        <v>32</v>
      </c>
      <c r="P240" s="81" t="s">
        <v>56</v>
      </c>
    </row>
    <row r="241" spans="1:17" x14ac:dyDescent="0.25">
      <c r="A241" s="95">
        <v>45624</v>
      </c>
      <c r="B241" s="72" t="s">
        <v>822</v>
      </c>
      <c r="C241" s="72" t="s">
        <v>8</v>
      </c>
      <c r="D241" s="72" t="s">
        <v>18</v>
      </c>
      <c r="E241" s="72" t="s">
        <v>56</v>
      </c>
      <c r="F241" s="72">
        <v>1</v>
      </c>
      <c r="G241" s="73">
        <f t="shared" si="43"/>
        <v>40</v>
      </c>
      <c r="H241" s="73">
        <f t="shared" si="44"/>
        <v>40</v>
      </c>
      <c r="I241" s="73">
        <f t="shared" si="45"/>
        <v>40</v>
      </c>
      <c r="J241" s="72" t="s">
        <v>83</v>
      </c>
      <c r="K241" s="74"/>
      <c r="M241" s="79" t="s">
        <v>18</v>
      </c>
      <c r="N241" s="76">
        <f t="shared" si="40"/>
        <v>16</v>
      </c>
      <c r="O241" s="76">
        <f>N241*F241</f>
        <v>16</v>
      </c>
      <c r="P241" s="81" t="s">
        <v>56</v>
      </c>
      <c r="Q241" s="106"/>
    </row>
    <row r="242" spans="1:17" x14ac:dyDescent="0.25">
      <c r="A242" s="95">
        <v>45624</v>
      </c>
      <c r="B242" s="72" t="s">
        <v>702</v>
      </c>
      <c r="C242" s="72" t="s">
        <v>8</v>
      </c>
      <c r="D242" s="72" t="s">
        <v>17</v>
      </c>
      <c r="E242" s="72" t="s">
        <v>56</v>
      </c>
      <c r="F242" s="72">
        <v>1</v>
      </c>
      <c r="G242" s="73">
        <f t="shared" si="43"/>
        <v>50</v>
      </c>
      <c r="H242" s="73">
        <f t="shared" si="44"/>
        <v>50</v>
      </c>
      <c r="I242" s="73">
        <f t="shared" si="45"/>
        <v>50</v>
      </c>
      <c r="J242" s="72" t="s">
        <v>79</v>
      </c>
      <c r="K242" s="74"/>
      <c r="M242" s="79" t="s">
        <v>17</v>
      </c>
      <c r="N242" s="76">
        <f t="shared" si="40"/>
        <v>20</v>
      </c>
      <c r="O242" s="76">
        <f>N242*F242</f>
        <v>20</v>
      </c>
      <c r="P242" s="81" t="s">
        <v>56</v>
      </c>
    </row>
    <row r="243" spans="1:17" x14ac:dyDescent="0.25">
      <c r="A243" s="95">
        <v>45624</v>
      </c>
      <c r="B243" s="72" t="s">
        <v>504</v>
      </c>
      <c r="C243" s="72" t="s">
        <v>9</v>
      </c>
      <c r="D243" s="72" t="s">
        <v>18</v>
      </c>
      <c r="E243" s="72" t="s">
        <v>82</v>
      </c>
      <c r="F243" s="72">
        <v>1</v>
      </c>
      <c r="G243" s="73">
        <f t="shared" si="43"/>
        <v>40</v>
      </c>
      <c r="H243" s="73">
        <f t="shared" si="44"/>
        <v>40</v>
      </c>
      <c r="I243" s="73">
        <f t="shared" si="45"/>
        <v>39.159999999999997</v>
      </c>
      <c r="J243" s="72" t="s">
        <v>866</v>
      </c>
      <c r="K243" s="74"/>
      <c r="M243" s="79"/>
      <c r="N243" s="76" t="e">
        <f t="shared" si="40"/>
        <v>#N/A</v>
      </c>
      <c r="O243" s="76"/>
      <c r="P243" s="81"/>
    </row>
    <row r="244" spans="1:17" x14ac:dyDescent="0.25">
      <c r="A244" s="95">
        <v>45624</v>
      </c>
      <c r="B244" s="72" t="s">
        <v>504</v>
      </c>
      <c r="C244" s="72" t="s">
        <v>9</v>
      </c>
      <c r="D244" s="72" t="s">
        <v>36</v>
      </c>
      <c r="E244" s="72" t="s">
        <v>82</v>
      </c>
      <c r="F244" s="72">
        <v>1</v>
      </c>
      <c r="G244" s="73">
        <f t="shared" si="43"/>
        <v>30</v>
      </c>
      <c r="H244" s="73">
        <f t="shared" si="44"/>
        <v>30</v>
      </c>
      <c r="I244" s="73">
        <f t="shared" si="45"/>
        <v>29.37</v>
      </c>
      <c r="J244" s="72" t="s">
        <v>866</v>
      </c>
      <c r="K244" s="74"/>
      <c r="M244" s="79"/>
      <c r="N244" s="76" t="e">
        <f t="shared" si="40"/>
        <v>#N/A</v>
      </c>
      <c r="O244" s="76"/>
      <c r="P244" s="81"/>
    </row>
    <row r="245" spans="1:17" x14ac:dyDescent="0.25">
      <c r="A245" s="95">
        <v>45625</v>
      </c>
      <c r="B245" s="72" t="s">
        <v>508</v>
      </c>
      <c r="C245" s="72" t="s">
        <v>8</v>
      </c>
      <c r="D245" s="72" t="s">
        <v>15</v>
      </c>
      <c r="E245" s="72" t="s">
        <v>56</v>
      </c>
      <c r="F245" s="72">
        <v>1</v>
      </c>
      <c r="G245" s="73">
        <f t="shared" si="43"/>
        <v>70</v>
      </c>
      <c r="H245" s="73">
        <f t="shared" si="44"/>
        <v>70</v>
      </c>
      <c r="I245" s="73">
        <f t="shared" si="45"/>
        <v>68.319999999999993</v>
      </c>
      <c r="J245" s="72" t="s">
        <v>869</v>
      </c>
      <c r="K245" s="74"/>
      <c r="M245" s="79" t="s">
        <v>15</v>
      </c>
      <c r="N245" s="76">
        <f t="shared" si="40"/>
        <v>28</v>
      </c>
      <c r="O245" s="76">
        <f>N245*F245</f>
        <v>28</v>
      </c>
      <c r="P245" s="81" t="s">
        <v>56</v>
      </c>
    </row>
    <row r="246" spans="1:17" x14ac:dyDescent="0.25">
      <c r="A246" s="95">
        <v>45625</v>
      </c>
      <c r="B246" s="72" t="s">
        <v>839</v>
      </c>
      <c r="C246" s="72" t="s">
        <v>8</v>
      </c>
      <c r="D246" s="72" t="s">
        <v>18</v>
      </c>
      <c r="E246" s="72" t="s">
        <v>56</v>
      </c>
      <c r="F246" s="72">
        <v>1</v>
      </c>
      <c r="G246" s="73">
        <f t="shared" si="43"/>
        <v>40</v>
      </c>
      <c r="H246" s="73">
        <f t="shared" si="44"/>
        <v>40</v>
      </c>
      <c r="I246" s="73">
        <f t="shared" si="45"/>
        <v>38.14</v>
      </c>
      <c r="J246" s="72" t="s">
        <v>865</v>
      </c>
      <c r="K246" s="74"/>
      <c r="M246" s="79" t="s">
        <v>18</v>
      </c>
      <c r="N246" s="76">
        <f t="shared" si="40"/>
        <v>16</v>
      </c>
      <c r="O246" s="76">
        <f>N246*F246</f>
        <v>16</v>
      </c>
      <c r="P246" s="81" t="s">
        <v>56</v>
      </c>
    </row>
    <row r="247" spans="1:17" x14ac:dyDescent="0.25">
      <c r="A247" s="95">
        <v>45625</v>
      </c>
      <c r="B247" s="72" t="s">
        <v>839</v>
      </c>
      <c r="C247" s="72" t="s">
        <v>8</v>
      </c>
      <c r="D247" s="72" t="s">
        <v>64</v>
      </c>
      <c r="E247" s="72" t="s">
        <v>56</v>
      </c>
      <c r="F247" s="72">
        <v>1</v>
      </c>
      <c r="G247" s="73">
        <v>15</v>
      </c>
      <c r="H247" s="73">
        <f t="shared" si="44"/>
        <v>15</v>
      </c>
      <c r="I247" s="73">
        <f t="shared" si="45"/>
        <v>14.3025</v>
      </c>
      <c r="J247" s="72" t="s">
        <v>865</v>
      </c>
      <c r="K247" s="74"/>
      <c r="M247" s="79" t="s">
        <v>64</v>
      </c>
      <c r="N247" s="76">
        <f>G247*0.1</f>
        <v>1.5</v>
      </c>
      <c r="O247" s="76">
        <f>N247*F247</f>
        <v>1.5</v>
      </c>
      <c r="P247" s="81" t="s">
        <v>56</v>
      </c>
    </row>
    <row r="248" spans="1:17" x14ac:dyDescent="0.25">
      <c r="A248" s="95">
        <v>45625</v>
      </c>
      <c r="B248" s="72" t="s">
        <v>835</v>
      </c>
      <c r="C248" s="72" t="s">
        <v>10</v>
      </c>
      <c r="D248" s="72" t="s">
        <v>17</v>
      </c>
      <c r="E248" s="72" t="s">
        <v>56</v>
      </c>
      <c r="F248" s="72">
        <v>1</v>
      </c>
      <c r="G248" s="73">
        <f t="shared" ref="G248:G256" si="46">VLOOKUP(D248,$S$3:$T$70,2,0)</f>
        <v>50</v>
      </c>
      <c r="H248" s="73">
        <f t="shared" si="44"/>
        <v>50</v>
      </c>
      <c r="I248" s="73">
        <f t="shared" si="45"/>
        <v>48.95</v>
      </c>
      <c r="J248" s="72" t="s">
        <v>866</v>
      </c>
      <c r="K248" s="74"/>
      <c r="M248" s="79" t="s">
        <v>17</v>
      </c>
      <c r="N248" s="76">
        <f t="shared" ref="N248:N264" si="47">VLOOKUP(M248,$S$3:$U$70,3,0)</f>
        <v>20</v>
      </c>
      <c r="O248" s="76">
        <f>N248*F248</f>
        <v>20</v>
      </c>
      <c r="P248" s="81" t="s">
        <v>56</v>
      </c>
    </row>
    <row r="249" spans="1:17" x14ac:dyDescent="0.25">
      <c r="A249" s="95">
        <v>45625</v>
      </c>
      <c r="B249" s="72" t="s">
        <v>554</v>
      </c>
      <c r="C249" s="72" t="s">
        <v>8</v>
      </c>
      <c r="D249" s="72" t="s">
        <v>22</v>
      </c>
      <c r="E249" s="72" t="s">
        <v>82</v>
      </c>
      <c r="F249" s="72">
        <v>1</v>
      </c>
      <c r="G249" s="73">
        <f t="shared" si="46"/>
        <v>30</v>
      </c>
      <c r="H249" s="73">
        <f t="shared" si="44"/>
        <v>30</v>
      </c>
      <c r="I249" s="73">
        <f t="shared" si="45"/>
        <v>30</v>
      </c>
      <c r="J249" s="72" t="s">
        <v>83</v>
      </c>
      <c r="K249" s="74"/>
      <c r="M249" s="79"/>
      <c r="N249" s="76" t="e">
        <f t="shared" si="47"/>
        <v>#N/A</v>
      </c>
      <c r="O249" s="76"/>
      <c r="P249" s="81"/>
    </row>
    <row r="250" spans="1:17" x14ac:dyDescent="0.25">
      <c r="A250" s="95">
        <v>45625</v>
      </c>
      <c r="B250" s="72" t="s">
        <v>244</v>
      </c>
      <c r="C250" s="72" t="s">
        <v>8</v>
      </c>
      <c r="D250" s="72" t="s">
        <v>22</v>
      </c>
      <c r="E250" s="72" t="s">
        <v>82</v>
      </c>
      <c r="F250" s="72">
        <v>1</v>
      </c>
      <c r="G250" s="73">
        <f t="shared" si="46"/>
        <v>30</v>
      </c>
      <c r="H250" s="73">
        <f t="shared" si="44"/>
        <v>30</v>
      </c>
      <c r="I250" s="73">
        <f t="shared" si="45"/>
        <v>30</v>
      </c>
      <c r="J250" s="72" t="s">
        <v>83</v>
      </c>
      <c r="K250" s="74"/>
      <c r="M250" s="79"/>
      <c r="N250" s="76" t="e">
        <f t="shared" si="47"/>
        <v>#N/A</v>
      </c>
      <c r="O250" s="76"/>
      <c r="P250" s="81"/>
    </row>
    <row r="251" spans="1:17" x14ac:dyDescent="0.25">
      <c r="A251" s="95">
        <v>45625</v>
      </c>
      <c r="B251" s="72" t="s">
        <v>301</v>
      </c>
      <c r="C251" s="72" t="s">
        <v>8</v>
      </c>
      <c r="D251" s="72" t="s">
        <v>16</v>
      </c>
      <c r="E251" s="72" t="s">
        <v>82</v>
      </c>
      <c r="F251" s="72">
        <v>1</v>
      </c>
      <c r="G251" s="73">
        <f t="shared" si="46"/>
        <v>80</v>
      </c>
      <c r="H251" s="73">
        <f t="shared" si="44"/>
        <v>80</v>
      </c>
      <c r="I251" s="73">
        <f t="shared" si="45"/>
        <v>76.28</v>
      </c>
      <c r="J251" s="72" t="s">
        <v>865</v>
      </c>
      <c r="K251" s="74"/>
      <c r="M251" s="79"/>
      <c r="N251" s="76" t="e">
        <f t="shared" si="47"/>
        <v>#N/A</v>
      </c>
      <c r="O251" s="76"/>
      <c r="P251" s="81"/>
    </row>
    <row r="252" spans="1:17" x14ac:dyDescent="0.25">
      <c r="A252" s="95">
        <v>45625</v>
      </c>
      <c r="B252" s="72" t="s">
        <v>301</v>
      </c>
      <c r="C252" s="72" t="s">
        <v>8</v>
      </c>
      <c r="D252" s="72" t="s">
        <v>23</v>
      </c>
      <c r="E252" s="72" t="s">
        <v>82</v>
      </c>
      <c r="F252" s="72">
        <v>1</v>
      </c>
      <c r="G252" s="73">
        <f t="shared" si="46"/>
        <v>5</v>
      </c>
      <c r="H252" s="73">
        <f t="shared" si="44"/>
        <v>5</v>
      </c>
      <c r="I252" s="73">
        <f t="shared" si="45"/>
        <v>4.7675000000000001</v>
      </c>
      <c r="J252" s="72" t="s">
        <v>865</v>
      </c>
      <c r="K252" s="74"/>
      <c r="M252" s="79"/>
      <c r="N252" s="76" t="e">
        <f t="shared" si="47"/>
        <v>#N/A</v>
      </c>
      <c r="O252" s="76"/>
      <c r="P252" s="81"/>
    </row>
    <row r="253" spans="1:17" x14ac:dyDescent="0.25">
      <c r="A253" s="95">
        <v>45625</v>
      </c>
      <c r="B253" s="72" t="s">
        <v>586</v>
      </c>
      <c r="C253" s="72" t="s">
        <v>8</v>
      </c>
      <c r="D253" s="72" t="s">
        <v>17</v>
      </c>
      <c r="E253" s="72" t="s">
        <v>82</v>
      </c>
      <c r="F253" s="72">
        <v>1</v>
      </c>
      <c r="G253" s="73">
        <f t="shared" si="46"/>
        <v>50</v>
      </c>
      <c r="H253" s="73">
        <f t="shared" si="44"/>
        <v>50</v>
      </c>
      <c r="I253" s="73">
        <f t="shared" si="45"/>
        <v>47.612499999999997</v>
      </c>
      <c r="J253" s="72" t="s">
        <v>870</v>
      </c>
      <c r="K253" s="74"/>
      <c r="M253" s="79"/>
      <c r="N253" s="76" t="e">
        <f t="shared" si="47"/>
        <v>#N/A</v>
      </c>
      <c r="O253" s="76"/>
      <c r="P253" s="81"/>
    </row>
    <row r="254" spans="1:17" x14ac:dyDescent="0.25">
      <c r="A254" s="95">
        <v>45625</v>
      </c>
      <c r="B254" s="72" t="s">
        <v>906</v>
      </c>
      <c r="C254" s="72" t="s">
        <v>8</v>
      </c>
      <c r="D254" s="72" t="s">
        <v>17</v>
      </c>
      <c r="E254" s="72" t="s">
        <v>82</v>
      </c>
      <c r="F254" s="72">
        <v>1</v>
      </c>
      <c r="G254" s="73">
        <f t="shared" si="46"/>
        <v>50</v>
      </c>
      <c r="H254" s="73">
        <f t="shared" si="44"/>
        <v>50</v>
      </c>
      <c r="I254" s="73">
        <f t="shared" si="45"/>
        <v>50</v>
      </c>
      <c r="J254" s="72" t="s">
        <v>83</v>
      </c>
      <c r="K254" s="74"/>
      <c r="M254" s="79"/>
      <c r="N254" s="76" t="e">
        <f t="shared" si="47"/>
        <v>#N/A</v>
      </c>
      <c r="O254" s="76"/>
      <c r="P254" s="81"/>
    </row>
    <row r="255" spans="1:17" x14ac:dyDescent="0.25">
      <c r="A255" s="95">
        <v>45625</v>
      </c>
      <c r="B255" s="72" t="s">
        <v>547</v>
      </c>
      <c r="C255" s="72" t="s">
        <v>8</v>
      </c>
      <c r="D255" s="72" t="s">
        <v>18</v>
      </c>
      <c r="E255" s="72" t="s">
        <v>82</v>
      </c>
      <c r="F255" s="72">
        <v>1</v>
      </c>
      <c r="G255" s="73">
        <f t="shared" si="46"/>
        <v>40</v>
      </c>
      <c r="H255" s="73">
        <f t="shared" si="44"/>
        <v>40</v>
      </c>
      <c r="I255" s="73">
        <f t="shared" si="45"/>
        <v>40</v>
      </c>
      <c r="J255" s="72" t="s">
        <v>83</v>
      </c>
      <c r="K255" s="74"/>
      <c r="M255" s="79"/>
      <c r="N255" s="76" t="e">
        <f t="shared" si="47"/>
        <v>#N/A</v>
      </c>
      <c r="O255" s="76"/>
      <c r="P255" s="81"/>
    </row>
    <row r="256" spans="1:17" x14ac:dyDescent="0.25">
      <c r="A256" s="95">
        <v>45625</v>
      </c>
      <c r="B256" s="72" t="s">
        <v>547</v>
      </c>
      <c r="C256" s="72" t="s">
        <v>8</v>
      </c>
      <c r="D256" s="72" t="s">
        <v>20</v>
      </c>
      <c r="E256" s="72" t="s">
        <v>82</v>
      </c>
      <c r="F256" s="72">
        <v>1</v>
      </c>
      <c r="G256" s="73">
        <f t="shared" si="46"/>
        <v>15</v>
      </c>
      <c r="H256" s="73">
        <f t="shared" si="44"/>
        <v>15</v>
      </c>
      <c r="I256" s="73">
        <f t="shared" si="45"/>
        <v>15</v>
      </c>
      <c r="J256" s="72" t="s">
        <v>83</v>
      </c>
      <c r="K256" s="74"/>
      <c r="M256" s="79"/>
      <c r="N256" s="76" t="e">
        <f t="shared" si="47"/>
        <v>#N/A</v>
      </c>
      <c r="O256" s="76"/>
      <c r="P256" s="81"/>
    </row>
    <row r="257" spans="1:17" x14ac:dyDescent="0.25">
      <c r="A257" s="95">
        <v>45625</v>
      </c>
      <c r="B257" s="72" t="s">
        <v>547</v>
      </c>
      <c r="C257" s="72" t="s">
        <v>8</v>
      </c>
      <c r="D257" s="72" t="s">
        <v>64</v>
      </c>
      <c r="E257" s="72" t="s">
        <v>82</v>
      </c>
      <c r="F257" s="72">
        <v>1</v>
      </c>
      <c r="G257" s="73">
        <v>15</v>
      </c>
      <c r="H257" s="73">
        <f t="shared" si="44"/>
        <v>15</v>
      </c>
      <c r="I257" s="73">
        <f t="shared" si="45"/>
        <v>15</v>
      </c>
      <c r="J257" s="72" t="s">
        <v>83</v>
      </c>
      <c r="K257" s="74"/>
      <c r="M257" s="79"/>
      <c r="N257" s="76" t="e">
        <f t="shared" si="47"/>
        <v>#N/A</v>
      </c>
      <c r="O257" s="76"/>
      <c r="P257" s="81"/>
      <c r="Q257" s="106"/>
    </row>
    <row r="258" spans="1:17" x14ac:dyDescent="0.25">
      <c r="A258" s="95">
        <v>45625</v>
      </c>
      <c r="B258" s="72" t="s">
        <v>907</v>
      </c>
      <c r="C258" s="72" t="s">
        <v>8</v>
      </c>
      <c r="D258" s="72" t="s">
        <v>21</v>
      </c>
      <c r="E258" s="72" t="s">
        <v>82</v>
      </c>
      <c r="F258" s="72">
        <v>2</v>
      </c>
      <c r="G258" s="73">
        <f t="shared" ref="G258:G264" si="48">VLOOKUP(D258,$S$3:$T$70,2,0)</f>
        <v>10</v>
      </c>
      <c r="H258" s="73">
        <f t="shared" si="44"/>
        <v>20</v>
      </c>
      <c r="I258" s="73">
        <f t="shared" si="45"/>
        <v>20</v>
      </c>
      <c r="J258" s="72" t="s">
        <v>83</v>
      </c>
      <c r="K258" s="74"/>
      <c r="M258" s="79"/>
      <c r="N258" s="76" t="e">
        <f t="shared" si="47"/>
        <v>#N/A</v>
      </c>
      <c r="O258" s="76"/>
      <c r="P258" s="81"/>
    </row>
    <row r="259" spans="1:17" x14ac:dyDescent="0.25">
      <c r="A259" s="95">
        <v>45625</v>
      </c>
      <c r="B259" s="72" t="s">
        <v>568</v>
      </c>
      <c r="C259" s="72" t="s">
        <v>8</v>
      </c>
      <c r="D259" s="72" t="s">
        <v>18</v>
      </c>
      <c r="E259" s="72" t="s">
        <v>82</v>
      </c>
      <c r="F259" s="72">
        <v>1</v>
      </c>
      <c r="G259" s="73">
        <f t="shared" si="48"/>
        <v>40</v>
      </c>
      <c r="H259" s="73">
        <f t="shared" si="44"/>
        <v>40</v>
      </c>
      <c r="I259" s="73">
        <f t="shared" si="45"/>
        <v>40</v>
      </c>
      <c r="J259" s="72" t="s">
        <v>83</v>
      </c>
      <c r="K259" s="74"/>
      <c r="M259" s="79"/>
      <c r="N259" s="76" t="e">
        <f t="shared" si="47"/>
        <v>#N/A</v>
      </c>
      <c r="O259" s="76"/>
      <c r="P259" s="81"/>
    </row>
    <row r="260" spans="1:17" x14ac:dyDescent="0.25">
      <c r="A260" s="95">
        <v>45625</v>
      </c>
      <c r="B260" s="72" t="s">
        <v>843</v>
      </c>
      <c r="C260" s="72" t="s">
        <v>8</v>
      </c>
      <c r="D260" s="72" t="s">
        <v>17</v>
      </c>
      <c r="E260" s="72" t="s">
        <v>56</v>
      </c>
      <c r="F260" s="72">
        <v>1</v>
      </c>
      <c r="G260" s="73">
        <f t="shared" si="48"/>
        <v>50</v>
      </c>
      <c r="H260" s="73">
        <f t="shared" si="44"/>
        <v>50</v>
      </c>
      <c r="I260" s="73">
        <f t="shared" si="45"/>
        <v>50</v>
      </c>
      <c r="J260" s="72" t="s">
        <v>83</v>
      </c>
      <c r="K260" s="74"/>
      <c r="M260" s="79" t="s">
        <v>17</v>
      </c>
      <c r="N260" s="76">
        <f t="shared" si="47"/>
        <v>20</v>
      </c>
      <c r="O260" s="76">
        <f t="shared" ref="O260:O267" si="49">N260*F260</f>
        <v>20</v>
      </c>
      <c r="P260" s="81" t="s">
        <v>56</v>
      </c>
    </row>
    <row r="261" spans="1:17" x14ac:dyDescent="0.25">
      <c r="A261" s="95">
        <v>45625</v>
      </c>
      <c r="B261" s="72" t="s">
        <v>204</v>
      </c>
      <c r="C261" s="72" t="s">
        <v>8</v>
      </c>
      <c r="D261" s="72" t="s">
        <v>17</v>
      </c>
      <c r="E261" s="72" t="s">
        <v>56</v>
      </c>
      <c r="F261" s="72">
        <v>1</v>
      </c>
      <c r="G261" s="73">
        <f t="shared" si="48"/>
        <v>50</v>
      </c>
      <c r="H261" s="73">
        <f t="shared" si="44"/>
        <v>50</v>
      </c>
      <c r="I261" s="73">
        <f t="shared" si="45"/>
        <v>50</v>
      </c>
      <c r="J261" s="72" t="s">
        <v>79</v>
      </c>
      <c r="K261" s="74"/>
      <c r="M261" s="79" t="s">
        <v>17</v>
      </c>
      <c r="N261" s="76">
        <f t="shared" si="47"/>
        <v>20</v>
      </c>
      <c r="O261" s="76">
        <f t="shared" si="49"/>
        <v>20</v>
      </c>
      <c r="P261" s="81" t="s">
        <v>56</v>
      </c>
    </row>
    <row r="262" spans="1:17" x14ac:dyDescent="0.25">
      <c r="A262" s="95">
        <v>45625</v>
      </c>
      <c r="B262" s="72" t="s">
        <v>198</v>
      </c>
      <c r="C262" s="72" t="s">
        <v>10</v>
      </c>
      <c r="D262" s="72" t="s">
        <v>18</v>
      </c>
      <c r="E262" s="72" t="s">
        <v>56</v>
      </c>
      <c r="F262" s="72">
        <v>2</v>
      </c>
      <c r="G262" s="73">
        <f t="shared" si="48"/>
        <v>40</v>
      </c>
      <c r="H262" s="73">
        <f t="shared" si="44"/>
        <v>80</v>
      </c>
      <c r="I262" s="73">
        <f t="shared" si="45"/>
        <v>78.319999999999993</v>
      </c>
      <c r="J262" s="72" t="s">
        <v>866</v>
      </c>
      <c r="K262" s="74"/>
      <c r="M262" s="79" t="s">
        <v>18</v>
      </c>
      <c r="N262" s="76">
        <f t="shared" si="47"/>
        <v>16</v>
      </c>
      <c r="O262" s="76">
        <f t="shared" si="49"/>
        <v>32</v>
      </c>
      <c r="P262" s="81" t="s">
        <v>56</v>
      </c>
    </row>
    <row r="263" spans="1:17" x14ac:dyDescent="0.25">
      <c r="A263" s="95">
        <v>45625</v>
      </c>
      <c r="B263" s="72" t="s">
        <v>511</v>
      </c>
      <c r="C263" s="72" t="s">
        <v>8</v>
      </c>
      <c r="D263" s="72" t="s">
        <v>13</v>
      </c>
      <c r="E263" s="72" t="s">
        <v>56</v>
      </c>
      <c r="F263" s="72">
        <v>1</v>
      </c>
      <c r="G263" s="73">
        <f t="shared" si="48"/>
        <v>30</v>
      </c>
      <c r="H263" s="73">
        <f t="shared" si="44"/>
        <v>30</v>
      </c>
      <c r="I263" s="73">
        <f t="shared" si="45"/>
        <v>30</v>
      </c>
      <c r="J263" s="72" t="s">
        <v>83</v>
      </c>
      <c r="K263" s="74"/>
      <c r="M263" s="79" t="s">
        <v>13</v>
      </c>
      <c r="N263" s="76">
        <f t="shared" si="47"/>
        <v>12</v>
      </c>
      <c r="O263" s="76">
        <f t="shared" si="49"/>
        <v>12</v>
      </c>
      <c r="P263" s="81" t="s">
        <v>56</v>
      </c>
    </row>
    <row r="264" spans="1:17" x14ac:dyDescent="0.25">
      <c r="A264" s="95">
        <v>45625</v>
      </c>
      <c r="B264" s="72" t="s">
        <v>511</v>
      </c>
      <c r="C264" s="72" t="s">
        <v>8</v>
      </c>
      <c r="D264" s="72" t="s">
        <v>24</v>
      </c>
      <c r="E264" s="72" t="s">
        <v>56</v>
      </c>
      <c r="F264" s="72">
        <v>1</v>
      </c>
      <c r="G264" s="73">
        <f t="shared" si="48"/>
        <v>10</v>
      </c>
      <c r="H264" s="73">
        <f t="shared" si="44"/>
        <v>10</v>
      </c>
      <c r="I264" s="73">
        <f t="shared" si="45"/>
        <v>10</v>
      </c>
      <c r="J264" s="72" t="s">
        <v>83</v>
      </c>
      <c r="K264" s="74"/>
      <c r="M264" s="79" t="s">
        <v>24</v>
      </c>
      <c r="N264" s="76">
        <f t="shared" si="47"/>
        <v>4</v>
      </c>
      <c r="O264" s="76">
        <f t="shared" si="49"/>
        <v>4</v>
      </c>
      <c r="P264" s="81" t="s">
        <v>56</v>
      </c>
    </row>
    <row r="265" spans="1:17" x14ac:dyDescent="0.25">
      <c r="A265" s="95">
        <v>45625</v>
      </c>
      <c r="B265" s="72" t="s">
        <v>908</v>
      </c>
      <c r="C265" s="72" t="s">
        <v>8</v>
      </c>
      <c r="D265" s="72" t="s">
        <v>59</v>
      </c>
      <c r="E265" s="72" t="s">
        <v>56</v>
      </c>
      <c r="F265" s="72">
        <v>2</v>
      </c>
      <c r="G265" s="73">
        <v>30</v>
      </c>
      <c r="H265" s="73">
        <f t="shared" si="44"/>
        <v>60</v>
      </c>
      <c r="I265" s="73">
        <f t="shared" si="45"/>
        <v>58.56</v>
      </c>
      <c r="J265" s="72" t="s">
        <v>869</v>
      </c>
      <c r="K265" s="74"/>
      <c r="M265" s="79" t="s">
        <v>59</v>
      </c>
      <c r="N265" s="76">
        <f>G265*0.1</f>
        <v>3</v>
      </c>
      <c r="O265" s="76">
        <f t="shared" si="49"/>
        <v>6</v>
      </c>
      <c r="P265" s="81" t="s">
        <v>56</v>
      </c>
    </row>
    <row r="266" spans="1:17" x14ac:dyDescent="0.25">
      <c r="A266" s="95">
        <v>45625</v>
      </c>
      <c r="B266" s="72" t="s">
        <v>908</v>
      </c>
      <c r="C266" s="72" t="s">
        <v>8</v>
      </c>
      <c r="D266" s="72" t="s">
        <v>162</v>
      </c>
      <c r="E266" s="72" t="s">
        <v>56</v>
      </c>
      <c r="F266" s="72">
        <v>1</v>
      </c>
      <c r="G266" s="73">
        <v>20</v>
      </c>
      <c r="H266" s="73">
        <f t="shared" si="44"/>
        <v>20</v>
      </c>
      <c r="I266" s="73">
        <f t="shared" si="45"/>
        <v>19.52</v>
      </c>
      <c r="J266" s="72" t="s">
        <v>869</v>
      </c>
      <c r="K266" s="74"/>
      <c r="M266" s="79" t="s">
        <v>162</v>
      </c>
      <c r="N266" s="76">
        <f>VLOOKUP(M266,$S$3:$U$70,3,0)</f>
        <v>0.8</v>
      </c>
      <c r="O266" s="76">
        <f t="shared" si="49"/>
        <v>0.8</v>
      </c>
      <c r="P266" s="81" t="s">
        <v>56</v>
      </c>
    </row>
    <row r="267" spans="1:17" x14ac:dyDescent="0.25">
      <c r="A267" s="95">
        <v>45625</v>
      </c>
      <c r="B267" s="72" t="s">
        <v>908</v>
      </c>
      <c r="C267" s="72" t="s">
        <v>8</v>
      </c>
      <c r="D267" s="72" t="s">
        <v>64</v>
      </c>
      <c r="E267" s="72" t="s">
        <v>56</v>
      </c>
      <c r="F267" s="72">
        <v>1</v>
      </c>
      <c r="G267" s="73">
        <v>15</v>
      </c>
      <c r="H267" s="73">
        <f t="shared" si="44"/>
        <v>15</v>
      </c>
      <c r="I267" s="73">
        <f t="shared" si="45"/>
        <v>14.64</v>
      </c>
      <c r="J267" s="72" t="s">
        <v>869</v>
      </c>
      <c r="K267" s="74"/>
      <c r="M267" s="79" t="s">
        <v>64</v>
      </c>
      <c r="N267" s="76">
        <f>G267*0.1</f>
        <v>1.5</v>
      </c>
      <c r="O267" s="76">
        <f t="shared" si="49"/>
        <v>1.5</v>
      </c>
      <c r="P267" s="81" t="s">
        <v>56</v>
      </c>
    </row>
    <row r="268" spans="1:17" x14ac:dyDescent="0.25">
      <c r="A268" s="95">
        <v>45625</v>
      </c>
      <c r="B268" s="72" t="s">
        <v>548</v>
      </c>
      <c r="C268" s="72" t="s">
        <v>8</v>
      </c>
      <c r="D268" s="72" t="s">
        <v>13</v>
      </c>
      <c r="E268" s="72" t="s">
        <v>82</v>
      </c>
      <c r="F268" s="72">
        <v>1</v>
      </c>
      <c r="G268" s="73">
        <f>VLOOKUP(D268,$S$3:$T$70,2,0)</f>
        <v>30</v>
      </c>
      <c r="H268" s="73">
        <f t="shared" si="44"/>
        <v>30</v>
      </c>
      <c r="I268" s="73">
        <f t="shared" si="45"/>
        <v>30</v>
      </c>
      <c r="J268" s="72" t="s">
        <v>83</v>
      </c>
      <c r="K268" s="74"/>
      <c r="M268" s="79"/>
      <c r="N268" s="76" t="e">
        <f t="shared" ref="N268:N299" si="50">VLOOKUP(M268,$S$3:$U$70,3,0)</f>
        <v>#N/A</v>
      </c>
      <c r="O268" s="76"/>
      <c r="P268" s="81"/>
    </row>
    <row r="269" spans="1:17" x14ac:dyDescent="0.25">
      <c r="A269" s="95">
        <v>45625</v>
      </c>
      <c r="B269" s="72" t="s">
        <v>548</v>
      </c>
      <c r="C269" s="72" t="s">
        <v>8</v>
      </c>
      <c r="D269" s="72" t="s">
        <v>64</v>
      </c>
      <c r="E269" s="72" t="s">
        <v>82</v>
      </c>
      <c r="F269" s="72">
        <v>1</v>
      </c>
      <c r="G269" s="73">
        <v>15</v>
      </c>
      <c r="H269" s="73">
        <f t="shared" si="44"/>
        <v>15</v>
      </c>
      <c r="I269" s="73">
        <f t="shared" si="45"/>
        <v>15</v>
      </c>
      <c r="J269" s="72" t="s">
        <v>83</v>
      </c>
      <c r="K269" s="74"/>
      <c r="M269" s="79"/>
      <c r="N269" s="76" t="e">
        <f t="shared" si="50"/>
        <v>#N/A</v>
      </c>
      <c r="O269" s="76"/>
      <c r="P269" s="81"/>
    </row>
    <row r="270" spans="1:17" x14ac:dyDescent="0.25">
      <c r="A270" s="95">
        <v>45626</v>
      </c>
      <c r="B270" s="72" t="s">
        <v>324</v>
      </c>
      <c r="C270" s="72" t="s">
        <v>10</v>
      </c>
      <c r="D270" s="72" t="s">
        <v>13</v>
      </c>
      <c r="E270" s="72" t="s">
        <v>56</v>
      </c>
      <c r="F270" s="72">
        <v>1</v>
      </c>
      <c r="G270" s="73">
        <f t="shared" ref="G270:G301" si="51">VLOOKUP(D270,$S$3:$T$70,2,0)</f>
        <v>30</v>
      </c>
      <c r="H270" s="73">
        <f t="shared" si="44"/>
        <v>30</v>
      </c>
      <c r="I270" s="73">
        <f t="shared" si="45"/>
        <v>29.28</v>
      </c>
      <c r="J270" s="72" t="s">
        <v>869</v>
      </c>
      <c r="K270" s="74"/>
      <c r="M270" s="79" t="s">
        <v>13</v>
      </c>
      <c r="N270" s="76">
        <f t="shared" si="50"/>
        <v>12</v>
      </c>
      <c r="O270" s="76">
        <f t="shared" ref="O270:O301" si="52">N270*F270</f>
        <v>12</v>
      </c>
      <c r="P270" s="81" t="s">
        <v>56</v>
      </c>
    </row>
    <row r="271" spans="1:17" x14ac:dyDescent="0.25">
      <c r="A271" s="95">
        <v>45626</v>
      </c>
      <c r="B271" s="72" t="s">
        <v>427</v>
      </c>
      <c r="C271" s="72" t="s">
        <v>8</v>
      </c>
      <c r="D271" s="72" t="s">
        <v>17</v>
      </c>
      <c r="E271" s="72" t="s">
        <v>56</v>
      </c>
      <c r="F271" s="72">
        <v>1</v>
      </c>
      <c r="G271" s="73">
        <f t="shared" si="51"/>
        <v>50</v>
      </c>
      <c r="H271" s="73">
        <f t="shared" ref="H271:H302" si="53">F271*G271</f>
        <v>50</v>
      </c>
      <c r="I271" s="73">
        <f t="shared" ref="I271:I302" si="54">IF(J271="Master Debito",H271-(H271*$AC$5),IF(J271="Master Credito",H271-(H271*$AC$6), IF(J271="Visa Debito",H271-(H271*$AC$7), IF(J271="Visa Credito", H271-(H271*$AC$8), IF(J271="Elo Debito", H271-(H271*$AC$9), IF(J271="Elo Credito", H271-(H271*$AC$10), IF(J271="Pix", H271-(H271*$AC$11), IF(J271="Dinheiro (R$)", H271-(H271*$AC$12)))))))))</f>
        <v>50</v>
      </c>
      <c r="J271" s="72" t="s">
        <v>83</v>
      </c>
      <c r="K271" s="74"/>
      <c r="M271" s="79" t="s">
        <v>17</v>
      </c>
      <c r="N271" s="76">
        <f t="shared" si="50"/>
        <v>20</v>
      </c>
      <c r="O271" s="76">
        <f t="shared" si="52"/>
        <v>20</v>
      </c>
      <c r="P271" s="81" t="s">
        <v>56</v>
      </c>
    </row>
    <row r="272" spans="1:17" x14ac:dyDescent="0.25">
      <c r="A272" s="95">
        <v>45626</v>
      </c>
      <c r="B272" s="72" t="s">
        <v>382</v>
      </c>
      <c r="C272" s="72" t="s">
        <v>8</v>
      </c>
      <c r="D272" s="72" t="s">
        <v>19</v>
      </c>
      <c r="E272" s="72" t="s">
        <v>56</v>
      </c>
      <c r="F272" s="72">
        <v>1</v>
      </c>
      <c r="G272" s="73">
        <f t="shared" si="51"/>
        <v>40</v>
      </c>
      <c r="H272" s="73">
        <f t="shared" si="53"/>
        <v>40</v>
      </c>
      <c r="I272" s="73">
        <f t="shared" si="54"/>
        <v>40</v>
      </c>
      <c r="J272" s="72" t="s">
        <v>79</v>
      </c>
      <c r="K272" s="74"/>
      <c r="M272" s="79" t="s">
        <v>19</v>
      </c>
      <c r="N272" s="76">
        <f t="shared" si="50"/>
        <v>16</v>
      </c>
      <c r="O272" s="76">
        <f t="shared" si="52"/>
        <v>16</v>
      </c>
      <c r="P272" s="81" t="s">
        <v>56</v>
      </c>
    </row>
    <row r="273" spans="1:17" x14ac:dyDescent="0.25">
      <c r="A273" s="95">
        <v>45626</v>
      </c>
      <c r="B273" s="72" t="s">
        <v>569</v>
      </c>
      <c r="C273" s="72" t="s">
        <v>8</v>
      </c>
      <c r="D273" s="72" t="s">
        <v>19</v>
      </c>
      <c r="E273" s="72" t="s">
        <v>56</v>
      </c>
      <c r="F273" s="72">
        <v>1</v>
      </c>
      <c r="G273" s="73">
        <f t="shared" si="51"/>
        <v>40</v>
      </c>
      <c r="H273" s="73">
        <f t="shared" si="53"/>
        <v>40</v>
      </c>
      <c r="I273" s="73">
        <f t="shared" si="54"/>
        <v>40</v>
      </c>
      <c r="J273" s="72" t="s">
        <v>79</v>
      </c>
      <c r="K273" s="74"/>
      <c r="M273" s="79" t="s">
        <v>19</v>
      </c>
      <c r="N273" s="76">
        <f t="shared" si="50"/>
        <v>16</v>
      </c>
      <c r="O273" s="76">
        <f t="shared" si="52"/>
        <v>16</v>
      </c>
      <c r="P273" s="81" t="s">
        <v>56</v>
      </c>
    </row>
    <row r="274" spans="1:17" x14ac:dyDescent="0.25">
      <c r="A274" s="95">
        <v>45626</v>
      </c>
      <c r="B274" s="72" t="s">
        <v>581</v>
      </c>
      <c r="C274" s="72" t="s">
        <v>8</v>
      </c>
      <c r="D274" s="72" t="s">
        <v>19</v>
      </c>
      <c r="E274" s="72" t="s">
        <v>56</v>
      </c>
      <c r="F274" s="72">
        <v>1</v>
      </c>
      <c r="G274" s="73">
        <f t="shared" si="51"/>
        <v>40</v>
      </c>
      <c r="H274" s="73">
        <f t="shared" si="53"/>
        <v>40</v>
      </c>
      <c r="I274" s="73">
        <f t="shared" si="54"/>
        <v>40</v>
      </c>
      <c r="J274" s="72" t="s">
        <v>79</v>
      </c>
      <c r="K274" s="74"/>
      <c r="M274" s="79" t="s">
        <v>19</v>
      </c>
      <c r="N274" s="76">
        <f t="shared" si="50"/>
        <v>16</v>
      </c>
      <c r="O274" s="76">
        <f t="shared" si="52"/>
        <v>16</v>
      </c>
      <c r="P274" s="81" t="s">
        <v>56</v>
      </c>
    </row>
    <row r="275" spans="1:17" x14ac:dyDescent="0.25">
      <c r="A275" s="95">
        <v>45626</v>
      </c>
      <c r="B275" s="72" t="s">
        <v>206</v>
      </c>
      <c r="C275" s="72" t="s">
        <v>8</v>
      </c>
      <c r="D275" s="72" t="s">
        <v>17</v>
      </c>
      <c r="E275" s="72" t="s">
        <v>56</v>
      </c>
      <c r="F275" s="72">
        <v>1</v>
      </c>
      <c r="G275" s="73">
        <f t="shared" si="51"/>
        <v>50</v>
      </c>
      <c r="H275" s="73">
        <f t="shared" si="53"/>
        <v>50</v>
      </c>
      <c r="I275" s="73">
        <f t="shared" si="54"/>
        <v>48.95</v>
      </c>
      <c r="J275" s="72" t="s">
        <v>866</v>
      </c>
      <c r="K275" s="74"/>
      <c r="M275" s="79" t="s">
        <v>17</v>
      </c>
      <c r="N275" s="76">
        <f t="shared" si="50"/>
        <v>20</v>
      </c>
      <c r="O275" s="76">
        <f t="shared" si="52"/>
        <v>20</v>
      </c>
      <c r="P275" s="81" t="s">
        <v>56</v>
      </c>
      <c r="Q275" s="106">
        <f>SUM(O170:O275)</f>
        <v>771.05</v>
      </c>
    </row>
    <row r="276" spans="1:17" x14ac:dyDescent="0.25">
      <c r="A276" s="95">
        <v>45626</v>
      </c>
      <c r="B276" s="72" t="s">
        <v>775</v>
      </c>
      <c r="C276" s="72" t="s">
        <v>8</v>
      </c>
      <c r="D276" s="72" t="s">
        <v>21</v>
      </c>
      <c r="E276" s="72" t="s">
        <v>82</v>
      </c>
      <c r="F276" s="72">
        <v>1</v>
      </c>
      <c r="G276" s="73">
        <f t="shared" si="51"/>
        <v>10</v>
      </c>
      <c r="H276" s="73">
        <f t="shared" si="53"/>
        <v>10</v>
      </c>
      <c r="I276" s="73">
        <f t="shared" si="54"/>
        <v>10</v>
      </c>
      <c r="J276" s="72" t="s">
        <v>83</v>
      </c>
      <c r="K276" s="74"/>
      <c r="M276" s="79"/>
      <c r="N276" s="76" t="e">
        <f t="shared" si="50"/>
        <v>#N/A</v>
      </c>
      <c r="O276" s="76" t="e">
        <f t="shared" si="52"/>
        <v>#N/A</v>
      </c>
      <c r="P276" s="103"/>
    </row>
    <row r="277" spans="1:17" x14ac:dyDescent="0.25">
      <c r="A277" s="95">
        <v>45626</v>
      </c>
      <c r="B277" s="72" t="s">
        <v>736</v>
      </c>
      <c r="C277" s="72" t="s">
        <v>8</v>
      </c>
      <c r="D277" s="72" t="s">
        <v>15</v>
      </c>
      <c r="E277" s="72" t="s">
        <v>82</v>
      </c>
      <c r="F277" s="72">
        <v>1</v>
      </c>
      <c r="G277" s="73">
        <f t="shared" si="51"/>
        <v>70</v>
      </c>
      <c r="H277" s="73">
        <f t="shared" si="53"/>
        <v>70</v>
      </c>
      <c r="I277" s="73">
        <f t="shared" si="54"/>
        <v>66.5</v>
      </c>
      <c r="J277" s="72" t="s">
        <v>867</v>
      </c>
      <c r="K277" s="74"/>
      <c r="M277" s="79"/>
      <c r="N277" s="76" t="e">
        <f t="shared" si="50"/>
        <v>#N/A</v>
      </c>
      <c r="O277" s="76" t="e">
        <f t="shared" si="52"/>
        <v>#N/A</v>
      </c>
      <c r="P277" s="103"/>
    </row>
    <row r="278" spans="1:17" x14ac:dyDescent="0.25">
      <c r="A278" s="95">
        <v>45626</v>
      </c>
      <c r="B278" s="72" t="s">
        <v>723</v>
      </c>
      <c r="C278" s="72" t="s">
        <v>8</v>
      </c>
      <c r="D278" s="72" t="s">
        <v>15</v>
      </c>
      <c r="E278" s="72" t="s">
        <v>82</v>
      </c>
      <c r="F278" s="72">
        <v>1</v>
      </c>
      <c r="G278" s="73">
        <f t="shared" si="51"/>
        <v>70</v>
      </c>
      <c r="H278" s="73">
        <f t="shared" si="53"/>
        <v>70</v>
      </c>
      <c r="I278" s="73">
        <f t="shared" si="54"/>
        <v>66.5</v>
      </c>
      <c r="J278" s="72" t="s">
        <v>867</v>
      </c>
      <c r="K278" s="74"/>
      <c r="M278" s="79"/>
      <c r="N278" s="76" t="e">
        <f t="shared" si="50"/>
        <v>#N/A</v>
      </c>
      <c r="O278" s="76" t="e">
        <f t="shared" si="52"/>
        <v>#N/A</v>
      </c>
      <c r="P278" s="103"/>
    </row>
    <row r="279" spans="1:17" x14ac:dyDescent="0.25">
      <c r="A279" s="95">
        <v>45626</v>
      </c>
      <c r="B279" s="72" t="s">
        <v>577</v>
      </c>
      <c r="C279" s="72" t="s">
        <v>8</v>
      </c>
      <c r="D279" s="72" t="s">
        <v>35</v>
      </c>
      <c r="E279" s="72" t="s">
        <v>82</v>
      </c>
      <c r="F279" s="72">
        <v>1</v>
      </c>
      <c r="G279" s="73">
        <f t="shared" si="51"/>
        <v>7</v>
      </c>
      <c r="H279" s="73">
        <f t="shared" si="53"/>
        <v>7</v>
      </c>
      <c r="I279" s="73">
        <f t="shared" si="54"/>
        <v>6.65</v>
      </c>
      <c r="J279" s="72" t="s">
        <v>867</v>
      </c>
      <c r="K279" s="74"/>
      <c r="M279" s="79"/>
      <c r="N279" s="76" t="e">
        <f t="shared" si="50"/>
        <v>#N/A</v>
      </c>
      <c r="O279" s="76" t="e">
        <f t="shared" si="52"/>
        <v>#N/A</v>
      </c>
      <c r="P279" s="103"/>
    </row>
    <row r="280" spans="1:17" x14ac:dyDescent="0.25">
      <c r="A280" s="95">
        <v>45626</v>
      </c>
      <c r="B280" s="72" t="s">
        <v>516</v>
      </c>
      <c r="C280" s="72" t="s">
        <v>8</v>
      </c>
      <c r="D280" s="72" t="s">
        <v>16</v>
      </c>
      <c r="E280" s="72" t="s">
        <v>82</v>
      </c>
      <c r="F280" s="72">
        <v>1</v>
      </c>
      <c r="G280" s="73">
        <f t="shared" si="51"/>
        <v>80</v>
      </c>
      <c r="H280" s="73">
        <f t="shared" si="53"/>
        <v>80</v>
      </c>
      <c r="I280" s="73">
        <f t="shared" si="54"/>
        <v>80</v>
      </c>
      <c r="J280" s="72" t="s">
        <v>83</v>
      </c>
      <c r="K280" s="74"/>
      <c r="M280" s="79"/>
      <c r="N280" s="76" t="e">
        <f t="shared" si="50"/>
        <v>#N/A</v>
      </c>
      <c r="O280" s="76" t="e">
        <f t="shared" si="52"/>
        <v>#N/A</v>
      </c>
      <c r="P280" s="103"/>
    </row>
    <row r="281" spans="1:17" x14ac:dyDescent="0.25">
      <c r="A281" s="95">
        <v>45626</v>
      </c>
      <c r="B281" s="72" t="s">
        <v>561</v>
      </c>
      <c r="C281" s="72" t="s">
        <v>8</v>
      </c>
      <c r="D281" s="72" t="s">
        <v>18</v>
      </c>
      <c r="E281" s="72" t="s">
        <v>82</v>
      </c>
      <c r="F281" s="72">
        <v>1</v>
      </c>
      <c r="G281" s="73">
        <f t="shared" si="51"/>
        <v>40</v>
      </c>
      <c r="H281" s="73">
        <f t="shared" si="53"/>
        <v>40</v>
      </c>
      <c r="I281" s="73">
        <f t="shared" si="54"/>
        <v>40</v>
      </c>
      <c r="J281" s="72" t="s">
        <v>83</v>
      </c>
      <c r="K281" s="74"/>
      <c r="M281" s="79"/>
      <c r="N281" s="76" t="e">
        <f t="shared" si="50"/>
        <v>#N/A</v>
      </c>
      <c r="O281" s="76" t="e">
        <f t="shared" si="52"/>
        <v>#N/A</v>
      </c>
      <c r="P281" s="103"/>
    </row>
    <row r="282" spans="1:17" x14ac:dyDescent="0.25">
      <c r="A282" s="95">
        <v>45626</v>
      </c>
      <c r="B282" s="72" t="s">
        <v>555</v>
      </c>
      <c r="C282" s="72" t="s">
        <v>8</v>
      </c>
      <c r="D282" s="72" t="s">
        <v>15</v>
      </c>
      <c r="E282" s="72" t="s">
        <v>82</v>
      </c>
      <c r="F282" s="72">
        <v>1</v>
      </c>
      <c r="G282" s="73">
        <f t="shared" si="51"/>
        <v>70</v>
      </c>
      <c r="H282" s="73">
        <f t="shared" si="53"/>
        <v>70</v>
      </c>
      <c r="I282" s="73">
        <f t="shared" si="54"/>
        <v>66.5</v>
      </c>
      <c r="J282" s="72" t="s">
        <v>867</v>
      </c>
      <c r="K282" s="74"/>
      <c r="M282" s="79"/>
      <c r="N282" s="76" t="e">
        <f t="shared" si="50"/>
        <v>#N/A</v>
      </c>
      <c r="O282" s="76" t="e">
        <f t="shared" si="52"/>
        <v>#N/A</v>
      </c>
      <c r="P282" s="103"/>
    </row>
    <row r="283" spans="1:17" x14ac:dyDescent="0.25">
      <c r="A283" s="95">
        <v>45626</v>
      </c>
      <c r="B283" s="72" t="s">
        <v>555</v>
      </c>
      <c r="C283" s="72" t="s">
        <v>8</v>
      </c>
      <c r="D283" s="72" t="s">
        <v>45</v>
      </c>
      <c r="E283" s="72" t="s">
        <v>82</v>
      </c>
      <c r="F283" s="72">
        <v>1</v>
      </c>
      <c r="G283" s="73">
        <f t="shared" si="51"/>
        <v>3.5</v>
      </c>
      <c r="H283" s="73">
        <f t="shared" si="53"/>
        <v>3.5</v>
      </c>
      <c r="I283" s="73">
        <f t="shared" si="54"/>
        <v>3.3250000000000002</v>
      </c>
      <c r="J283" s="72" t="s">
        <v>867</v>
      </c>
      <c r="K283" s="74"/>
      <c r="M283" s="79"/>
      <c r="N283" s="76" t="e">
        <f t="shared" si="50"/>
        <v>#N/A</v>
      </c>
      <c r="O283" s="76" t="e">
        <f t="shared" si="52"/>
        <v>#N/A</v>
      </c>
      <c r="P283" s="103"/>
    </row>
    <row r="284" spans="1:17" x14ac:dyDescent="0.25">
      <c r="A284" s="95">
        <v>45626</v>
      </c>
      <c r="B284" s="72" t="s">
        <v>909</v>
      </c>
      <c r="C284" s="72" t="s">
        <v>9</v>
      </c>
      <c r="D284" s="72" t="s">
        <v>48</v>
      </c>
      <c r="E284" s="72" t="s">
        <v>56</v>
      </c>
      <c r="F284" s="72">
        <v>1</v>
      </c>
      <c r="G284" s="73">
        <f t="shared" si="51"/>
        <v>10</v>
      </c>
      <c r="H284" s="73">
        <f t="shared" si="53"/>
        <v>10</v>
      </c>
      <c r="I284" s="73">
        <f t="shared" si="54"/>
        <v>10</v>
      </c>
      <c r="J284" s="72" t="s">
        <v>79</v>
      </c>
      <c r="K284" s="74"/>
      <c r="M284" s="79"/>
      <c r="N284" s="76" t="e">
        <f t="shared" si="50"/>
        <v>#N/A</v>
      </c>
      <c r="O284" s="76" t="e">
        <f t="shared" si="52"/>
        <v>#N/A</v>
      </c>
      <c r="P284" s="103"/>
    </row>
    <row r="285" spans="1:17" x14ac:dyDescent="0.25">
      <c r="A285" s="95">
        <v>45626</v>
      </c>
      <c r="B285" s="72" t="s">
        <v>909</v>
      </c>
      <c r="C285" s="72" t="s">
        <v>9</v>
      </c>
      <c r="D285" s="72" t="s">
        <v>778</v>
      </c>
      <c r="E285" s="72" t="s">
        <v>56</v>
      </c>
      <c r="F285" s="72">
        <v>1</v>
      </c>
      <c r="G285" s="73">
        <f t="shared" si="51"/>
        <v>2.5</v>
      </c>
      <c r="H285" s="73">
        <f t="shared" si="53"/>
        <v>2.5</v>
      </c>
      <c r="I285" s="73">
        <f t="shared" si="54"/>
        <v>2.5</v>
      </c>
      <c r="J285" s="72" t="s">
        <v>79</v>
      </c>
      <c r="K285" s="74"/>
      <c r="M285" s="79"/>
      <c r="N285" s="76" t="e">
        <f t="shared" si="50"/>
        <v>#N/A</v>
      </c>
      <c r="O285" s="76" t="e">
        <f t="shared" si="52"/>
        <v>#N/A</v>
      </c>
      <c r="P285" s="103"/>
    </row>
    <row r="286" spans="1:17" x14ac:dyDescent="0.25">
      <c r="A286" s="95">
        <v>45626</v>
      </c>
      <c r="B286" s="72"/>
      <c r="C286" s="72"/>
      <c r="D286" s="72"/>
      <c r="E286" s="72"/>
      <c r="F286" s="72"/>
      <c r="G286" s="73" t="e">
        <f t="shared" si="51"/>
        <v>#N/A</v>
      </c>
      <c r="H286" s="73" t="e">
        <f t="shared" si="53"/>
        <v>#N/A</v>
      </c>
      <c r="I286" s="73" t="b">
        <f t="shared" si="54"/>
        <v>0</v>
      </c>
      <c r="J286" s="72"/>
      <c r="K286" s="74"/>
      <c r="M286" s="79"/>
      <c r="N286" s="76" t="e">
        <f t="shared" si="50"/>
        <v>#N/A</v>
      </c>
      <c r="O286" s="76" t="e">
        <f t="shared" si="52"/>
        <v>#N/A</v>
      </c>
      <c r="P286" s="103"/>
    </row>
    <row r="287" spans="1:17" x14ac:dyDescent="0.25">
      <c r="A287" s="95">
        <v>45626</v>
      </c>
      <c r="B287" s="72"/>
      <c r="C287" s="72"/>
      <c r="D287" s="72"/>
      <c r="E287" s="72"/>
      <c r="F287" s="72"/>
      <c r="G287" s="73" t="e">
        <f t="shared" si="51"/>
        <v>#N/A</v>
      </c>
      <c r="H287" s="73" t="e">
        <f t="shared" si="53"/>
        <v>#N/A</v>
      </c>
      <c r="I287" s="73" t="b">
        <f t="shared" si="54"/>
        <v>0</v>
      </c>
      <c r="J287" s="72"/>
      <c r="K287" s="74"/>
      <c r="M287" s="79"/>
      <c r="N287" s="76" t="e">
        <f t="shared" si="50"/>
        <v>#N/A</v>
      </c>
      <c r="O287" s="76" t="e">
        <f t="shared" si="52"/>
        <v>#N/A</v>
      </c>
      <c r="P287" s="103"/>
    </row>
    <row r="288" spans="1:17" x14ac:dyDescent="0.25">
      <c r="A288" s="95">
        <v>45626</v>
      </c>
      <c r="B288" s="72"/>
      <c r="C288" s="72"/>
      <c r="D288" s="72"/>
      <c r="E288" s="72"/>
      <c r="F288" s="72"/>
      <c r="G288" s="73" t="e">
        <f t="shared" si="51"/>
        <v>#N/A</v>
      </c>
      <c r="H288" s="73" t="e">
        <f t="shared" si="53"/>
        <v>#N/A</v>
      </c>
      <c r="I288" s="73" t="b">
        <f t="shared" si="54"/>
        <v>0</v>
      </c>
      <c r="J288" s="72"/>
      <c r="K288" s="74"/>
      <c r="M288" s="79"/>
      <c r="N288" s="76" t="e">
        <f t="shared" si="50"/>
        <v>#N/A</v>
      </c>
      <c r="O288" s="76" t="e">
        <f t="shared" si="52"/>
        <v>#N/A</v>
      </c>
      <c r="P288" s="103"/>
    </row>
    <row r="289" spans="1:16" x14ac:dyDescent="0.25">
      <c r="A289" s="95">
        <v>45626</v>
      </c>
      <c r="B289" s="72"/>
      <c r="C289" s="72"/>
      <c r="D289" s="72"/>
      <c r="E289" s="72"/>
      <c r="F289" s="72"/>
      <c r="G289" s="73" t="e">
        <f t="shared" si="51"/>
        <v>#N/A</v>
      </c>
      <c r="H289" s="73" t="e">
        <f t="shared" si="53"/>
        <v>#N/A</v>
      </c>
      <c r="I289" s="73" t="b">
        <f t="shared" si="54"/>
        <v>0</v>
      </c>
      <c r="J289" s="72"/>
      <c r="K289" s="74"/>
      <c r="M289" s="79"/>
      <c r="N289" s="76" t="e">
        <f t="shared" si="50"/>
        <v>#N/A</v>
      </c>
      <c r="O289" s="76" t="e">
        <f t="shared" si="52"/>
        <v>#N/A</v>
      </c>
      <c r="P289" s="103"/>
    </row>
    <row r="290" spans="1:16" x14ac:dyDescent="0.25">
      <c r="A290" s="95">
        <v>45626</v>
      </c>
      <c r="B290" s="72"/>
      <c r="C290" s="72"/>
      <c r="D290" s="72"/>
      <c r="E290" s="72"/>
      <c r="F290" s="72"/>
      <c r="G290" s="73" t="e">
        <f t="shared" si="51"/>
        <v>#N/A</v>
      </c>
      <c r="H290" s="73" t="e">
        <f t="shared" si="53"/>
        <v>#N/A</v>
      </c>
      <c r="I290" s="73" t="b">
        <f t="shared" si="54"/>
        <v>0</v>
      </c>
      <c r="J290" s="72"/>
      <c r="K290" s="74"/>
      <c r="M290" s="79"/>
      <c r="N290" s="76" t="e">
        <f t="shared" si="50"/>
        <v>#N/A</v>
      </c>
      <c r="O290" s="76" t="e">
        <f t="shared" si="52"/>
        <v>#N/A</v>
      </c>
      <c r="P290" s="103"/>
    </row>
    <row r="291" spans="1:16" x14ac:dyDescent="0.25">
      <c r="A291" s="95"/>
      <c r="B291" s="72"/>
      <c r="C291" s="72"/>
      <c r="D291" s="72"/>
      <c r="E291" s="72"/>
      <c r="F291" s="72"/>
      <c r="G291" s="73" t="e">
        <f t="shared" si="51"/>
        <v>#N/A</v>
      </c>
      <c r="H291" s="73" t="e">
        <f t="shared" si="53"/>
        <v>#N/A</v>
      </c>
      <c r="I291" s="73" t="b">
        <f t="shared" si="54"/>
        <v>0</v>
      </c>
      <c r="J291" s="72"/>
      <c r="K291" s="74"/>
      <c r="M291" s="79"/>
      <c r="N291" s="76" t="e">
        <f t="shared" si="50"/>
        <v>#N/A</v>
      </c>
      <c r="O291" s="76" t="e">
        <f t="shared" si="52"/>
        <v>#N/A</v>
      </c>
      <c r="P291" s="103"/>
    </row>
    <row r="292" spans="1:16" x14ac:dyDescent="0.25">
      <c r="A292" s="95"/>
      <c r="B292" s="72"/>
      <c r="C292" s="72"/>
      <c r="D292" s="72"/>
      <c r="E292" s="72"/>
      <c r="F292" s="72"/>
      <c r="G292" s="73" t="e">
        <f t="shared" si="51"/>
        <v>#N/A</v>
      </c>
      <c r="H292" s="73" t="e">
        <f t="shared" si="53"/>
        <v>#N/A</v>
      </c>
      <c r="I292" s="73" t="b">
        <f t="shared" si="54"/>
        <v>0</v>
      </c>
      <c r="J292" s="72"/>
      <c r="K292" s="74"/>
      <c r="M292" s="79"/>
      <c r="N292" s="76" t="e">
        <f t="shared" si="50"/>
        <v>#N/A</v>
      </c>
      <c r="O292" s="76" t="e">
        <f t="shared" si="52"/>
        <v>#N/A</v>
      </c>
      <c r="P292" s="103"/>
    </row>
    <row r="293" spans="1:16" x14ac:dyDescent="0.25">
      <c r="A293" s="95"/>
      <c r="B293" s="72"/>
      <c r="C293" s="72"/>
      <c r="D293" s="72"/>
      <c r="E293" s="72"/>
      <c r="F293" s="72"/>
      <c r="G293" s="73" t="e">
        <f t="shared" si="51"/>
        <v>#N/A</v>
      </c>
      <c r="H293" s="73" t="e">
        <f t="shared" si="53"/>
        <v>#N/A</v>
      </c>
      <c r="I293" s="73" t="b">
        <f t="shared" si="54"/>
        <v>0</v>
      </c>
      <c r="J293" s="72"/>
      <c r="K293" s="74"/>
      <c r="M293" s="79"/>
      <c r="N293" s="76" t="e">
        <f t="shared" si="50"/>
        <v>#N/A</v>
      </c>
      <c r="O293" s="76" t="e">
        <f t="shared" si="52"/>
        <v>#N/A</v>
      </c>
      <c r="P293" s="103"/>
    </row>
    <row r="294" spans="1:16" x14ac:dyDescent="0.25">
      <c r="A294" s="95"/>
      <c r="B294" s="72"/>
      <c r="C294" s="72"/>
      <c r="D294" s="72"/>
      <c r="E294" s="72"/>
      <c r="F294" s="72"/>
      <c r="G294" s="73" t="e">
        <f t="shared" si="51"/>
        <v>#N/A</v>
      </c>
      <c r="H294" s="73" t="e">
        <f t="shared" si="53"/>
        <v>#N/A</v>
      </c>
      <c r="I294" s="73" t="b">
        <f t="shared" si="54"/>
        <v>0</v>
      </c>
      <c r="J294" s="72"/>
      <c r="K294" s="74"/>
      <c r="M294" s="79"/>
      <c r="N294" s="76" t="e">
        <f t="shared" si="50"/>
        <v>#N/A</v>
      </c>
      <c r="O294" s="76" t="e">
        <f t="shared" si="52"/>
        <v>#N/A</v>
      </c>
      <c r="P294" s="103"/>
    </row>
    <row r="295" spans="1:16" x14ac:dyDescent="0.25">
      <c r="A295" s="95"/>
      <c r="B295" s="72"/>
      <c r="C295" s="72"/>
      <c r="D295" s="72"/>
      <c r="E295" s="72"/>
      <c r="F295" s="72"/>
      <c r="G295" s="73" t="e">
        <f t="shared" si="51"/>
        <v>#N/A</v>
      </c>
      <c r="H295" s="73" t="e">
        <f t="shared" si="53"/>
        <v>#N/A</v>
      </c>
      <c r="I295" s="73" t="b">
        <f t="shared" si="54"/>
        <v>0</v>
      </c>
      <c r="J295" s="72"/>
      <c r="K295" s="74"/>
      <c r="M295" s="79"/>
      <c r="N295" s="76" t="e">
        <f t="shared" si="50"/>
        <v>#N/A</v>
      </c>
      <c r="O295" s="76" t="e">
        <f t="shared" si="52"/>
        <v>#N/A</v>
      </c>
      <c r="P295" s="103"/>
    </row>
    <row r="296" spans="1:16" x14ac:dyDescent="0.25">
      <c r="A296" s="95"/>
      <c r="B296" s="72"/>
      <c r="C296" s="72"/>
      <c r="D296" s="72"/>
      <c r="E296" s="72"/>
      <c r="F296" s="72"/>
      <c r="G296" s="73" t="e">
        <f t="shared" si="51"/>
        <v>#N/A</v>
      </c>
      <c r="H296" s="73" t="e">
        <f t="shared" si="53"/>
        <v>#N/A</v>
      </c>
      <c r="I296" s="73" t="b">
        <f t="shared" si="54"/>
        <v>0</v>
      </c>
      <c r="J296" s="72"/>
      <c r="K296" s="74"/>
      <c r="M296" s="79"/>
      <c r="N296" s="76" t="e">
        <f t="shared" si="50"/>
        <v>#N/A</v>
      </c>
      <c r="O296" s="76" t="e">
        <f t="shared" si="52"/>
        <v>#N/A</v>
      </c>
      <c r="P296" s="103"/>
    </row>
    <row r="297" spans="1:16" x14ac:dyDescent="0.25">
      <c r="A297" s="95"/>
      <c r="B297" s="72"/>
      <c r="C297" s="72"/>
      <c r="D297" s="72"/>
      <c r="E297" s="72"/>
      <c r="F297" s="72"/>
      <c r="G297" s="73" t="e">
        <f t="shared" si="51"/>
        <v>#N/A</v>
      </c>
      <c r="H297" s="73" t="e">
        <f t="shared" si="53"/>
        <v>#N/A</v>
      </c>
      <c r="I297" s="73" t="b">
        <f t="shared" si="54"/>
        <v>0</v>
      </c>
      <c r="J297" s="72"/>
      <c r="K297" s="74"/>
      <c r="M297" s="79"/>
      <c r="N297" s="76" t="e">
        <f t="shared" si="50"/>
        <v>#N/A</v>
      </c>
      <c r="O297" s="76" t="e">
        <f t="shared" si="52"/>
        <v>#N/A</v>
      </c>
      <c r="P297" s="103"/>
    </row>
    <row r="298" spans="1:16" x14ac:dyDescent="0.25">
      <c r="A298" s="95"/>
      <c r="B298" s="72"/>
      <c r="C298" s="72"/>
      <c r="D298" s="72"/>
      <c r="E298" s="72"/>
      <c r="F298" s="72"/>
      <c r="G298" s="73" t="e">
        <f t="shared" si="51"/>
        <v>#N/A</v>
      </c>
      <c r="H298" s="73" t="e">
        <f t="shared" si="53"/>
        <v>#N/A</v>
      </c>
      <c r="I298" s="73" t="b">
        <f t="shared" si="54"/>
        <v>0</v>
      </c>
      <c r="J298" s="72"/>
      <c r="K298" s="74"/>
      <c r="M298" s="79"/>
      <c r="N298" s="76" t="e">
        <f t="shared" si="50"/>
        <v>#N/A</v>
      </c>
      <c r="O298" s="76" t="e">
        <f t="shared" si="52"/>
        <v>#N/A</v>
      </c>
      <c r="P298" s="103"/>
    </row>
    <row r="299" spans="1:16" x14ac:dyDescent="0.25">
      <c r="A299" s="95"/>
      <c r="B299" s="72"/>
      <c r="C299" s="72"/>
      <c r="D299" s="72"/>
      <c r="E299" s="72"/>
      <c r="F299" s="72"/>
      <c r="G299" s="73" t="e">
        <f t="shared" si="51"/>
        <v>#N/A</v>
      </c>
      <c r="H299" s="73" t="e">
        <f t="shared" si="53"/>
        <v>#N/A</v>
      </c>
      <c r="I299" s="73" t="b">
        <f t="shared" si="54"/>
        <v>0</v>
      </c>
      <c r="J299" s="72"/>
      <c r="K299" s="74"/>
      <c r="M299" s="79"/>
      <c r="N299" s="76" t="e">
        <f t="shared" si="50"/>
        <v>#N/A</v>
      </c>
      <c r="O299" s="76" t="e">
        <f t="shared" si="52"/>
        <v>#N/A</v>
      </c>
      <c r="P299" s="103"/>
    </row>
    <row r="300" spans="1:16" x14ac:dyDescent="0.25">
      <c r="A300" s="95"/>
      <c r="B300" s="72"/>
      <c r="C300" s="72"/>
      <c r="D300" s="72"/>
      <c r="E300" s="72"/>
      <c r="F300" s="72"/>
      <c r="G300" s="73" t="e">
        <f t="shared" si="51"/>
        <v>#N/A</v>
      </c>
      <c r="H300" s="73" t="e">
        <f t="shared" si="53"/>
        <v>#N/A</v>
      </c>
      <c r="I300" s="73" t="b">
        <f t="shared" si="54"/>
        <v>0</v>
      </c>
      <c r="J300" s="72"/>
      <c r="K300" s="74"/>
      <c r="M300" s="79"/>
      <c r="N300" s="76" t="e">
        <f t="shared" ref="N300:N331" si="55">VLOOKUP(M300,$S$3:$U$70,3,0)</f>
        <v>#N/A</v>
      </c>
      <c r="O300" s="76" t="e">
        <f t="shared" si="52"/>
        <v>#N/A</v>
      </c>
      <c r="P300" s="103"/>
    </row>
    <row r="301" spans="1:16" x14ac:dyDescent="0.25">
      <c r="A301" s="95"/>
      <c r="B301" s="72"/>
      <c r="C301" s="72"/>
      <c r="D301" s="72"/>
      <c r="E301" s="72"/>
      <c r="F301" s="72"/>
      <c r="G301" s="73" t="e">
        <f t="shared" si="51"/>
        <v>#N/A</v>
      </c>
      <c r="H301" s="73" t="e">
        <f t="shared" si="53"/>
        <v>#N/A</v>
      </c>
      <c r="I301" s="73" t="b">
        <f t="shared" si="54"/>
        <v>0</v>
      </c>
      <c r="J301" s="72"/>
      <c r="K301" s="74"/>
      <c r="M301" s="79"/>
      <c r="N301" s="76" t="e">
        <f t="shared" si="55"/>
        <v>#N/A</v>
      </c>
      <c r="O301" s="76" t="e">
        <f t="shared" si="52"/>
        <v>#N/A</v>
      </c>
      <c r="P301" s="103"/>
    </row>
    <row r="302" spans="1:16" x14ac:dyDescent="0.25">
      <c r="A302" s="95"/>
      <c r="B302" s="72"/>
      <c r="C302" s="72"/>
      <c r="D302" s="72"/>
      <c r="E302" s="72"/>
      <c r="F302" s="72"/>
      <c r="G302" s="73" t="e">
        <f t="shared" ref="G302:G333" si="56">VLOOKUP(D302,$S$3:$T$70,2,0)</f>
        <v>#N/A</v>
      </c>
      <c r="H302" s="73" t="e">
        <f t="shared" si="53"/>
        <v>#N/A</v>
      </c>
      <c r="I302" s="73" t="b">
        <f t="shared" si="54"/>
        <v>0</v>
      </c>
      <c r="J302" s="72"/>
      <c r="K302" s="74"/>
      <c r="M302" s="79"/>
      <c r="N302" s="76" t="e">
        <f t="shared" si="55"/>
        <v>#N/A</v>
      </c>
      <c r="O302" s="76" t="e">
        <f t="shared" ref="O302:O333" si="57">N302*F302</f>
        <v>#N/A</v>
      </c>
      <c r="P302" s="103"/>
    </row>
    <row r="303" spans="1:16" x14ac:dyDescent="0.25">
      <c r="A303" s="95"/>
      <c r="B303" s="72"/>
      <c r="C303" s="72"/>
      <c r="D303" s="72"/>
      <c r="E303" s="72"/>
      <c r="F303" s="72"/>
      <c r="G303" s="73" t="e">
        <f t="shared" si="56"/>
        <v>#N/A</v>
      </c>
      <c r="H303" s="73" t="e">
        <f t="shared" ref="H303:H334" si="58">F303*G303</f>
        <v>#N/A</v>
      </c>
      <c r="I303" s="73" t="b">
        <f t="shared" ref="I303:I334" si="59">IF(J303="Master Debito",H303-(H303*$AC$5),IF(J303="Master Credito",H303-(H303*$AC$6), IF(J303="Visa Debito",H303-(H303*$AC$7), IF(J303="Visa Credito", H303-(H303*$AC$8), IF(J303="Elo Debito", H303-(H303*$AC$9), IF(J303="Elo Credito", H303-(H303*$AC$10), IF(J303="Pix", H303-(H303*$AC$11), IF(J303="Dinheiro (R$)", H303-(H303*$AC$12)))))))))</f>
        <v>0</v>
      </c>
      <c r="J303" s="72"/>
      <c r="K303" s="74"/>
      <c r="M303" s="79"/>
      <c r="N303" s="76" t="e">
        <f t="shared" si="55"/>
        <v>#N/A</v>
      </c>
      <c r="O303" s="76" t="e">
        <f t="shared" si="57"/>
        <v>#N/A</v>
      </c>
      <c r="P303" s="103"/>
    </row>
    <row r="304" spans="1:16" x14ac:dyDescent="0.25">
      <c r="A304" s="95"/>
      <c r="B304" s="72"/>
      <c r="C304" s="72"/>
      <c r="D304" s="72"/>
      <c r="E304" s="72"/>
      <c r="F304" s="72"/>
      <c r="G304" s="73" t="e">
        <f t="shared" si="56"/>
        <v>#N/A</v>
      </c>
      <c r="H304" s="73" t="e">
        <f t="shared" si="58"/>
        <v>#N/A</v>
      </c>
      <c r="I304" s="73" t="b">
        <f t="shared" si="59"/>
        <v>0</v>
      </c>
      <c r="J304" s="72"/>
      <c r="K304" s="74"/>
      <c r="M304" s="79"/>
      <c r="N304" s="76" t="e">
        <f t="shared" si="55"/>
        <v>#N/A</v>
      </c>
      <c r="O304" s="76" t="e">
        <f t="shared" si="57"/>
        <v>#N/A</v>
      </c>
      <c r="P304" s="103"/>
    </row>
    <row r="305" spans="1:16" x14ac:dyDescent="0.25">
      <c r="A305" s="95"/>
      <c r="B305" s="72"/>
      <c r="C305" s="72"/>
      <c r="D305" s="72"/>
      <c r="E305" s="72"/>
      <c r="F305" s="72"/>
      <c r="G305" s="73" t="e">
        <f t="shared" si="56"/>
        <v>#N/A</v>
      </c>
      <c r="H305" s="73" t="e">
        <f t="shared" si="58"/>
        <v>#N/A</v>
      </c>
      <c r="I305" s="73" t="b">
        <f t="shared" si="59"/>
        <v>0</v>
      </c>
      <c r="J305" s="72"/>
      <c r="K305" s="74"/>
      <c r="M305" s="79"/>
      <c r="N305" s="76" t="e">
        <f t="shared" si="55"/>
        <v>#N/A</v>
      </c>
      <c r="O305" s="76" t="e">
        <f t="shared" si="57"/>
        <v>#N/A</v>
      </c>
      <c r="P305" s="103"/>
    </row>
    <row r="306" spans="1:16" x14ac:dyDescent="0.25">
      <c r="A306" s="95"/>
      <c r="B306" s="72"/>
      <c r="C306" s="72"/>
      <c r="D306" s="72"/>
      <c r="E306" s="72"/>
      <c r="F306" s="72"/>
      <c r="G306" s="73" t="e">
        <f t="shared" si="56"/>
        <v>#N/A</v>
      </c>
      <c r="H306" s="73" t="e">
        <f t="shared" si="58"/>
        <v>#N/A</v>
      </c>
      <c r="I306" s="73" t="b">
        <f t="shared" si="59"/>
        <v>0</v>
      </c>
      <c r="J306" s="72"/>
      <c r="K306" s="74"/>
      <c r="M306" s="79"/>
      <c r="N306" s="76" t="e">
        <f t="shared" si="55"/>
        <v>#N/A</v>
      </c>
      <c r="O306" s="76" t="e">
        <f t="shared" si="57"/>
        <v>#N/A</v>
      </c>
      <c r="P306" s="103"/>
    </row>
    <row r="307" spans="1:16" x14ac:dyDescent="0.25">
      <c r="A307" s="95"/>
      <c r="B307" s="72"/>
      <c r="C307" s="72"/>
      <c r="D307" s="72"/>
      <c r="E307" s="72"/>
      <c r="F307" s="72"/>
      <c r="G307" s="73" t="e">
        <f t="shared" si="56"/>
        <v>#N/A</v>
      </c>
      <c r="H307" s="73" t="e">
        <f t="shared" si="58"/>
        <v>#N/A</v>
      </c>
      <c r="I307" s="73" t="b">
        <f t="shared" si="59"/>
        <v>0</v>
      </c>
      <c r="J307" s="72"/>
      <c r="K307" s="74"/>
      <c r="M307" s="79"/>
      <c r="N307" s="76" t="e">
        <f t="shared" si="55"/>
        <v>#N/A</v>
      </c>
      <c r="O307" s="76" t="e">
        <f t="shared" si="57"/>
        <v>#N/A</v>
      </c>
      <c r="P307" s="103"/>
    </row>
    <row r="308" spans="1:16" x14ac:dyDescent="0.25">
      <c r="A308" s="95"/>
      <c r="B308" s="72"/>
      <c r="C308" s="72"/>
      <c r="D308" s="72"/>
      <c r="E308" s="72"/>
      <c r="F308" s="72"/>
      <c r="G308" s="73" t="e">
        <f t="shared" si="56"/>
        <v>#N/A</v>
      </c>
      <c r="H308" s="73" t="e">
        <f t="shared" si="58"/>
        <v>#N/A</v>
      </c>
      <c r="I308" s="73" t="b">
        <f t="shared" si="59"/>
        <v>0</v>
      </c>
      <c r="J308" s="72"/>
      <c r="K308" s="74"/>
      <c r="M308" s="79"/>
      <c r="N308" s="76" t="e">
        <f t="shared" si="55"/>
        <v>#N/A</v>
      </c>
      <c r="O308" s="76" t="e">
        <f t="shared" si="57"/>
        <v>#N/A</v>
      </c>
      <c r="P308" s="103"/>
    </row>
    <row r="309" spans="1:16" x14ac:dyDescent="0.25">
      <c r="A309" s="95"/>
      <c r="B309" s="72"/>
      <c r="C309" s="72"/>
      <c r="D309" s="72"/>
      <c r="E309" s="72"/>
      <c r="F309" s="72"/>
      <c r="G309" s="73" t="e">
        <f t="shared" si="56"/>
        <v>#N/A</v>
      </c>
      <c r="H309" s="73" t="e">
        <f t="shared" si="58"/>
        <v>#N/A</v>
      </c>
      <c r="I309" s="73" t="b">
        <f t="shared" si="59"/>
        <v>0</v>
      </c>
      <c r="J309" s="72"/>
      <c r="K309" s="74"/>
      <c r="M309" s="79"/>
      <c r="N309" s="76" t="e">
        <f t="shared" si="55"/>
        <v>#N/A</v>
      </c>
      <c r="O309" s="76" t="e">
        <f t="shared" si="57"/>
        <v>#N/A</v>
      </c>
      <c r="P309" s="103"/>
    </row>
    <row r="310" spans="1:16" x14ac:dyDescent="0.25">
      <c r="A310" s="95"/>
      <c r="B310" s="72"/>
      <c r="C310" s="72"/>
      <c r="D310" s="72"/>
      <c r="E310" s="72"/>
      <c r="F310" s="72"/>
      <c r="G310" s="73" t="e">
        <f t="shared" si="56"/>
        <v>#N/A</v>
      </c>
      <c r="H310" s="73" t="e">
        <f t="shared" si="58"/>
        <v>#N/A</v>
      </c>
      <c r="I310" s="73" t="b">
        <f t="shared" si="59"/>
        <v>0</v>
      </c>
      <c r="J310" s="72"/>
      <c r="K310" s="74"/>
      <c r="M310" s="79"/>
      <c r="N310" s="76" t="e">
        <f t="shared" si="55"/>
        <v>#N/A</v>
      </c>
      <c r="O310" s="76" t="e">
        <f t="shared" si="57"/>
        <v>#N/A</v>
      </c>
      <c r="P310" s="103"/>
    </row>
    <row r="311" spans="1:16" x14ac:dyDescent="0.25">
      <c r="A311" s="95"/>
      <c r="B311" s="72"/>
      <c r="C311" s="72"/>
      <c r="D311" s="72"/>
      <c r="E311" s="72"/>
      <c r="F311" s="72"/>
      <c r="G311" s="73" t="e">
        <f t="shared" si="56"/>
        <v>#N/A</v>
      </c>
      <c r="H311" s="73" t="e">
        <f t="shared" si="58"/>
        <v>#N/A</v>
      </c>
      <c r="I311" s="73" t="b">
        <f t="shared" si="59"/>
        <v>0</v>
      </c>
      <c r="J311" s="72"/>
      <c r="K311" s="74"/>
      <c r="M311" s="79"/>
      <c r="N311" s="76" t="e">
        <f t="shared" si="55"/>
        <v>#N/A</v>
      </c>
      <c r="O311" s="76" t="e">
        <f t="shared" si="57"/>
        <v>#N/A</v>
      </c>
      <c r="P311" s="103"/>
    </row>
    <row r="312" spans="1:16" x14ac:dyDescent="0.25">
      <c r="A312" s="95"/>
      <c r="B312" s="72"/>
      <c r="C312" s="72"/>
      <c r="D312" s="72"/>
      <c r="E312" s="72"/>
      <c r="F312" s="72"/>
      <c r="G312" s="73" t="e">
        <f t="shared" si="56"/>
        <v>#N/A</v>
      </c>
      <c r="H312" s="73" t="e">
        <f t="shared" si="58"/>
        <v>#N/A</v>
      </c>
      <c r="I312" s="73" t="b">
        <f t="shared" si="59"/>
        <v>0</v>
      </c>
      <c r="J312" s="72"/>
      <c r="K312" s="74"/>
      <c r="M312" s="79"/>
      <c r="N312" s="76" t="e">
        <f t="shared" si="55"/>
        <v>#N/A</v>
      </c>
      <c r="O312" s="76" t="e">
        <f t="shared" si="57"/>
        <v>#N/A</v>
      </c>
      <c r="P312" s="103"/>
    </row>
    <row r="313" spans="1:16" x14ac:dyDescent="0.25">
      <c r="A313" s="95"/>
      <c r="B313" s="72"/>
      <c r="C313" s="72"/>
      <c r="D313" s="72"/>
      <c r="E313" s="72"/>
      <c r="F313" s="72"/>
      <c r="G313" s="73" t="e">
        <f t="shared" si="56"/>
        <v>#N/A</v>
      </c>
      <c r="H313" s="73" t="e">
        <f t="shared" si="58"/>
        <v>#N/A</v>
      </c>
      <c r="I313" s="73" t="b">
        <f t="shared" si="59"/>
        <v>0</v>
      </c>
      <c r="J313" s="72"/>
      <c r="K313" s="74"/>
      <c r="M313" s="79"/>
      <c r="N313" s="76" t="e">
        <f t="shared" si="55"/>
        <v>#N/A</v>
      </c>
      <c r="O313" s="76" t="e">
        <f t="shared" si="57"/>
        <v>#N/A</v>
      </c>
      <c r="P313" s="103"/>
    </row>
    <row r="314" spans="1:16" x14ac:dyDescent="0.25">
      <c r="A314" s="95"/>
      <c r="B314" s="72"/>
      <c r="C314" s="72"/>
      <c r="D314" s="72"/>
      <c r="E314" s="72"/>
      <c r="F314" s="72"/>
      <c r="G314" s="73" t="e">
        <f t="shared" si="56"/>
        <v>#N/A</v>
      </c>
      <c r="H314" s="73" t="e">
        <f t="shared" si="58"/>
        <v>#N/A</v>
      </c>
      <c r="I314" s="73" t="b">
        <f t="shared" si="59"/>
        <v>0</v>
      </c>
      <c r="J314" s="72"/>
      <c r="K314" s="74"/>
      <c r="M314" s="79"/>
      <c r="N314" s="76" t="e">
        <f t="shared" si="55"/>
        <v>#N/A</v>
      </c>
      <c r="O314" s="76" t="e">
        <f t="shared" si="57"/>
        <v>#N/A</v>
      </c>
      <c r="P314" s="103"/>
    </row>
    <row r="315" spans="1:16" x14ac:dyDescent="0.25">
      <c r="A315" s="95"/>
      <c r="B315" s="72"/>
      <c r="C315" s="72"/>
      <c r="D315" s="72"/>
      <c r="E315" s="72"/>
      <c r="F315" s="72"/>
      <c r="G315" s="73" t="e">
        <f t="shared" si="56"/>
        <v>#N/A</v>
      </c>
      <c r="H315" s="73" t="e">
        <f t="shared" si="58"/>
        <v>#N/A</v>
      </c>
      <c r="I315" s="73" t="b">
        <f t="shared" si="59"/>
        <v>0</v>
      </c>
      <c r="J315" s="72"/>
      <c r="K315" s="74"/>
      <c r="M315" s="79"/>
      <c r="N315" s="76" t="e">
        <f t="shared" si="55"/>
        <v>#N/A</v>
      </c>
      <c r="O315" s="76" t="e">
        <f t="shared" si="57"/>
        <v>#N/A</v>
      </c>
      <c r="P315" s="103"/>
    </row>
    <row r="316" spans="1:16" x14ac:dyDescent="0.25">
      <c r="A316" s="95"/>
      <c r="B316" s="72"/>
      <c r="C316" s="72"/>
      <c r="D316" s="72"/>
      <c r="E316" s="72"/>
      <c r="F316" s="72"/>
      <c r="G316" s="73" t="e">
        <f t="shared" si="56"/>
        <v>#N/A</v>
      </c>
      <c r="H316" s="73" t="e">
        <f t="shared" si="58"/>
        <v>#N/A</v>
      </c>
      <c r="I316" s="73" t="b">
        <f t="shared" si="59"/>
        <v>0</v>
      </c>
      <c r="J316" s="72"/>
      <c r="K316" s="74"/>
      <c r="M316" s="79"/>
      <c r="N316" s="76" t="e">
        <f t="shared" si="55"/>
        <v>#N/A</v>
      </c>
      <c r="O316" s="76" t="e">
        <f t="shared" si="57"/>
        <v>#N/A</v>
      </c>
      <c r="P316" s="103"/>
    </row>
    <row r="317" spans="1:16" x14ac:dyDescent="0.25">
      <c r="A317" s="95"/>
      <c r="B317" s="72"/>
      <c r="C317" s="72"/>
      <c r="D317" s="72"/>
      <c r="E317" s="72"/>
      <c r="F317" s="72"/>
      <c r="G317" s="73" t="e">
        <f t="shared" si="56"/>
        <v>#N/A</v>
      </c>
      <c r="H317" s="73" t="e">
        <f t="shared" si="58"/>
        <v>#N/A</v>
      </c>
      <c r="I317" s="73" t="b">
        <f t="shared" si="59"/>
        <v>0</v>
      </c>
      <c r="J317" s="72"/>
      <c r="K317" s="74"/>
      <c r="M317" s="79"/>
      <c r="N317" s="76" t="e">
        <f t="shared" si="55"/>
        <v>#N/A</v>
      </c>
      <c r="O317" s="76" t="e">
        <f t="shared" si="57"/>
        <v>#N/A</v>
      </c>
      <c r="P317" s="103"/>
    </row>
    <row r="318" spans="1:16" x14ac:dyDescent="0.25">
      <c r="A318" s="95"/>
      <c r="B318" s="72"/>
      <c r="C318" s="72"/>
      <c r="D318" s="72"/>
      <c r="E318" s="72"/>
      <c r="F318" s="72"/>
      <c r="G318" s="73" t="e">
        <f t="shared" si="56"/>
        <v>#N/A</v>
      </c>
      <c r="H318" s="73" t="e">
        <f t="shared" si="58"/>
        <v>#N/A</v>
      </c>
      <c r="I318" s="73" t="b">
        <f t="shared" si="59"/>
        <v>0</v>
      </c>
      <c r="J318" s="72"/>
      <c r="K318" s="74"/>
      <c r="M318" s="79"/>
      <c r="N318" s="76" t="e">
        <f t="shared" si="55"/>
        <v>#N/A</v>
      </c>
      <c r="O318" s="76" t="e">
        <f t="shared" si="57"/>
        <v>#N/A</v>
      </c>
      <c r="P318" s="103"/>
    </row>
    <row r="319" spans="1:16" x14ac:dyDescent="0.25">
      <c r="A319" s="95"/>
      <c r="B319" s="72"/>
      <c r="C319" s="72"/>
      <c r="D319" s="72"/>
      <c r="E319" s="72"/>
      <c r="F319" s="72"/>
      <c r="G319" s="73" t="e">
        <f t="shared" si="56"/>
        <v>#N/A</v>
      </c>
      <c r="H319" s="73" t="e">
        <f t="shared" si="58"/>
        <v>#N/A</v>
      </c>
      <c r="I319" s="73" t="b">
        <f t="shared" si="59"/>
        <v>0</v>
      </c>
      <c r="J319" s="72"/>
      <c r="K319" s="74"/>
      <c r="M319" s="79"/>
      <c r="N319" s="76" t="e">
        <f t="shared" si="55"/>
        <v>#N/A</v>
      </c>
      <c r="O319" s="76" t="e">
        <f t="shared" si="57"/>
        <v>#N/A</v>
      </c>
      <c r="P319" s="103"/>
    </row>
    <row r="320" spans="1:16" x14ac:dyDescent="0.25">
      <c r="A320" s="95"/>
      <c r="B320" s="72"/>
      <c r="C320" s="72"/>
      <c r="D320" s="72"/>
      <c r="E320" s="72"/>
      <c r="F320" s="72"/>
      <c r="G320" s="73" t="e">
        <f t="shared" si="56"/>
        <v>#N/A</v>
      </c>
      <c r="H320" s="73" t="e">
        <f t="shared" si="58"/>
        <v>#N/A</v>
      </c>
      <c r="I320" s="73" t="b">
        <f t="shared" si="59"/>
        <v>0</v>
      </c>
      <c r="J320" s="72"/>
      <c r="K320" s="74"/>
      <c r="M320" s="79"/>
      <c r="N320" s="76" t="e">
        <f t="shared" si="55"/>
        <v>#N/A</v>
      </c>
      <c r="O320" s="76" t="e">
        <f t="shared" si="57"/>
        <v>#N/A</v>
      </c>
      <c r="P320" s="103"/>
    </row>
    <row r="321" spans="1:16" x14ac:dyDescent="0.25">
      <c r="A321" s="95"/>
      <c r="B321" s="72"/>
      <c r="C321" s="72"/>
      <c r="D321" s="72"/>
      <c r="E321" s="72"/>
      <c r="F321" s="72"/>
      <c r="G321" s="73" t="e">
        <f t="shared" si="56"/>
        <v>#N/A</v>
      </c>
      <c r="H321" s="73" t="e">
        <f t="shared" si="58"/>
        <v>#N/A</v>
      </c>
      <c r="I321" s="73" t="b">
        <f t="shared" si="59"/>
        <v>0</v>
      </c>
      <c r="J321" s="72"/>
      <c r="K321" s="74"/>
      <c r="M321" s="79"/>
      <c r="N321" s="76" t="e">
        <f t="shared" si="55"/>
        <v>#N/A</v>
      </c>
      <c r="O321" s="76" t="e">
        <f t="shared" si="57"/>
        <v>#N/A</v>
      </c>
      <c r="P321" s="103"/>
    </row>
    <row r="322" spans="1:16" x14ac:dyDescent="0.25">
      <c r="A322" s="95"/>
      <c r="B322" s="72"/>
      <c r="C322" s="72"/>
      <c r="D322" s="72"/>
      <c r="E322" s="72"/>
      <c r="F322" s="72"/>
      <c r="G322" s="73" t="e">
        <f t="shared" si="56"/>
        <v>#N/A</v>
      </c>
      <c r="H322" s="73" t="e">
        <f t="shared" si="58"/>
        <v>#N/A</v>
      </c>
      <c r="I322" s="73" t="b">
        <f t="shared" si="59"/>
        <v>0</v>
      </c>
      <c r="J322" s="72"/>
      <c r="K322" s="74"/>
      <c r="M322" s="79"/>
      <c r="N322" s="76" t="e">
        <f t="shared" si="55"/>
        <v>#N/A</v>
      </c>
      <c r="O322" s="76" t="e">
        <f t="shared" si="57"/>
        <v>#N/A</v>
      </c>
      <c r="P322" s="103"/>
    </row>
    <row r="323" spans="1:16" x14ac:dyDescent="0.25">
      <c r="A323" s="95"/>
      <c r="B323" s="72"/>
      <c r="C323" s="72"/>
      <c r="D323" s="72"/>
      <c r="E323" s="72"/>
      <c r="F323" s="72"/>
      <c r="G323" s="73" t="e">
        <f t="shared" si="56"/>
        <v>#N/A</v>
      </c>
      <c r="H323" s="73" t="e">
        <f t="shared" si="58"/>
        <v>#N/A</v>
      </c>
      <c r="I323" s="73" t="b">
        <f t="shared" si="59"/>
        <v>0</v>
      </c>
      <c r="J323" s="72"/>
      <c r="K323" s="74"/>
      <c r="M323" s="79"/>
      <c r="N323" s="76" t="e">
        <f t="shared" si="55"/>
        <v>#N/A</v>
      </c>
      <c r="O323" s="76" t="e">
        <f t="shared" si="57"/>
        <v>#N/A</v>
      </c>
      <c r="P323" s="103"/>
    </row>
    <row r="324" spans="1:16" x14ac:dyDescent="0.25">
      <c r="A324" s="95"/>
      <c r="B324" s="72"/>
      <c r="C324" s="72"/>
      <c r="D324" s="72"/>
      <c r="E324" s="72"/>
      <c r="F324" s="72"/>
      <c r="G324" s="73" t="e">
        <f t="shared" si="56"/>
        <v>#N/A</v>
      </c>
      <c r="H324" s="73" t="e">
        <f t="shared" si="58"/>
        <v>#N/A</v>
      </c>
      <c r="I324" s="73" t="b">
        <f t="shared" si="59"/>
        <v>0</v>
      </c>
      <c r="J324" s="72"/>
      <c r="K324" s="74"/>
      <c r="M324" s="79"/>
      <c r="N324" s="76" t="e">
        <f t="shared" si="55"/>
        <v>#N/A</v>
      </c>
      <c r="O324" s="76" t="e">
        <f t="shared" si="57"/>
        <v>#N/A</v>
      </c>
      <c r="P324" s="103"/>
    </row>
    <row r="325" spans="1:16" x14ac:dyDescent="0.25">
      <c r="A325" s="95"/>
      <c r="B325" s="72"/>
      <c r="C325" s="72"/>
      <c r="D325" s="72"/>
      <c r="E325" s="72"/>
      <c r="F325" s="72"/>
      <c r="G325" s="73" t="e">
        <f t="shared" si="56"/>
        <v>#N/A</v>
      </c>
      <c r="H325" s="73" t="e">
        <f t="shared" si="58"/>
        <v>#N/A</v>
      </c>
      <c r="I325" s="73" t="b">
        <f t="shared" si="59"/>
        <v>0</v>
      </c>
      <c r="J325" s="72"/>
      <c r="K325" s="74"/>
      <c r="M325" s="79"/>
      <c r="N325" s="76" t="e">
        <f t="shared" si="55"/>
        <v>#N/A</v>
      </c>
      <c r="O325" s="76" t="e">
        <f t="shared" si="57"/>
        <v>#N/A</v>
      </c>
      <c r="P325" s="103"/>
    </row>
    <row r="326" spans="1:16" x14ac:dyDescent="0.25">
      <c r="A326" s="95"/>
      <c r="B326" s="72"/>
      <c r="C326" s="72"/>
      <c r="D326" s="72"/>
      <c r="E326" s="72"/>
      <c r="F326" s="72"/>
      <c r="G326" s="73" t="e">
        <f t="shared" si="56"/>
        <v>#N/A</v>
      </c>
      <c r="H326" s="73" t="e">
        <f t="shared" si="58"/>
        <v>#N/A</v>
      </c>
      <c r="I326" s="73" t="b">
        <f t="shared" si="59"/>
        <v>0</v>
      </c>
      <c r="J326" s="72"/>
      <c r="K326" s="74"/>
      <c r="M326" s="79"/>
      <c r="N326" s="76" t="e">
        <f t="shared" si="55"/>
        <v>#N/A</v>
      </c>
      <c r="O326" s="76" t="e">
        <f t="shared" si="57"/>
        <v>#N/A</v>
      </c>
      <c r="P326" s="103"/>
    </row>
    <row r="327" spans="1:16" x14ac:dyDescent="0.25">
      <c r="A327" s="95"/>
      <c r="B327" s="72"/>
      <c r="C327" s="72"/>
      <c r="D327" s="72"/>
      <c r="E327" s="72"/>
      <c r="F327" s="72"/>
      <c r="G327" s="73" t="e">
        <f t="shared" si="56"/>
        <v>#N/A</v>
      </c>
      <c r="H327" s="73" t="e">
        <f t="shared" si="58"/>
        <v>#N/A</v>
      </c>
      <c r="I327" s="73" t="b">
        <f t="shared" si="59"/>
        <v>0</v>
      </c>
      <c r="J327" s="72"/>
      <c r="K327" s="74"/>
      <c r="M327" s="79"/>
      <c r="N327" s="76" t="e">
        <f t="shared" si="55"/>
        <v>#N/A</v>
      </c>
      <c r="O327" s="76" t="e">
        <f t="shared" si="57"/>
        <v>#N/A</v>
      </c>
      <c r="P327" s="103"/>
    </row>
    <row r="328" spans="1:16" x14ac:dyDescent="0.25">
      <c r="A328" s="95"/>
      <c r="B328" s="72"/>
      <c r="C328" s="72"/>
      <c r="D328" s="72"/>
      <c r="E328" s="72"/>
      <c r="F328" s="72"/>
      <c r="G328" s="73" t="e">
        <f t="shared" si="56"/>
        <v>#N/A</v>
      </c>
      <c r="H328" s="73" t="e">
        <f t="shared" si="58"/>
        <v>#N/A</v>
      </c>
      <c r="I328" s="73" t="b">
        <f t="shared" si="59"/>
        <v>0</v>
      </c>
      <c r="J328" s="72"/>
      <c r="K328" s="74"/>
      <c r="M328" s="79"/>
      <c r="N328" s="76" t="e">
        <f t="shared" si="55"/>
        <v>#N/A</v>
      </c>
      <c r="O328" s="76" t="e">
        <f t="shared" si="57"/>
        <v>#N/A</v>
      </c>
      <c r="P328" s="103"/>
    </row>
    <row r="329" spans="1:16" x14ac:dyDescent="0.25">
      <c r="A329" s="95"/>
      <c r="B329" s="72"/>
      <c r="C329" s="72"/>
      <c r="D329" s="72"/>
      <c r="E329" s="72"/>
      <c r="F329" s="72"/>
      <c r="G329" s="73" t="e">
        <f t="shared" si="56"/>
        <v>#N/A</v>
      </c>
      <c r="H329" s="73" t="e">
        <f t="shared" si="58"/>
        <v>#N/A</v>
      </c>
      <c r="I329" s="73" t="b">
        <f t="shared" si="59"/>
        <v>0</v>
      </c>
      <c r="J329" s="72"/>
      <c r="K329" s="74"/>
      <c r="M329" s="79"/>
      <c r="N329" s="76" t="e">
        <f t="shared" si="55"/>
        <v>#N/A</v>
      </c>
      <c r="O329" s="76" t="e">
        <f t="shared" si="57"/>
        <v>#N/A</v>
      </c>
      <c r="P329" s="103"/>
    </row>
    <row r="330" spans="1:16" x14ac:dyDescent="0.25">
      <c r="A330" s="95"/>
      <c r="B330" s="72"/>
      <c r="C330" s="72"/>
      <c r="D330" s="72"/>
      <c r="E330" s="72"/>
      <c r="F330" s="72"/>
      <c r="G330" s="73" t="e">
        <f t="shared" si="56"/>
        <v>#N/A</v>
      </c>
      <c r="H330" s="73" t="e">
        <f t="shared" si="58"/>
        <v>#N/A</v>
      </c>
      <c r="I330" s="73" t="b">
        <f t="shared" si="59"/>
        <v>0</v>
      </c>
      <c r="J330" s="72"/>
      <c r="K330" s="74"/>
      <c r="M330" s="79"/>
      <c r="N330" s="76" t="e">
        <f t="shared" si="55"/>
        <v>#N/A</v>
      </c>
      <c r="O330" s="76" t="e">
        <f t="shared" si="57"/>
        <v>#N/A</v>
      </c>
      <c r="P330" s="103"/>
    </row>
    <row r="331" spans="1:16" x14ac:dyDescent="0.25">
      <c r="A331" s="95"/>
      <c r="B331" s="72"/>
      <c r="C331" s="72"/>
      <c r="D331" s="72"/>
      <c r="E331" s="72"/>
      <c r="F331" s="72"/>
      <c r="G331" s="73" t="e">
        <f t="shared" si="56"/>
        <v>#N/A</v>
      </c>
      <c r="H331" s="73" t="e">
        <f t="shared" si="58"/>
        <v>#N/A</v>
      </c>
      <c r="I331" s="73" t="b">
        <f t="shared" si="59"/>
        <v>0</v>
      </c>
      <c r="J331" s="72"/>
      <c r="K331" s="74"/>
      <c r="M331" s="79"/>
      <c r="N331" s="76" t="e">
        <f t="shared" si="55"/>
        <v>#N/A</v>
      </c>
      <c r="O331" s="76" t="e">
        <f t="shared" si="57"/>
        <v>#N/A</v>
      </c>
      <c r="P331" s="103"/>
    </row>
    <row r="332" spans="1:16" x14ac:dyDescent="0.25">
      <c r="A332" s="95"/>
      <c r="B332" s="72"/>
      <c r="C332" s="72"/>
      <c r="D332" s="72"/>
      <c r="E332" s="72"/>
      <c r="F332" s="72"/>
      <c r="G332" s="73" t="e">
        <f t="shared" si="56"/>
        <v>#N/A</v>
      </c>
      <c r="H332" s="73" t="e">
        <f t="shared" si="58"/>
        <v>#N/A</v>
      </c>
      <c r="I332" s="73" t="b">
        <f t="shared" si="59"/>
        <v>0</v>
      </c>
      <c r="J332" s="72"/>
      <c r="K332" s="74"/>
      <c r="M332" s="79"/>
      <c r="N332" s="76" t="e">
        <f t="shared" ref="N332:N363" si="60">VLOOKUP(M332,$S$3:$U$70,3,0)</f>
        <v>#N/A</v>
      </c>
      <c r="O332" s="76" t="e">
        <f t="shared" si="57"/>
        <v>#N/A</v>
      </c>
      <c r="P332" s="103"/>
    </row>
    <row r="333" spans="1:16" x14ac:dyDescent="0.25">
      <c r="A333" s="95"/>
      <c r="B333" s="72"/>
      <c r="C333" s="72"/>
      <c r="D333" s="72"/>
      <c r="E333" s="72"/>
      <c r="F333" s="72"/>
      <c r="G333" s="73" t="e">
        <f t="shared" si="56"/>
        <v>#N/A</v>
      </c>
      <c r="H333" s="73" t="e">
        <f t="shared" si="58"/>
        <v>#N/A</v>
      </c>
      <c r="I333" s="73" t="b">
        <f t="shared" si="59"/>
        <v>0</v>
      </c>
      <c r="J333" s="72"/>
      <c r="K333" s="74"/>
      <c r="M333" s="79"/>
      <c r="N333" s="76" t="e">
        <f t="shared" si="60"/>
        <v>#N/A</v>
      </c>
      <c r="O333" s="76" t="e">
        <f t="shared" si="57"/>
        <v>#N/A</v>
      </c>
      <c r="P333" s="103"/>
    </row>
    <row r="334" spans="1:16" x14ac:dyDescent="0.25">
      <c r="A334" s="95"/>
      <c r="B334" s="72"/>
      <c r="C334" s="72"/>
      <c r="D334" s="72"/>
      <c r="E334" s="72"/>
      <c r="F334" s="72"/>
      <c r="G334" s="73" t="e">
        <f t="shared" ref="G334:G367" si="61">VLOOKUP(D334,$S$3:$T$70,2,0)</f>
        <v>#N/A</v>
      </c>
      <c r="H334" s="73" t="e">
        <f t="shared" si="58"/>
        <v>#N/A</v>
      </c>
      <c r="I334" s="73" t="b">
        <f t="shared" si="59"/>
        <v>0</v>
      </c>
      <c r="J334" s="72"/>
      <c r="K334" s="74"/>
      <c r="M334" s="79"/>
      <c r="N334" s="76" t="e">
        <f t="shared" si="60"/>
        <v>#N/A</v>
      </c>
      <c r="O334" s="76" t="e">
        <f t="shared" ref="O334:O365" si="62">N334*F334</f>
        <v>#N/A</v>
      </c>
      <c r="P334" s="103"/>
    </row>
    <row r="335" spans="1:16" x14ac:dyDescent="0.25">
      <c r="A335" s="95"/>
      <c r="B335" s="72"/>
      <c r="C335" s="72"/>
      <c r="D335" s="72"/>
      <c r="E335" s="72"/>
      <c r="F335" s="72"/>
      <c r="G335" s="73" t="e">
        <f t="shared" si="61"/>
        <v>#N/A</v>
      </c>
      <c r="H335" s="73" t="e">
        <f t="shared" ref="H335:H366" si="63">F335*G335</f>
        <v>#N/A</v>
      </c>
      <c r="I335" s="73" t="b">
        <f t="shared" ref="I335:I366" si="64">IF(J335="Master Debito",H335-(H335*$AC$5),IF(J335="Master Credito",H335-(H335*$AC$6), IF(J335="Visa Debito",H335-(H335*$AC$7), IF(J335="Visa Credito", H335-(H335*$AC$8), IF(J335="Elo Debito", H335-(H335*$AC$9), IF(J335="Elo Credito", H335-(H335*$AC$10), IF(J335="Pix", H335-(H335*$AC$11), IF(J335="Dinheiro (R$)", H335-(H335*$AC$12)))))))))</f>
        <v>0</v>
      </c>
      <c r="J335" s="72"/>
      <c r="K335" s="74"/>
      <c r="M335" s="79"/>
      <c r="N335" s="76" t="e">
        <f t="shared" si="60"/>
        <v>#N/A</v>
      </c>
      <c r="O335" s="76" t="e">
        <f t="shared" si="62"/>
        <v>#N/A</v>
      </c>
      <c r="P335" s="103"/>
    </row>
    <row r="336" spans="1:16" x14ac:dyDescent="0.25">
      <c r="A336" s="95"/>
      <c r="B336" s="72"/>
      <c r="C336" s="72"/>
      <c r="D336" s="72"/>
      <c r="E336" s="72"/>
      <c r="F336" s="72"/>
      <c r="G336" s="73" t="e">
        <f t="shared" si="61"/>
        <v>#N/A</v>
      </c>
      <c r="H336" s="73" t="e">
        <f t="shared" si="63"/>
        <v>#N/A</v>
      </c>
      <c r="I336" s="73" t="b">
        <f t="shared" si="64"/>
        <v>0</v>
      </c>
      <c r="J336" s="72"/>
      <c r="K336" s="74"/>
      <c r="M336" s="79"/>
      <c r="N336" s="76" t="e">
        <f t="shared" si="60"/>
        <v>#N/A</v>
      </c>
      <c r="O336" s="76" t="e">
        <f t="shared" si="62"/>
        <v>#N/A</v>
      </c>
      <c r="P336" s="103"/>
    </row>
    <row r="337" spans="1:16" x14ac:dyDescent="0.25">
      <c r="A337" s="95"/>
      <c r="B337" s="72"/>
      <c r="C337" s="72"/>
      <c r="D337" s="72"/>
      <c r="E337" s="72"/>
      <c r="F337" s="72"/>
      <c r="G337" s="73" t="e">
        <f t="shared" si="61"/>
        <v>#N/A</v>
      </c>
      <c r="H337" s="73" t="e">
        <f t="shared" si="63"/>
        <v>#N/A</v>
      </c>
      <c r="I337" s="73" t="b">
        <f t="shared" si="64"/>
        <v>0</v>
      </c>
      <c r="J337" s="72"/>
      <c r="K337" s="74"/>
      <c r="M337" s="79"/>
      <c r="N337" s="76" t="e">
        <f t="shared" si="60"/>
        <v>#N/A</v>
      </c>
      <c r="O337" s="76" t="e">
        <f t="shared" si="62"/>
        <v>#N/A</v>
      </c>
      <c r="P337" s="103"/>
    </row>
    <row r="338" spans="1:16" x14ac:dyDescent="0.25">
      <c r="A338" s="95"/>
      <c r="B338" s="72"/>
      <c r="C338" s="72"/>
      <c r="D338" s="72"/>
      <c r="E338" s="72"/>
      <c r="F338" s="72"/>
      <c r="G338" s="73" t="e">
        <f t="shared" si="61"/>
        <v>#N/A</v>
      </c>
      <c r="H338" s="73" t="e">
        <f t="shared" si="63"/>
        <v>#N/A</v>
      </c>
      <c r="I338" s="73" t="b">
        <f t="shared" si="64"/>
        <v>0</v>
      </c>
      <c r="J338" s="72"/>
      <c r="K338" s="74"/>
      <c r="M338" s="79"/>
      <c r="N338" s="76" t="e">
        <f t="shared" si="60"/>
        <v>#N/A</v>
      </c>
      <c r="O338" s="76" t="e">
        <f t="shared" si="62"/>
        <v>#N/A</v>
      </c>
      <c r="P338" s="103"/>
    </row>
    <row r="339" spans="1:16" x14ac:dyDescent="0.25">
      <c r="A339" s="95"/>
      <c r="B339" s="72"/>
      <c r="C339" s="72"/>
      <c r="D339" s="72"/>
      <c r="E339" s="72"/>
      <c r="F339" s="72"/>
      <c r="G339" s="73" t="e">
        <f t="shared" si="61"/>
        <v>#N/A</v>
      </c>
      <c r="H339" s="73" t="e">
        <f t="shared" si="63"/>
        <v>#N/A</v>
      </c>
      <c r="I339" s="73" t="b">
        <f t="shared" si="64"/>
        <v>0</v>
      </c>
      <c r="J339" s="72"/>
      <c r="K339" s="74"/>
      <c r="M339" s="79"/>
      <c r="N339" s="76" t="e">
        <f t="shared" si="60"/>
        <v>#N/A</v>
      </c>
      <c r="O339" s="76" t="e">
        <f t="shared" si="62"/>
        <v>#N/A</v>
      </c>
      <c r="P339" s="103"/>
    </row>
    <row r="340" spans="1:16" x14ac:dyDescent="0.25">
      <c r="A340" s="95"/>
      <c r="B340" s="72"/>
      <c r="C340" s="72"/>
      <c r="D340" s="72"/>
      <c r="E340" s="72"/>
      <c r="F340" s="72"/>
      <c r="G340" s="73" t="e">
        <f t="shared" si="61"/>
        <v>#N/A</v>
      </c>
      <c r="H340" s="73" t="e">
        <f t="shared" si="63"/>
        <v>#N/A</v>
      </c>
      <c r="I340" s="73" t="b">
        <f t="shared" si="64"/>
        <v>0</v>
      </c>
      <c r="J340" s="72"/>
      <c r="K340" s="74"/>
      <c r="M340" s="79"/>
      <c r="N340" s="76" t="e">
        <f t="shared" si="60"/>
        <v>#N/A</v>
      </c>
      <c r="O340" s="76" t="e">
        <f t="shared" si="62"/>
        <v>#N/A</v>
      </c>
      <c r="P340" s="103"/>
    </row>
    <row r="341" spans="1:16" x14ac:dyDescent="0.25">
      <c r="A341" s="95"/>
      <c r="B341" s="72"/>
      <c r="C341" s="72"/>
      <c r="D341" s="72"/>
      <c r="E341" s="72"/>
      <c r="F341" s="72"/>
      <c r="G341" s="73" t="e">
        <f t="shared" si="61"/>
        <v>#N/A</v>
      </c>
      <c r="H341" s="73" t="e">
        <f t="shared" si="63"/>
        <v>#N/A</v>
      </c>
      <c r="I341" s="73" t="b">
        <f t="shared" si="64"/>
        <v>0</v>
      </c>
      <c r="J341" s="72"/>
      <c r="K341" s="74"/>
      <c r="M341" s="79"/>
      <c r="N341" s="76" t="e">
        <f t="shared" si="60"/>
        <v>#N/A</v>
      </c>
      <c r="O341" s="76" t="e">
        <f t="shared" si="62"/>
        <v>#N/A</v>
      </c>
      <c r="P341" s="103"/>
    </row>
    <row r="342" spans="1:16" x14ac:dyDescent="0.25">
      <c r="A342" s="95"/>
      <c r="B342" s="72"/>
      <c r="C342" s="72"/>
      <c r="D342" s="72"/>
      <c r="E342" s="72"/>
      <c r="F342" s="72"/>
      <c r="G342" s="73" t="e">
        <f t="shared" si="61"/>
        <v>#N/A</v>
      </c>
      <c r="H342" s="73" t="e">
        <f t="shared" si="63"/>
        <v>#N/A</v>
      </c>
      <c r="I342" s="73" t="b">
        <f t="shared" si="64"/>
        <v>0</v>
      </c>
      <c r="J342" s="72"/>
      <c r="K342" s="74"/>
      <c r="M342" s="79"/>
      <c r="N342" s="76" t="e">
        <f t="shared" si="60"/>
        <v>#N/A</v>
      </c>
      <c r="O342" s="76" t="e">
        <f t="shared" si="62"/>
        <v>#N/A</v>
      </c>
      <c r="P342" s="103"/>
    </row>
    <row r="343" spans="1:16" x14ac:dyDescent="0.25">
      <c r="A343" s="95"/>
      <c r="B343" s="72"/>
      <c r="C343" s="72"/>
      <c r="D343" s="72"/>
      <c r="E343" s="72"/>
      <c r="F343" s="72"/>
      <c r="G343" s="73" t="e">
        <f t="shared" si="61"/>
        <v>#N/A</v>
      </c>
      <c r="H343" s="73" t="e">
        <f t="shared" si="63"/>
        <v>#N/A</v>
      </c>
      <c r="I343" s="73" t="b">
        <f t="shared" si="64"/>
        <v>0</v>
      </c>
      <c r="J343" s="72"/>
      <c r="K343" s="74"/>
      <c r="M343" s="79"/>
      <c r="N343" s="76" t="e">
        <f t="shared" si="60"/>
        <v>#N/A</v>
      </c>
      <c r="O343" s="76" t="e">
        <f t="shared" si="62"/>
        <v>#N/A</v>
      </c>
      <c r="P343" s="103"/>
    </row>
    <row r="344" spans="1:16" x14ac:dyDescent="0.25">
      <c r="A344" s="95"/>
      <c r="B344" s="72"/>
      <c r="C344" s="72"/>
      <c r="D344" s="72"/>
      <c r="E344" s="72"/>
      <c r="F344" s="72"/>
      <c r="G344" s="73" t="e">
        <f t="shared" si="61"/>
        <v>#N/A</v>
      </c>
      <c r="H344" s="73" t="e">
        <f t="shared" si="63"/>
        <v>#N/A</v>
      </c>
      <c r="I344" s="73" t="b">
        <f t="shared" si="64"/>
        <v>0</v>
      </c>
      <c r="J344" s="72"/>
      <c r="K344" s="74"/>
      <c r="M344" s="79"/>
      <c r="N344" s="76" t="e">
        <f t="shared" si="60"/>
        <v>#N/A</v>
      </c>
      <c r="O344" s="76" t="e">
        <f t="shared" si="62"/>
        <v>#N/A</v>
      </c>
      <c r="P344" s="103"/>
    </row>
    <row r="345" spans="1:16" x14ac:dyDescent="0.25">
      <c r="A345" s="95"/>
      <c r="B345" s="72"/>
      <c r="C345" s="72"/>
      <c r="D345" s="72"/>
      <c r="E345" s="72"/>
      <c r="F345" s="72"/>
      <c r="G345" s="73" t="e">
        <f t="shared" si="61"/>
        <v>#N/A</v>
      </c>
      <c r="H345" s="73" t="e">
        <f t="shared" si="63"/>
        <v>#N/A</v>
      </c>
      <c r="I345" s="73" t="b">
        <f t="shared" si="64"/>
        <v>0</v>
      </c>
      <c r="J345" s="72"/>
      <c r="K345" s="74"/>
      <c r="M345" s="79"/>
      <c r="N345" s="76" t="e">
        <f t="shared" si="60"/>
        <v>#N/A</v>
      </c>
      <c r="O345" s="76" t="e">
        <f t="shared" si="62"/>
        <v>#N/A</v>
      </c>
      <c r="P345" s="103"/>
    </row>
    <row r="346" spans="1:16" x14ac:dyDescent="0.25">
      <c r="A346" s="95"/>
      <c r="B346" s="72"/>
      <c r="C346" s="72"/>
      <c r="D346" s="72"/>
      <c r="E346" s="72"/>
      <c r="F346" s="72"/>
      <c r="G346" s="73" t="e">
        <f t="shared" si="61"/>
        <v>#N/A</v>
      </c>
      <c r="H346" s="73" t="e">
        <f t="shared" si="63"/>
        <v>#N/A</v>
      </c>
      <c r="I346" s="73" t="b">
        <f t="shared" si="64"/>
        <v>0</v>
      </c>
      <c r="J346" s="72"/>
      <c r="K346" s="74"/>
      <c r="M346" s="79"/>
      <c r="N346" s="76" t="e">
        <f t="shared" si="60"/>
        <v>#N/A</v>
      </c>
      <c r="O346" s="76" t="e">
        <f t="shared" si="62"/>
        <v>#N/A</v>
      </c>
      <c r="P346" s="103"/>
    </row>
    <row r="347" spans="1:16" x14ac:dyDescent="0.25">
      <c r="A347" s="95"/>
      <c r="B347" s="72"/>
      <c r="C347" s="72"/>
      <c r="D347" s="72"/>
      <c r="E347" s="72"/>
      <c r="F347" s="72"/>
      <c r="G347" s="73" t="e">
        <f t="shared" si="61"/>
        <v>#N/A</v>
      </c>
      <c r="H347" s="73" t="e">
        <f t="shared" si="63"/>
        <v>#N/A</v>
      </c>
      <c r="I347" s="73" t="b">
        <f t="shared" si="64"/>
        <v>0</v>
      </c>
      <c r="J347" s="72"/>
      <c r="K347" s="74"/>
      <c r="M347" s="79"/>
      <c r="N347" s="76" t="e">
        <f t="shared" si="60"/>
        <v>#N/A</v>
      </c>
      <c r="O347" s="76" t="e">
        <f t="shared" si="62"/>
        <v>#N/A</v>
      </c>
      <c r="P347" s="103"/>
    </row>
    <row r="348" spans="1:16" x14ac:dyDescent="0.25">
      <c r="A348" s="95"/>
      <c r="B348" s="72"/>
      <c r="C348" s="72"/>
      <c r="D348" s="72"/>
      <c r="E348" s="72"/>
      <c r="F348" s="72"/>
      <c r="G348" s="73" t="e">
        <f t="shared" si="61"/>
        <v>#N/A</v>
      </c>
      <c r="H348" s="73" t="e">
        <f t="shared" si="63"/>
        <v>#N/A</v>
      </c>
      <c r="I348" s="73" t="b">
        <f t="shared" si="64"/>
        <v>0</v>
      </c>
      <c r="J348" s="72"/>
      <c r="K348" s="74"/>
      <c r="M348" s="79"/>
      <c r="N348" s="76" t="e">
        <f t="shared" si="60"/>
        <v>#N/A</v>
      </c>
      <c r="O348" s="76" t="e">
        <f t="shared" si="62"/>
        <v>#N/A</v>
      </c>
      <c r="P348" s="103"/>
    </row>
    <row r="349" spans="1:16" x14ac:dyDescent="0.25">
      <c r="A349" s="95"/>
      <c r="B349" s="72"/>
      <c r="C349" s="72"/>
      <c r="D349" s="72"/>
      <c r="E349" s="72"/>
      <c r="F349" s="72"/>
      <c r="G349" s="73" t="e">
        <f t="shared" si="61"/>
        <v>#N/A</v>
      </c>
      <c r="H349" s="73" t="e">
        <f t="shared" si="63"/>
        <v>#N/A</v>
      </c>
      <c r="I349" s="73" t="b">
        <f t="shared" si="64"/>
        <v>0</v>
      </c>
      <c r="J349" s="72"/>
      <c r="K349" s="74"/>
      <c r="M349" s="79"/>
      <c r="N349" s="76" t="e">
        <f t="shared" si="60"/>
        <v>#N/A</v>
      </c>
      <c r="O349" s="76" t="e">
        <f t="shared" si="62"/>
        <v>#N/A</v>
      </c>
      <c r="P349" s="103"/>
    </row>
    <row r="350" spans="1:16" x14ac:dyDescent="0.25">
      <c r="A350" s="95"/>
      <c r="B350" s="72"/>
      <c r="C350" s="72"/>
      <c r="D350" s="72"/>
      <c r="E350" s="72"/>
      <c r="F350" s="72"/>
      <c r="G350" s="73" t="e">
        <f t="shared" si="61"/>
        <v>#N/A</v>
      </c>
      <c r="H350" s="73" t="e">
        <f t="shared" si="63"/>
        <v>#N/A</v>
      </c>
      <c r="I350" s="73" t="b">
        <f t="shared" si="64"/>
        <v>0</v>
      </c>
      <c r="J350" s="72"/>
      <c r="K350" s="74"/>
      <c r="M350" s="79"/>
      <c r="N350" s="76" t="e">
        <f t="shared" si="60"/>
        <v>#N/A</v>
      </c>
      <c r="O350" s="76" t="e">
        <f t="shared" si="62"/>
        <v>#N/A</v>
      </c>
      <c r="P350" s="103"/>
    </row>
    <row r="351" spans="1:16" x14ac:dyDescent="0.25">
      <c r="A351" s="95"/>
      <c r="B351" s="72"/>
      <c r="C351" s="72"/>
      <c r="D351" s="72"/>
      <c r="E351" s="72"/>
      <c r="F351" s="72"/>
      <c r="G351" s="73" t="e">
        <f t="shared" si="61"/>
        <v>#N/A</v>
      </c>
      <c r="H351" s="73" t="e">
        <f t="shared" si="63"/>
        <v>#N/A</v>
      </c>
      <c r="I351" s="73" t="b">
        <f t="shared" si="64"/>
        <v>0</v>
      </c>
      <c r="J351" s="72"/>
      <c r="K351" s="74"/>
      <c r="M351" s="79"/>
      <c r="N351" s="76" t="e">
        <f t="shared" si="60"/>
        <v>#N/A</v>
      </c>
      <c r="O351" s="76" t="e">
        <f t="shared" si="62"/>
        <v>#N/A</v>
      </c>
      <c r="P351" s="103"/>
    </row>
    <row r="352" spans="1:16" x14ac:dyDescent="0.25">
      <c r="A352" s="95"/>
      <c r="B352" s="72"/>
      <c r="C352" s="72"/>
      <c r="D352" s="72"/>
      <c r="E352" s="72"/>
      <c r="F352" s="72"/>
      <c r="G352" s="73" t="e">
        <f t="shared" si="61"/>
        <v>#N/A</v>
      </c>
      <c r="H352" s="73" t="e">
        <f t="shared" si="63"/>
        <v>#N/A</v>
      </c>
      <c r="I352" s="73" t="b">
        <f t="shared" si="64"/>
        <v>0</v>
      </c>
      <c r="J352" s="72"/>
      <c r="K352" s="74"/>
      <c r="M352" s="79"/>
      <c r="N352" s="76" t="e">
        <f t="shared" si="60"/>
        <v>#N/A</v>
      </c>
      <c r="O352" s="76" t="e">
        <f t="shared" si="62"/>
        <v>#N/A</v>
      </c>
      <c r="P352" s="103"/>
    </row>
    <row r="353" spans="1:16" x14ac:dyDescent="0.25">
      <c r="A353" s="95"/>
      <c r="B353" s="72"/>
      <c r="C353" s="72"/>
      <c r="D353" s="72"/>
      <c r="E353" s="72"/>
      <c r="F353" s="72"/>
      <c r="G353" s="73" t="e">
        <f t="shared" si="61"/>
        <v>#N/A</v>
      </c>
      <c r="H353" s="73" t="e">
        <f t="shared" si="63"/>
        <v>#N/A</v>
      </c>
      <c r="I353" s="73" t="b">
        <f t="shared" si="64"/>
        <v>0</v>
      </c>
      <c r="J353" s="72"/>
      <c r="K353" s="74"/>
      <c r="M353" s="79"/>
      <c r="N353" s="76" t="e">
        <f t="shared" si="60"/>
        <v>#N/A</v>
      </c>
      <c r="O353" s="76" t="e">
        <f t="shared" si="62"/>
        <v>#N/A</v>
      </c>
      <c r="P353" s="103"/>
    </row>
    <row r="354" spans="1:16" x14ac:dyDescent="0.25">
      <c r="A354" s="95"/>
      <c r="B354" s="72"/>
      <c r="C354" s="72"/>
      <c r="D354" s="72"/>
      <c r="E354" s="72"/>
      <c r="F354" s="72"/>
      <c r="G354" s="73" t="e">
        <f t="shared" si="61"/>
        <v>#N/A</v>
      </c>
      <c r="H354" s="73" t="e">
        <f t="shared" si="63"/>
        <v>#N/A</v>
      </c>
      <c r="I354" s="73" t="b">
        <f t="shared" si="64"/>
        <v>0</v>
      </c>
      <c r="J354" s="72"/>
      <c r="K354" s="74"/>
      <c r="M354" s="79"/>
      <c r="N354" s="76" t="e">
        <f t="shared" si="60"/>
        <v>#N/A</v>
      </c>
      <c r="O354" s="76" t="e">
        <f t="shared" si="62"/>
        <v>#N/A</v>
      </c>
      <c r="P354" s="103"/>
    </row>
    <row r="355" spans="1:16" x14ac:dyDescent="0.25">
      <c r="A355" s="95"/>
      <c r="B355" s="72"/>
      <c r="C355" s="72"/>
      <c r="D355" s="72"/>
      <c r="E355" s="72"/>
      <c r="F355" s="72"/>
      <c r="G355" s="73" t="e">
        <f t="shared" si="61"/>
        <v>#N/A</v>
      </c>
      <c r="H355" s="73" t="e">
        <f t="shared" si="63"/>
        <v>#N/A</v>
      </c>
      <c r="I355" s="73" t="b">
        <f t="shared" si="64"/>
        <v>0</v>
      </c>
      <c r="J355" s="72"/>
      <c r="K355" s="74"/>
      <c r="M355" s="79"/>
      <c r="N355" s="76" t="e">
        <f t="shared" si="60"/>
        <v>#N/A</v>
      </c>
      <c r="O355" s="76" t="e">
        <f t="shared" si="62"/>
        <v>#N/A</v>
      </c>
      <c r="P355" s="103"/>
    </row>
    <row r="356" spans="1:16" x14ac:dyDescent="0.25">
      <c r="A356" s="95"/>
      <c r="B356" s="72"/>
      <c r="C356" s="72"/>
      <c r="D356" s="72"/>
      <c r="E356" s="72"/>
      <c r="F356" s="72"/>
      <c r="G356" s="73" t="e">
        <f t="shared" si="61"/>
        <v>#N/A</v>
      </c>
      <c r="H356" s="73" t="e">
        <f t="shared" si="63"/>
        <v>#N/A</v>
      </c>
      <c r="I356" s="73" t="b">
        <f t="shared" si="64"/>
        <v>0</v>
      </c>
      <c r="J356" s="72"/>
      <c r="K356" s="74"/>
      <c r="M356" s="79"/>
      <c r="N356" s="76" t="e">
        <f t="shared" si="60"/>
        <v>#N/A</v>
      </c>
      <c r="O356" s="76" t="e">
        <f t="shared" si="62"/>
        <v>#N/A</v>
      </c>
      <c r="P356" s="103"/>
    </row>
    <row r="357" spans="1:16" x14ac:dyDescent="0.25">
      <c r="A357" s="95"/>
      <c r="B357" s="72"/>
      <c r="C357" s="72"/>
      <c r="D357" s="72"/>
      <c r="E357" s="72"/>
      <c r="F357" s="72"/>
      <c r="G357" s="73" t="e">
        <f t="shared" si="61"/>
        <v>#N/A</v>
      </c>
      <c r="H357" s="73" t="e">
        <f t="shared" si="63"/>
        <v>#N/A</v>
      </c>
      <c r="I357" s="73" t="b">
        <f t="shared" si="64"/>
        <v>0</v>
      </c>
      <c r="J357" s="72"/>
      <c r="K357" s="74"/>
      <c r="M357" s="79"/>
      <c r="N357" s="76" t="e">
        <f t="shared" si="60"/>
        <v>#N/A</v>
      </c>
      <c r="O357" s="76" t="e">
        <f t="shared" si="62"/>
        <v>#N/A</v>
      </c>
      <c r="P357" s="103"/>
    </row>
    <row r="358" spans="1:16" x14ac:dyDescent="0.25">
      <c r="A358" s="95"/>
      <c r="B358" s="72"/>
      <c r="C358" s="72"/>
      <c r="D358" s="72"/>
      <c r="E358" s="72"/>
      <c r="F358" s="72"/>
      <c r="G358" s="73" t="e">
        <f t="shared" si="61"/>
        <v>#N/A</v>
      </c>
      <c r="H358" s="73" t="e">
        <f t="shared" si="63"/>
        <v>#N/A</v>
      </c>
      <c r="I358" s="73" t="b">
        <f t="shared" si="64"/>
        <v>0</v>
      </c>
      <c r="J358" s="72"/>
      <c r="K358" s="74"/>
      <c r="M358" s="79"/>
      <c r="N358" s="76" t="e">
        <f t="shared" si="60"/>
        <v>#N/A</v>
      </c>
      <c r="O358" s="76" t="e">
        <f t="shared" si="62"/>
        <v>#N/A</v>
      </c>
      <c r="P358" s="103"/>
    </row>
    <row r="359" spans="1:16" x14ac:dyDescent="0.25">
      <c r="A359" s="95"/>
      <c r="B359" s="72"/>
      <c r="C359" s="72"/>
      <c r="D359" s="72"/>
      <c r="E359" s="72"/>
      <c r="F359" s="72"/>
      <c r="G359" s="73" t="e">
        <f t="shared" si="61"/>
        <v>#N/A</v>
      </c>
      <c r="H359" s="73" t="e">
        <f t="shared" si="63"/>
        <v>#N/A</v>
      </c>
      <c r="I359" s="73" t="b">
        <f t="shared" si="64"/>
        <v>0</v>
      </c>
      <c r="J359" s="72"/>
      <c r="K359" s="74"/>
      <c r="M359" s="79"/>
      <c r="N359" s="76" t="e">
        <f t="shared" si="60"/>
        <v>#N/A</v>
      </c>
      <c r="O359" s="76" t="e">
        <f t="shared" si="62"/>
        <v>#N/A</v>
      </c>
      <c r="P359" s="103"/>
    </row>
    <row r="360" spans="1:16" x14ac:dyDescent="0.25">
      <c r="A360" s="95"/>
      <c r="B360" s="72"/>
      <c r="C360" s="72"/>
      <c r="D360" s="72"/>
      <c r="E360" s="72"/>
      <c r="F360" s="72"/>
      <c r="G360" s="73" t="e">
        <f t="shared" si="61"/>
        <v>#N/A</v>
      </c>
      <c r="H360" s="73" t="e">
        <f t="shared" si="63"/>
        <v>#N/A</v>
      </c>
      <c r="I360" s="73" t="b">
        <f t="shared" si="64"/>
        <v>0</v>
      </c>
      <c r="J360" s="72"/>
      <c r="K360" s="74"/>
      <c r="M360" s="79"/>
      <c r="N360" s="76" t="e">
        <f t="shared" si="60"/>
        <v>#N/A</v>
      </c>
      <c r="O360" s="76" t="e">
        <f t="shared" si="62"/>
        <v>#N/A</v>
      </c>
      <c r="P360" s="103"/>
    </row>
    <row r="361" spans="1:16" x14ac:dyDescent="0.25">
      <c r="A361" s="95"/>
      <c r="B361" s="72"/>
      <c r="C361" s="72"/>
      <c r="D361" s="72"/>
      <c r="E361" s="72"/>
      <c r="F361" s="72"/>
      <c r="G361" s="73" t="e">
        <f t="shared" si="61"/>
        <v>#N/A</v>
      </c>
      <c r="H361" s="73" t="e">
        <f t="shared" si="63"/>
        <v>#N/A</v>
      </c>
      <c r="I361" s="73" t="b">
        <f t="shared" si="64"/>
        <v>0</v>
      </c>
      <c r="J361" s="72"/>
      <c r="K361" s="74"/>
      <c r="M361" s="79"/>
      <c r="N361" s="76" t="e">
        <f t="shared" si="60"/>
        <v>#N/A</v>
      </c>
      <c r="O361" s="76" t="e">
        <f t="shared" si="62"/>
        <v>#N/A</v>
      </c>
      <c r="P361" s="103"/>
    </row>
    <row r="362" spans="1:16" x14ac:dyDescent="0.25">
      <c r="A362" s="95"/>
      <c r="B362" s="72"/>
      <c r="C362" s="72"/>
      <c r="D362" s="72"/>
      <c r="E362" s="72"/>
      <c r="F362" s="72"/>
      <c r="G362" s="73" t="e">
        <f t="shared" si="61"/>
        <v>#N/A</v>
      </c>
      <c r="H362" s="73" t="e">
        <f t="shared" si="63"/>
        <v>#N/A</v>
      </c>
      <c r="I362" s="73" t="b">
        <f t="shared" si="64"/>
        <v>0</v>
      </c>
      <c r="J362" s="72"/>
      <c r="K362" s="74"/>
      <c r="M362" s="79"/>
      <c r="N362" s="76" t="e">
        <f t="shared" si="60"/>
        <v>#N/A</v>
      </c>
      <c r="O362" s="76" t="e">
        <f t="shared" si="62"/>
        <v>#N/A</v>
      </c>
      <c r="P362" s="103"/>
    </row>
    <row r="363" spans="1:16" x14ac:dyDescent="0.25">
      <c r="A363" s="95"/>
      <c r="B363" s="72"/>
      <c r="C363" s="72"/>
      <c r="D363" s="72"/>
      <c r="E363" s="72"/>
      <c r="F363" s="72"/>
      <c r="G363" s="73" t="e">
        <f t="shared" si="61"/>
        <v>#N/A</v>
      </c>
      <c r="H363" s="73" t="e">
        <f t="shared" si="63"/>
        <v>#N/A</v>
      </c>
      <c r="I363" s="73" t="b">
        <f t="shared" si="64"/>
        <v>0</v>
      </c>
      <c r="J363" s="72"/>
      <c r="K363" s="74"/>
      <c r="M363" s="79"/>
      <c r="N363" s="76" t="e">
        <f t="shared" si="60"/>
        <v>#N/A</v>
      </c>
      <c r="O363" s="76" t="e">
        <f t="shared" si="62"/>
        <v>#N/A</v>
      </c>
      <c r="P363" s="103"/>
    </row>
    <row r="364" spans="1:16" x14ac:dyDescent="0.25">
      <c r="A364" s="95"/>
      <c r="B364" s="72"/>
      <c r="C364" s="72"/>
      <c r="D364" s="72"/>
      <c r="E364" s="72"/>
      <c r="F364" s="72"/>
      <c r="G364" s="73" t="e">
        <f t="shared" si="61"/>
        <v>#N/A</v>
      </c>
      <c r="H364" s="73" t="e">
        <f t="shared" si="63"/>
        <v>#N/A</v>
      </c>
      <c r="I364" s="73" t="b">
        <f t="shared" si="64"/>
        <v>0</v>
      </c>
      <c r="J364" s="72"/>
      <c r="K364" s="74"/>
      <c r="M364" s="79"/>
      <c r="N364" s="76" t="e">
        <f t="shared" ref="N364:N367" si="65">VLOOKUP(M364,$S$3:$U$70,3,0)</f>
        <v>#N/A</v>
      </c>
      <c r="O364" s="76" t="e">
        <f t="shared" si="62"/>
        <v>#N/A</v>
      </c>
      <c r="P364" s="103"/>
    </row>
    <row r="365" spans="1:16" x14ac:dyDescent="0.25">
      <c r="A365" s="95"/>
      <c r="B365" s="72"/>
      <c r="C365" s="72"/>
      <c r="D365" s="72"/>
      <c r="E365" s="72"/>
      <c r="F365" s="72"/>
      <c r="G365" s="73" t="e">
        <f t="shared" si="61"/>
        <v>#N/A</v>
      </c>
      <c r="H365" s="73" t="e">
        <f t="shared" si="63"/>
        <v>#N/A</v>
      </c>
      <c r="I365" s="73" t="b">
        <f t="shared" si="64"/>
        <v>0</v>
      </c>
      <c r="J365" s="72"/>
      <c r="K365" s="74"/>
      <c r="M365" s="79"/>
      <c r="N365" s="76" t="e">
        <f t="shared" si="65"/>
        <v>#N/A</v>
      </c>
      <c r="O365" s="76" t="e">
        <f t="shared" si="62"/>
        <v>#N/A</v>
      </c>
      <c r="P365" s="103"/>
    </row>
    <row r="366" spans="1:16" x14ac:dyDescent="0.25">
      <c r="A366" s="95"/>
      <c r="B366" s="72"/>
      <c r="C366" s="72"/>
      <c r="D366" s="72"/>
      <c r="E366" s="72"/>
      <c r="F366" s="72"/>
      <c r="G366" s="73" t="e">
        <f t="shared" si="61"/>
        <v>#N/A</v>
      </c>
      <c r="H366" s="73" t="e">
        <f t="shared" si="63"/>
        <v>#N/A</v>
      </c>
      <c r="I366" s="73" t="b">
        <f t="shared" si="64"/>
        <v>0</v>
      </c>
      <c r="J366" s="72"/>
      <c r="K366" s="74"/>
      <c r="M366" s="79"/>
      <c r="N366" s="76" t="e">
        <f t="shared" si="65"/>
        <v>#N/A</v>
      </c>
      <c r="O366" s="76" t="e">
        <f t="shared" ref="O366:O367" si="66">N366*F366</f>
        <v>#N/A</v>
      </c>
      <c r="P366" s="103"/>
    </row>
    <row r="367" spans="1:16" x14ac:dyDescent="0.25">
      <c r="A367" s="95"/>
      <c r="B367" s="72"/>
      <c r="C367" s="72"/>
      <c r="D367" s="72"/>
      <c r="E367" s="72"/>
      <c r="F367" s="72"/>
      <c r="G367" s="73" t="e">
        <f t="shared" si="61"/>
        <v>#N/A</v>
      </c>
      <c r="H367" s="73" t="e">
        <f t="shared" ref="H367:H368" si="67">F367*G367</f>
        <v>#N/A</v>
      </c>
      <c r="I367" s="73" t="b">
        <f t="shared" ref="I367" si="68">IF(J367="Master Debito",H367-(H367*$AC$5),IF(J367="Master Credito",H367-(H367*$AC$6), IF(J367="Visa Debito",H367-(H367*$AC$7), IF(J367="Visa Credito", H367-(H367*$AC$8), IF(J367="Elo Debito", H367-(H367*$AC$9), IF(J367="Elo Credito", H367-(H367*$AC$10), IF(J367="Pix", H367-(H367*$AC$11), IF(J367="Dinheiro (R$)", H367-(H367*$AC$12)))))))))</f>
        <v>0</v>
      </c>
      <c r="J367" s="72"/>
      <c r="K367" s="74"/>
      <c r="M367" s="85"/>
      <c r="N367" s="86" t="e">
        <f t="shared" si="65"/>
        <v>#N/A</v>
      </c>
      <c r="O367" s="86" t="e">
        <f t="shared" si="66"/>
        <v>#N/A</v>
      </c>
      <c r="P367" s="104"/>
    </row>
    <row r="368" spans="1:16" ht="15.75" x14ac:dyDescent="0.25">
      <c r="H368" s="73">
        <f t="shared" si="67"/>
        <v>0</v>
      </c>
      <c r="I368" s="88"/>
      <c r="O368" s="89" t="e">
        <f>SUM(O3:O367)</f>
        <v>#N/A</v>
      </c>
      <c r="P368" s="2"/>
    </row>
    <row r="369" spans="16:16" x14ac:dyDescent="0.25">
      <c r="P369" s="2"/>
    </row>
    <row r="370" spans="16:16" x14ac:dyDescent="0.25">
      <c r="P370" s="2"/>
    </row>
    <row r="371" spans="16:16" x14ac:dyDescent="0.25">
      <c r="P371" s="2"/>
    </row>
    <row r="372" spans="16:16" x14ac:dyDescent="0.25">
      <c r="P372" s="2"/>
    </row>
    <row r="373" spans="16:16" x14ac:dyDescent="0.25">
      <c r="P373" s="2"/>
    </row>
    <row r="374" spans="16:16" x14ac:dyDescent="0.25">
      <c r="P374" s="2"/>
    </row>
    <row r="375" spans="16:16" x14ac:dyDescent="0.25">
      <c r="P375" s="2"/>
    </row>
    <row r="376" spans="16:16" x14ac:dyDescent="0.25">
      <c r="P376" s="2"/>
    </row>
    <row r="377" spans="16:16" x14ac:dyDescent="0.25">
      <c r="P377" s="2"/>
    </row>
    <row r="378" spans="16:16" x14ac:dyDescent="0.25">
      <c r="P378" s="2"/>
    </row>
    <row r="379" spans="16:16" x14ac:dyDescent="0.25">
      <c r="P379" s="2"/>
    </row>
    <row r="380" spans="16:16" x14ac:dyDescent="0.25">
      <c r="P380" s="2"/>
    </row>
    <row r="381" spans="16:16" x14ac:dyDescent="0.25">
      <c r="P381" s="2"/>
    </row>
    <row r="382" spans="16:16" x14ac:dyDescent="0.25">
      <c r="P382" s="2"/>
    </row>
    <row r="383" spans="16:16" x14ac:dyDescent="0.25">
      <c r="P383" s="2"/>
    </row>
    <row r="384" spans="16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53"/>
  <sheetViews>
    <sheetView workbookViewId="0">
      <selection activeCell="B9" sqref="B9"/>
    </sheetView>
  </sheetViews>
  <sheetFormatPr defaultRowHeight="15" x14ac:dyDescent="0.25"/>
  <cols>
    <col min="1" max="1" width="24.42578125" bestFit="1" customWidth="1"/>
    <col min="2" max="2" width="14.5703125" bestFit="1" customWidth="1"/>
    <col min="3" max="3" width="21.42578125" bestFit="1" customWidth="1"/>
    <col min="4" max="4" width="69.85546875" bestFit="1" customWidth="1"/>
    <col min="5" max="5" width="11.42578125" bestFit="1" customWidth="1"/>
    <col min="6" max="6" width="5.42578125" bestFit="1" customWidth="1"/>
    <col min="7" max="7" width="18.42578125" bestFit="1" customWidth="1"/>
    <col min="8" max="8" width="24.85546875" bestFit="1" customWidth="1"/>
    <col min="9" max="9" width="25" bestFit="1" customWidth="1"/>
    <col min="10" max="10" width="14.28515625" bestFit="1" customWidth="1"/>
    <col min="11" max="11" width="19.140625" bestFit="1" customWidth="1"/>
    <col min="13" max="13" width="69.85546875" bestFit="1" customWidth="1"/>
    <col min="14" max="14" width="14.7109375" bestFit="1" customWidth="1"/>
    <col min="15" max="15" width="10.7109375" bestFit="1" customWidth="1"/>
    <col min="16" max="16" width="11.42578125" bestFit="1" customWidth="1"/>
    <col min="17" max="17" width="10.7109375" bestFit="1" customWidth="1"/>
    <col min="18" max="18" width="34.140625" bestFit="1" customWidth="1"/>
    <col min="19" max="19" width="14.7109375" bestFit="1" customWidth="1"/>
    <col min="21" max="21" width="11.42578125" bestFit="1" customWidth="1"/>
    <col min="23" max="23" width="102.28515625" bestFit="1" customWidth="1"/>
    <col min="24" max="24" width="10.5703125" bestFit="1" customWidth="1"/>
    <col min="25" max="25" width="9.5703125" bestFit="1" customWidth="1"/>
    <col min="26" max="26" width="6.85546875" bestFit="1" customWidth="1"/>
    <col min="27" max="27" width="16.5703125" bestFit="1" customWidth="1"/>
    <col min="28" max="28" width="21.42578125" bestFit="1" customWidth="1"/>
    <col min="29" max="29" width="46.5703125" bestFit="1" customWidth="1"/>
    <col min="30" max="30" width="10.5703125" bestFit="1" customWidth="1"/>
    <col min="31" max="31" width="9.5703125" bestFit="1" customWidth="1"/>
    <col min="33" max="33" width="5.5703125" bestFit="1" customWidth="1"/>
    <col min="34" max="34" width="14.28515625" bestFit="1" customWidth="1"/>
    <col min="36" max="36" width="5.5703125" bestFit="1" customWidth="1"/>
  </cols>
  <sheetData>
    <row r="1" spans="1:36" ht="21" x14ac:dyDescent="0.35">
      <c r="A1" s="53" t="s">
        <v>910</v>
      </c>
      <c r="B1" s="53"/>
      <c r="C1" s="53"/>
      <c r="D1" s="53"/>
      <c r="E1" s="53"/>
      <c r="F1" s="54"/>
      <c r="G1" s="54" t="s">
        <v>66</v>
      </c>
      <c r="H1" s="55">
        <f>SUM(H3:H410)</f>
        <v>18254.5</v>
      </c>
      <c r="I1" s="55">
        <f>SUM(I3:I431)</f>
        <v>18298.170375000002</v>
      </c>
      <c r="J1" s="54"/>
      <c r="K1" s="56"/>
      <c r="M1" s="109" t="s">
        <v>911</v>
      </c>
      <c r="N1" s="58"/>
      <c r="O1" s="105">
        <f>SUM(O3:P410)</f>
        <v>2757.2000000000003</v>
      </c>
      <c r="P1" s="59"/>
      <c r="R1" s="109" t="s">
        <v>912</v>
      </c>
      <c r="S1" s="58"/>
      <c r="T1" s="105">
        <f>SUM(T93:U409)</f>
        <v>495.7</v>
      </c>
      <c r="U1" s="59"/>
    </row>
    <row r="2" spans="1:36" x14ac:dyDescent="0.25">
      <c r="A2" s="60" t="s">
        <v>67</v>
      </c>
      <c r="B2" s="61" t="s">
        <v>68</v>
      </c>
      <c r="C2" s="61" t="s">
        <v>5</v>
      </c>
      <c r="D2" s="61" t="s">
        <v>3</v>
      </c>
      <c r="E2" s="61" t="s">
        <v>1</v>
      </c>
      <c r="F2" s="61" t="s">
        <v>69</v>
      </c>
      <c r="G2" s="62" t="s">
        <v>70</v>
      </c>
      <c r="H2" s="62" t="s">
        <v>433</v>
      </c>
      <c r="I2" s="62" t="s">
        <v>434</v>
      </c>
      <c r="J2" s="61" t="s">
        <v>72</v>
      </c>
      <c r="K2" s="63" t="s">
        <v>73</v>
      </c>
      <c r="L2" s="64"/>
      <c r="M2" s="65" t="s">
        <v>74</v>
      </c>
      <c r="N2" s="66" t="s">
        <v>75</v>
      </c>
      <c r="O2" s="66" t="s">
        <v>76</v>
      </c>
      <c r="P2" s="67" t="s">
        <v>1</v>
      </c>
      <c r="Q2" s="64"/>
      <c r="R2" s="65" t="s">
        <v>74</v>
      </c>
      <c r="S2" s="66" t="s">
        <v>75</v>
      </c>
      <c r="T2" s="66" t="s">
        <v>76</v>
      </c>
      <c r="U2" s="67" t="s">
        <v>1</v>
      </c>
      <c r="V2" s="64"/>
      <c r="W2" s="68"/>
      <c r="X2" s="68"/>
      <c r="Y2" s="68"/>
      <c r="Z2" s="93"/>
      <c r="AA2" s="93"/>
      <c r="AB2" s="93"/>
      <c r="AC2" s="93"/>
      <c r="AD2" s="94"/>
      <c r="AE2" s="93"/>
      <c r="AF2" s="93"/>
      <c r="AG2" s="93"/>
      <c r="AH2" s="70"/>
      <c r="AI2" s="70"/>
      <c r="AJ2" s="70"/>
    </row>
    <row r="3" spans="1:36" x14ac:dyDescent="0.25">
      <c r="A3" s="95">
        <v>45629</v>
      </c>
      <c r="B3" s="72" t="s">
        <v>524</v>
      </c>
      <c r="C3" s="72" t="s">
        <v>8</v>
      </c>
      <c r="D3" s="72" t="s">
        <v>15</v>
      </c>
      <c r="E3" s="72" t="s">
        <v>56</v>
      </c>
      <c r="F3" s="72">
        <v>1</v>
      </c>
      <c r="G3" s="73">
        <f t="shared" ref="G3:G18" si="0">VLOOKUP(D3,$W$3:$X$72,2,0)</f>
        <v>70</v>
      </c>
      <c r="H3" s="73">
        <f t="shared" ref="H3:H66" si="1">F3*G3</f>
        <v>70</v>
      </c>
      <c r="I3" s="73">
        <f t="shared" ref="I3:I66" si="2">IF(J3="Master Debito",H3-(H3*$AG$5),IF(J3="Master Credito",H3-(H3*$AG$6), IF(J3="Visa Debito",H3-(H3*$AG$7), IF(J3="Visa Credito", H3-(H3*$AG$8), IF(J3="Elo Debito", H3-(H3*$AG$9), IF(J3="Elo Credito", H3-(H3*$AG$10), IF(J3="Pix", H3-(H3*$AG$11), IF(J3="Dinheiro (R$)", H3-(H3*$AG$12)))))))))</f>
        <v>70</v>
      </c>
      <c r="J3" s="72" t="s">
        <v>83</v>
      </c>
      <c r="K3" s="74"/>
      <c r="M3" s="75" t="s">
        <v>15</v>
      </c>
      <c r="N3" s="76">
        <f t="shared" ref="N3:N30" si="3">VLOOKUP(M3,$W$3:$Y$72,3,0)</f>
        <v>28</v>
      </c>
      <c r="O3" s="110">
        <f>N3*F3</f>
        <v>28</v>
      </c>
      <c r="P3" s="111" t="s">
        <v>56</v>
      </c>
      <c r="R3" s="75"/>
      <c r="S3" s="76" t="e">
        <f t="shared" ref="S3:S66" si="4">VLOOKUP(R3,$W$3:$Y$72,3,0)</f>
        <v>#N/A</v>
      </c>
      <c r="T3" s="76"/>
      <c r="U3" s="111"/>
      <c r="W3" s="50" t="s">
        <v>18</v>
      </c>
      <c r="X3" s="52">
        <v>40</v>
      </c>
      <c r="Y3" s="52">
        <f t="shared" ref="Y3:Y31" si="5">X3*0.4</f>
        <v>16</v>
      </c>
      <c r="Z3" s="51" t="s">
        <v>56</v>
      </c>
      <c r="AA3" s="90" t="s">
        <v>79</v>
      </c>
      <c r="AB3" s="90" t="s">
        <v>8</v>
      </c>
      <c r="AC3" s="91" t="s">
        <v>80</v>
      </c>
      <c r="AD3" s="98">
        <v>40</v>
      </c>
      <c r="AE3" s="92">
        <f t="shared" ref="AE3:AE34" si="6">AD3*0.4</f>
        <v>16</v>
      </c>
      <c r="AF3" s="92"/>
    </row>
    <row r="4" spans="1:36" x14ac:dyDescent="0.25">
      <c r="A4" s="95">
        <v>45629</v>
      </c>
      <c r="B4" s="72" t="s">
        <v>773</v>
      </c>
      <c r="C4" s="72" t="s">
        <v>8</v>
      </c>
      <c r="D4" s="72" t="s">
        <v>18</v>
      </c>
      <c r="E4" s="72" t="s">
        <v>56</v>
      </c>
      <c r="F4" s="72">
        <v>1</v>
      </c>
      <c r="G4" s="73">
        <f t="shared" si="0"/>
        <v>40</v>
      </c>
      <c r="H4" s="73">
        <f t="shared" si="1"/>
        <v>40</v>
      </c>
      <c r="I4" s="73">
        <f t="shared" si="2"/>
        <v>40</v>
      </c>
      <c r="J4" s="72" t="s">
        <v>83</v>
      </c>
      <c r="K4" s="74"/>
      <c r="M4" s="79" t="s">
        <v>18</v>
      </c>
      <c r="N4" s="76">
        <f t="shared" si="3"/>
        <v>16</v>
      </c>
      <c r="O4" s="110">
        <f>N4*F4</f>
        <v>16</v>
      </c>
      <c r="P4" s="112" t="s">
        <v>56</v>
      </c>
      <c r="R4" s="79"/>
      <c r="S4" s="76" t="e">
        <f t="shared" si="4"/>
        <v>#N/A</v>
      </c>
      <c r="T4" s="76"/>
      <c r="U4" s="112"/>
      <c r="W4" s="50" t="s">
        <v>19</v>
      </c>
      <c r="X4" s="52">
        <v>40</v>
      </c>
      <c r="Y4" s="52">
        <f t="shared" si="5"/>
        <v>16</v>
      </c>
      <c r="Z4" s="51" t="s">
        <v>82</v>
      </c>
      <c r="AA4" s="90" t="s">
        <v>83</v>
      </c>
      <c r="AB4" s="90" t="s">
        <v>9</v>
      </c>
      <c r="AC4" s="101" t="s">
        <v>84</v>
      </c>
      <c r="AD4" s="98">
        <v>40</v>
      </c>
      <c r="AE4" s="92">
        <f t="shared" si="6"/>
        <v>16</v>
      </c>
      <c r="AF4" s="92"/>
    </row>
    <row r="5" spans="1:36" x14ac:dyDescent="0.25">
      <c r="A5" s="95">
        <v>45629</v>
      </c>
      <c r="B5" s="72" t="s">
        <v>266</v>
      </c>
      <c r="C5" s="72" t="s">
        <v>8</v>
      </c>
      <c r="D5" s="72" t="s">
        <v>18</v>
      </c>
      <c r="E5" s="72" t="s">
        <v>82</v>
      </c>
      <c r="F5" s="72">
        <v>1</v>
      </c>
      <c r="G5" s="73">
        <f t="shared" si="0"/>
        <v>40</v>
      </c>
      <c r="H5" s="73">
        <f t="shared" si="1"/>
        <v>40</v>
      </c>
      <c r="I5" s="73">
        <f t="shared" si="2"/>
        <v>40</v>
      </c>
      <c r="J5" s="72" t="s">
        <v>79</v>
      </c>
      <c r="K5" s="74"/>
      <c r="M5" s="79"/>
      <c r="N5" s="76" t="e">
        <f t="shared" si="3"/>
        <v>#N/A</v>
      </c>
      <c r="O5" s="110"/>
      <c r="P5" s="112"/>
      <c r="R5" s="79"/>
      <c r="S5" s="76" t="e">
        <f t="shared" si="4"/>
        <v>#N/A</v>
      </c>
      <c r="T5" s="76"/>
      <c r="U5" s="112"/>
      <c r="W5" s="50" t="s">
        <v>22</v>
      </c>
      <c r="X5" s="52">
        <v>30</v>
      </c>
      <c r="Y5" s="52">
        <f t="shared" si="5"/>
        <v>12</v>
      </c>
      <c r="Z5" s="51" t="s">
        <v>913</v>
      </c>
      <c r="AA5" s="90" t="s">
        <v>78</v>
      </c>
      <c r="AB5" s="90" t="s">
        <v>10</v>
      </c>
      <c r="AC5" s="91" t="s">
        <v>87</v>
      </c>
      <c r="AD5" s="92">
        <v>39.043999999999997</v>
      </c>
      <c r="AE5" s="92">
        <f t="shared" si="6"/>
        <v>15.617599999999999</v>
      </c>
      <c r="AF5" s="92"/>
      <c r="AG5" s="108">
        <v>2.1000000000000001E-2</v>
      </c>
      <c r="AH5" s="50" t="s">
        <v>866</v>
      </c>
    </row>
    <row r="6" spans="1:36" x14ac:dyDescent="0.25">
      <c r="A6" s="95">
        <v>45629</v>
      </c>
      <c r="B6" s="72" t="s">
        <v>510</v>
      </c>
      <c r="C6" s="72" t="s">
        <v>8</v>
      </c>
      <c r="D6" s="72" t="s">
        <v>18</v>
      </c>
      <c r="E6" s="72" t="s">
        <v>82</v>
      </c>
      <c r="F6" s="72">
        <v>1</v>
      </c>
      <c r="G6" s="73">
        <f t="shared" si="0"/>
        <v>40</v>
      </c>
      <c r="H6" s="73">
        <f t="shared" si="1"/>
        <v>40</v>
      </c>
      <c r="I6" s="73">
        <f t="shared" si="2"/>
        <v>40</v>
      </c>
      <c r="J6" s="72" t="s">
        <v>83</v>
      </c>
      <c r="K6" s="74"/>
      <c r="M6" s="79"/>
      <c r="N6" s="76" t="e">
        <f t="shared" si="3"/>
        <v>#N/A</v>
      </c>
      <c r="O6" s="110"/>
      <c r="P6" s="112"/>
      <c r="R6" s="79"/>
      <c r="S6" s="76" t="e">
        <f t="shared" si="4"/>
        <v>#N/A</v>
      </c>
      <c r="T6" s="76"/>
      <c r="U6" s="112"/>
      <c r="W6" s="50" t="s">
        <v>23</v>
      </c>
      <c r="X6" s="52">
        <v>5</v>
      </c>
      <c r="Y6" s="52">
        <f t="shared" si="5"/>
        <v>2</v>
      </c>
      <c r="Z6" s="51"/>
      <c r="AA6" s="90" t="s">
        <v>86</v>
      </c>
      <c r="AC6" s="91" t="s">
        <v>90</v>
      </c>
      <c r="AD6" s="92">
        <v>38.003999999999998</v>
      </c>
      <c r="AE6" s="92">
        <f t="shared" si="6"/>
        <v>15.201599999999999</v>
      </c>
      <c r="AF6" s="92"/>
      <c r="AG6" s="108">
        <v>0.05</v>
      </c>
      <c r="AH6" s="50" t="s">
        <v>867</v>
      </c>
      <c r="AJ6" s="108">
        <v>5.2631600000000001E-2</v>
      </c>
    </row>
    <row r="7" spans="1:36" x14ac:dyDescent="0.25">
      <c r="A7" s="95">
        <v>45629</v>
      </c>
      <c r="B7" s="72" t="s">
        <v>483</v>
      </c>
      <c r="C7" s="72" t="s">
        <v>8</v>
      </c>
      <c r="D7" s="72" t="s">
        <v>18</v>
      </c>
      <c r="E7" s="72" t="s">
        <v>82</v>
      </c>
      <c r="F7" s="72">
        <v>1</v>
      </c>
      <c r="G7" s="73">
        <f t="shared" si="0"/>
        <v>40</v>
      </c>
      <c r="H7" s="73">
        <f t="shared" si="1"/>
        <v>40</v>
      </c>
      <c r="I7" s="73">
        <f t="shared" si="2"/>
        <v>40</v>
      </c>
      <c r="J7" s="72" t="s">
        <v>83</v>
      </c>
      <c r="K7" s="74"/>
      <c r="M7" s="79"/>
      <c r="N7" s="76" t="e">
        <f t="shared" si="3"/>
        <v>#N/A</v>
      </c>
      <c r="O7" s="110"/>
      <c r="P7" s="112"/>
      <c r="R7" s="79"/>
      <c r="S7" s="76" t="e">
        <f t="shared" si="4"/>
        <v>#N/A</v>
      </c>
      <c r="T7" s="76"/>
      <c r="U7" s="112"/>
      <c r="W7" s="50" t="s">
        <v>914</v>
      </c>
      <c r="X7" s="52">
        <v>10</v>
      </c>
      <c r="Y7" s="52">
        <f t="shared" si="5"/>
        <v>4</v>
      </c>
      <c r="AC7" s="91" t="s">
        <v>93</v>
      </c>
      <c r="AD7" s="92">
        <v>40</v>
      </c>
      <c r="AE7" s="92">
        <f t="shared" si="6"/>
        <v>16</v>
      </c>
      <c r="AF7" s="92"/>
      <c r="AG7" s="108">
        <v>2.0875000000000001E-2</v>
      </c>
      <c r="AH7" s="50" t="s">
        <v>868</v>
      </c>
    </row>
    <row r="8" spans="1:36" x14ac:dyDescent="0.25">
      <c r="A8" s="95">
        <v>45629</v>
      </c>
      <c r="B8" s="72" t="s">
        <v>915</v>
      </c>
      <c r="C8" s="72" t="s">
        <v>8</v>
      </c>
      <c r="D8" s="72" t="s">
        <v>916</v>
      </c>
      <c r="E8" s="72" t="s">
        <v>56</v>
      </c>
      <c r="F8" s="72">
        <v>1</v>
      </c>
      <c r="G8" s="73">
        <f t="shared" si="0"/>
        <v>50</v>
      </c>
      <c r="H8" s="73">
        <f t="shared" si="1"/>
        <v>50</v>
      </c>
      <c r="I8" s="73">
        <f t="shared" si="2"/>
        <v>47.5</v>
      </c>
      <c r="J8" s="72" t="s">
        <v>867</v>
      </c>
      <c r="K8" s="74"/>
      <c r="M8" s="79" t="s">
        <v>916</v>
      </c>
      <c r="N8" s="76">
        <f t="shared" si="3"/>
        <v>20</v>
      </c>
      <c r="O8" s="110">
        <f>N8*F8</f>
        <v>20</v>
      </c>
      <c r="P8" s="112" t="s">
        <v>56</v>
      </c>
      <c r="R8" s="79"/>
      <c r="S8" s="76" t="e">
        <f t="shared" si="4"/>
        <v>#N/A</v>
      </c>
      <c r="T8" s="76"/>
      <c r="U8" s="112"/>
      <c r="W8" s="50" t="s">
        <v>21</v>
      </c>
      <c r="X8" s="52">
        <v>10</v>
      </c>
      <c r="Y8" s="52">
        <f t="shared" si="5"/>
        <v>4</v>
      </c>
      <c r="AC8" s="91" t="s">
        <v>95</v>
      </c>
      <c r="AD8" s="92">
        <v>40</v>
      </c>
      <c r="AE8" s="92">
        <f t="shared" si="6"/>
        <v>16</v>
      </c>
      <c r="AF8" s="92"/>
      <c r="AG8" s="108">
        <v>4.65E-2</v>
      </c>
      <c r="AH8" s="50" t="s">
        <v>865</v>
      </c>
    </row>
    <row r="9" spans="1:36" x14ac:dyDescent="0.25">
      <c r="A9" s="95">
        <v>45629</v>
      </c>
      <c r="B9" s="72" t="s">
        <v>574</v>
      </c>
      <c r="C9" s="72" t="s">
        <v>8</v>
      </c>
      <c r="D9" s="72" t="s">
        <v>916</v>
      </c>
      <c r="E9" s="72" t="s">
        <v>82</v>
      </c>
      <c r="F9" s="72">
        <v>1</v>
      </c>
      <c r="G9" s="73">
        <f t="shared" si="0"/>
        <v>50</v>
      </c>
      <c r="H9" s="73">
        <f t="shared" si="1"/>
        <v>50</v>
      </c>
      <c r="I9" s="73">
        <f t="shared" si="2"/>
        <v>50</v>
      </c>
      <c r="J9" s="72" t="s">
        <v>83</v>
      </c>
      <c r="K9" s="74"/>
      <c r="M9" s="79"/>
      <c r="N9" s="76" t="e">
        <f t="shared" si="3"/>
        <v>#N/A</v>
      </c>
      <c r="O9" s="110"/>
      <c r="P9" s="112"/>
      <c r="R9" s="79"/>
      <c r="S9" s="76" t="e">
        <f t="shared" si="4"/>
        <v>#N/A</v>
      </c>
      <c r="T9" s="76"/>
      <c r="U9" s="112"/>
      <c r="W9" s="50" t="s">
        <v>42</v>
      </c>
      <c r="X9" s="52">
        <v>20</v>
      </c>
      <c r="Y9" s="52">
        <f t="shared" si="5"/>
        <v>8</v>
      </c>
      <c r="AC9" s="91" t="s">
        <v>98</v>
      </c>
      <c r="AD9" s="92">
        <v>39.043999999999997</v>
      </c>
      <c r="AE9" s="92">
        <f t="shared" si="6"/>
        <v>15.617599999999999</v>
      </c>
      <c r="AF9" s="92"/>
      <c r="AG9" s="108">
        <v>2.4E-2</v>
      </c>
      <c r="AH9" s="50" t="s">
        <v>869</v>
      </c>
    </row>
    <row r="10" spans="1:36" x14ac:dyDescent="0.25">
      <c r="A10" s="95">
        <v>45630</v>
      </c>
      <c r="B10" s="72" t="s">
        <v>690</v>
      </c>
      <c r="C10" s="72" t="s">
        <v>10</v>
      </c>
      <c r="D10" s="72" t="s">
        <v>916</v>
      </c>
      <c r="E10" s="72" t="s">
        <v>56</v>
      </c>
      <c r="F10" s="72">
        <v>1</v>
      </c>
      <c r="G10" s="73">
        <f t="shared" si="0"/>
        <v>50</v>
      </c>
      <c r="H10" s="73">
        <f t="shared" si="1"/>
        <v>50</v>
      </c>
      <c r="I10" s="73">
        <f t="shared" si="2"/>
        <v>50</v>
      </c>
      <c r="J10" s="72" t="s">
        <v>79</v>
      </c>
      <c r="K10" s="74"/>
      <c r="M10" s="79" t="s">
        <v>916</v>
      </c>
      <c r="N10" s="76">
        <f t="shared" si="3"/>
        <v>20</v>
      </c>
      <c r="O10" s="110">
        <f>N10*F10</f>
        <v>20</v>
      </c>
      <c r="P10" s="112" t="s">
        <v>56</v>
      </c>
      <c r="R10" s="79"/>
      <c r="S10" s="76" t="e">
        <f t="shared" si="4"/>
        <v>#N/A</v>
      </c>
      <c r="T10" s="76"/>
      <c r="U10" s="112"/>
      <c r="W10" s="50" t="s">
        <v>99</v>
      </c>
      <c r="X10" s="52">
        <v>40</v>
      </c>
      <c r="Y10" s="52">
        <f t="shared" si="5"/>
        <v>16</v>
      </c>
      <c r="AC10" s="91" t="s">
        <v>100</v>
      </c>
      <c r="AD10" s="92">
        <v>38.003999999999998</v>
      </c>
      <c r="AE10" s="92">
        <f t="shared" si="6"/>
        <v>15.201599999999999</v>
      </c>
      <c r="AF10" s="92"/>
      <c r="AG10" s="108">
        <v>4.7750000000000001E-2</v>
      </c>
      <c r="AH10" s="50" t="s">
        <v>870</v>
      </c>
    </row>
    <row r="11" spans="1:36" x14ac:dyDescent="0.25">
      <c r="A11" s="95">
        <v>45630</v>
      </c>
      <c r="B11" s="72" t="s">
        <v>704</v>
      </c>
      <c r="C11" s="72" t="s">
        <v>10</v>
      </c>
      <c r="D11" s="72" t="s">
        <v>18</v>
      </c>
      <c r="E11" s="72" t="s">
        <v>56</v>
      </c>
      <c r="F11" s="72">
        <v>1</v>
      </c>
      <c r="G11" s="73">
        <f t="shared" si="0"/>
        <v>40</v>
      </c>
      <c r="H11" s="73">
        <f t="shared" si="1"/>
        <v>40</v>
      </c>
      <c r="I11" s="73">
        <f t="shared" si="2"/>
        <v>40</v>
      </c>
      <c r="J11" s="72" t="s">
        <v>79</v>
      </c>
      <c r="K11" s="74"/>
      <c r="M11" s="79" t="s">
        <v>916</v>
      </c>
      <c r="N11" s="76">
        <f t="shared" si="3"/>
        <v>20</v>
      </c>
      <c r="O11" s="110">
        <f>N11*F11</f>
        <v>20</v>
      </c>
      <c r="P11" s="112" t="s">
        <v>56</v>
      </c>
      <c r="R11" s="79"/>
      <c r="S11" s="76" t="e">
        <f t="shared" si="4"/>
        <v>#N/A</v>
      </c>
      <c r="T11" s="76"/>
      <c r="U11" s="112"/>
      <c r="W11" s="50" t="s">
        <v>13</v>
      </c>
      <c r="X11" s="52">
        <v>30</v>
      </c>
      <c r="Y11" s="52">
        <f t="shared" si="5"/>
        <v>12</v>
      </c>
      <c r="AC11" s="91" t="s">
        <v>102</v>
      </c>
      <c r="AD11" s="92">
        <v>30</v>
      </c>
      <c r="AE11" s="92">
        <f t="shared" si="6"/>
        <v>12</v>
      </c>
      <c r="AF11" s="92"/>
      <c r="AG11" s="108">
        <v>0</v>
      </c>
      <c r="AH11" s="50" t="s">
        <v>83</v>
      </c>
    </row>
    <row r="12" spans="1:36" x14ac:dyDescent="0.25">
      <c r="A12" s="95">
        <v>45630</v>
      </c>
      <c r="B12" s="72" t="s">
        <v>734</v>
      </c>
      <c r="C12" s="72" t="s">
        <v>8</v>
      </c>
      <c r="D12" s="72" t="s">
        <v>917</v>
      </c>
      <c r="E12" s="72" t="s">
        <v>56</v>
      </c>
      <c r="F12" s="72">
        <v>1</v>
      </c>
      <c r="G12" s="73">
        <f t="shared" si="0"/>
        <v>140</v>
      </c>
      <c r="H12" s="73">
        <f t="shared" si="1"/>
        <v>140</v>
      </c>
      <c r="I12" s="73">
        <f t="shared" si="2"/>
        <v>133</v>
      </c>
      <c r="J12" s="72" t="s">
        <v>867</v>
      </c>
      <c r="K12" s="74"/>
      <c r="M12" s="79" t="s">
        <v>917</v>
      </c>
      <c r="N12" s="76">
        <f t="shared" si="3"/>
        <v>56</v>
      </c>
      <c r="O12" s="110">
        <f>N12*F12</f>
        <v>56</v>
      </c>
      <c r="P12" s="112" t="s">
        <v>56</v>
      </c>
      <c r="R12" s="79"/>
      <c r="S12" s="76" t="e">
        <f t="shared" si="4"/>
        <v>#N/A</v>
      </c>
      <c r="T12" s="76"/>
      <c r="U12" s="112"/>
      <c r="W12" s="50" t="s">
        <v>104</v>
      </c>
      <c r="X12" s="52">
        <v>60</v>
      </c>
      <c r="Y12" s="52">
        <f t="shared" si="5"/>
        <v>24</v>
      </c>
      <c r="AC12" s="91" t="s">
        <v>105</v>
      </c>
      <c r="AD12" s="92">
        <v>30</v>
      </c>
      <c r="AE12" s="92">
        <f t="shared" si="6"/>
        <v>12</v>
      </c>
      <c r="AF12" s="92"/>
      <c r="AG12" s="108">
        <v>0</v>
      </c>
      <c r="AH12" s="50" t="s">
        <v>79</v>
      </c>
    </row>
    <row r="13" spans="1:36" x14ac:dyDescent="0.25">
      <c r="A13" s="95">
        <v>45630</v>
      </c>
      <c r="B13" s="72" t="s">
        <v>578</v>
      </c>
      <c r="C13" s="72" t="s">
        <v>8</v>
      </c>
      <c r="D13" s="72" t="s">
        <v>916</v>
      </c>
      <c r="E13" s="72" t="s">
        <v>82</v>
      </c>
      <c r="F13" s="72">
        <v>1</v>
      </c>
      <c r="G13" s="73">
        <f t="shared" si="0"/>
        <v>50</v>
      </c>
      <c r="H13" s="73">
        <f t="shared" si="1"/>
        <v>50</v>
      </c>
      <c r="I13" s="73">
        <f t="shared" si="2"/>
        <v>50</v>
      </c>
      <c r="J13" s="72" t="s">
        <v>83</v>
      </c>
      <c r="K13" s="74"/>
      <c r="M13" s="79"/>
      <c r="N13" s="76" t="e">
        <f t="shared" si="3"/>
        <v>#N/A</v>
      </c>
      <c r="O13" s="110"/>
      <c r="P13" s="112"/>
      <c r="R13" s="79"/>
      <c r="S13" s="76" t="e">
        <f t="shared" si="4"/>
        <v>#N/A</v>
      </c>
      <c r="T13" s="76"/>
      <c r="U13" s="112"/>
      <c r="W13" s="50" t="s">
        <v>106</v>
      </c>
      <c r="X13" s="52">
        <v>15</v>
      </c>
      <c r="Y13" s="52">
        <f t="shared" si="5"/>
        <v>6</v>
      </c>
      <c r="AC13" s="91" t="s">
        <v>107</v>
      </c>
      <c r="AD13" s="92">
        <v>29.283000000000001</v>
      </c>
      <c r="AE13" s="92">
        <f t="shared" si="6"/>
        <v>11.713200000000001</v>
      </c>
      <c r="AF13" s="92"/>
    </row>
    <row r="14" spans="1:36" x14ac:dyDescent="0.25">
      <c r="A14" s="95">
        <v>45630</v>
      </c>
      <c r="B14" s="72" t="s">
        <v>918</v>
      </c>
      <c r="C14" s="72" t="s">
        <v>8</v>
      </c>
      <c r="D14" s="72" t="s">
        <v>919</v>
      </c>
      <c r="E14" s="72" t="s">
        <v>82</v>
      </c>
      <c r="F14" s="72">
        <v>1</v>
      </c>
      <c r="G14" s="73">
        <f t="shared" si="0"/>
        <v>90</v>
      </c>
      <c r="H14" s="73">
        <f t="shared" si="1"/>
        <v>90</v>
      </c>
      <c r="I14" s="73">
        <f t="shared" si="2"/>
        <v>85.5</v>
      </c>
      <c r="J14" s="72" t="s">
        <v>867</v>
      </c>
      <c r="K14" s="74"/>
      <c r="M14" s="79"/>
      <c r="N14" s="76" t="e">
        <f t="shared" si="3"/>
        <v>#N/A</v>
      </c>
      <c r="O14" s="110"/>
      <c r="P14" s="112"/>
      <c r="R14" s="79"/>
      <c r="S14" s="76" t="e">
        <f t="shared" si="4"/>
        <v>#N/A</v>
      </c>
      <c r="T14" s="76"/>
      <c r="U14" s="112"/>
      <c r="W14" s="50" t="s">
        <v>15</v>
      </c>
      <c r="X14" s="52">
        <v>70</v>
      </c>
      <c r="Y14" s="52">
        <f t="shared" si="5"/>
        <v>28</v>
      </c>
      <c r="AC14" s="91" t="s">
        <v>108</v>
      </c>
      <c r="AD14" s="92">
        <v>28.503</v>
      </c>
      <c r="AE14" s="92">
        <f t="shared" si="6"/>
        <v>11.401200000000001</v>
      </c>
      <c r="AF14" s="92"/>
    </row>
    <row r="15" spans="1:36" x14ac:dyDescent="0.25">
      <c r="A15" s="95">
        <v>45630</v>
      </c>
      <c r="B15" s="72" t="s">
        <v>511</v>
      </c>
      <c r="C15" s="72" t="s">
        <v>8</v>
      </c>
      <c r="D15" s="72" t="s">
        <v>920</v>
      </c>
      <c r="E15" s="72" t="s">
        <v>82</v>
      </c>
      <c r="F15" s="72">
        <v>1</v>
      </c>
      <c r="G15" s="73">
        <f t="shared" si="0"/>
        <v>80</v>
      </c>
      <c r="H15" s="73">
        <f t="shared" si="1"/>
        <v>80</v>
      </c>
      <c r="I15" s="73">
        <f t="shared" si="2"/>
        <v>76</v>
      </c>
      <c r="J15" s="72" t="s">
        <v>867</v>
      </c>
      <c r="K15" s="74"/>
      <c r="M15" s="79"/>
      <c r="N15" s="76" t="e">
        <f t="shared" si="3"/>
        <v>#N/A</v>
      </c>
      <c r="O15" s="110"/>
      <c r="P15" s="112"/>
      <c r="R15" s="79"/>
      <c r="S15" s="76" t="e">
        <f t="shared" si="4"/>
        <v>#N/A</v>
      </c>
      <c r="T15" s="76"/>
      <c r="U15" s="112"/>
      <c r="W15" s="50" t="s">
        <v>40</v>
      </c>
      <c r="X15" s="52">
        <v>45</v>
      </c>
      <c r="Y15" s="52">
        <f t="shared" si="5"/>
        <v>18</v>
      </c>
      <c r="AC15" s="91" t="s">
        <v>110</v>
      </c>
      <c r="AD15" s="92">
        <v>5</v>
      </c>
      <c r="AE15" s="92">
        <f t="shared" si="6"/>
        <v>2</v>
      </c>
      <c r="AF15" s="92"/>
    </row>
    <row r="16" spans="1:36" x14ac:dyDescent="0.25">
      <c r="A16" s="95">
        <v>45630</v>
      </c>
      <c r="B16" s="72" t="s">
        <v>279</v>
      </c>
      <c r="C16" s="72" t="s">
        <v>8</v>
      </c>
      <c r="D16" s="72" t="s">
        <v>18</v>
      </c>
      <c r="E16" s="72" t="s">
        <v>82</v>
      </c>
      <c r="F16" s="72">
        <v>2</v>
      </c>
      <c r="G16" s="73">
        <f t="shared" si="0"/>
        <v>40</v>
      </c>
      <c r="H16" s="73">
        <f t="shared" si="1"/>
        <v>80</v>
      </c>
      <c r="I16" s="73">
        <f t="shared" si="2"/>
        <v>76</v>
      </c>
      <c r="J16" s="72" t="s">
        <v>867</v>
      </c>
      <c r="K16" s="74"/>
      <c r="M16" s="79"/>
      <c r="N16" s="76" t="e">
        <f t="shared" si="3"/>
        <v>#N/A</v>
      </c>
      <c r="O16" s="110"/>
      <c r="P16" s="112"/>
      <c r="R16" s="79"/>
      <c r="S16" s="76" t="e">
        <f t="shared" si="4"/>
        <v>#N/A</v>
      </c>
      <c r="T16" s="76"/>
      <c r="U16" s="112"/>
      <c r="W16" s="50" t="s">
        <v>916</v>
      </c>
      <c r="X16" s="52">
        <v>50</v>
      </c>
      <c r="Y16" s="52">
        <f t="shared" si="5"/>
        <v>20</v>
      </c>
      <c r="AC16" s="91" t="s">
        <v>113</v>
      </c>
      <c r="AD16" s="92">
        <v>5</v>
      </c>
      <c r="AE16" s="92">
        <f t="shared" si="6"/>
        <v>2</v>
      </c>
      <c r="AF16" s="92"/>
    </row>
    <row r="17" spans="1:32" x14ac:dyDescent="0.25">
      <c r="A17" s="95">
        <v>45630</v>
      </c>
      <c r="B17" s="72" t="s">
        <v>491</v>
      </c>
      <c r="C17" s="72" t="s">
        <v>8</v>
      </c>
      <c r="D17" s="72" t="s">
        <v>15</v>
      </c>
      <c r="E17" s="72" t="s">
        <v>82</v>
      </c>
      <c r="F17" s="72">
        <v>1</v>
      </c>
      <c r="G17" s="73">
        <f t="shared" si="0"/>
        <v>70</v>
      </c>
      <c r="H17" s="73">
        <f t="shared" si="1"/>
        <v>70</v>
      </c>
      <c r="I17" s="73">
        <f t="shared" si="2"/>
        <v>68.538749999999993</v>
      </c>
      <c r="J17" s="72" t="s">
        <v>868</v>
      </c>
      <c r="K17" s="74"/>
      <c r="M17" s="79"/>
      <c r="N17" s="76" t="e">
        <f t="shared" si="3"/>
        <v>#N/A</v>
      </c>
      <c r="O17" s="110"/>
      <c r="P17" s="112"/>
      <c r="R17" s="79"/>
      <c r="S17" s="76" t="e">
        <f t="shared" si="4"/>
        <v>#N/A</v>
      </c>
      <c r="T17" s="76"/>
      <c r="U17" s="112"/>
      <c r="W17" s="50" t="s">
        <v>112</v>
      </c>
      <c r="X17" s="52">
        <v>75</v>
      </c>
      <c r="Y17" s="52">
        <f t="shared" si="5"/>
        <v>30</v>
      </c>
      <c r="AC17" s="91" t="s">
        <v>115</v>
      </c>
      <c r="AD17" s="92">
        <v>4.8804999999999996</v>
      </c>
      <c r="AE17" s="92">
        <f t="shared" si="6"/>
        <v>1.9521999999999999</v>
      </c>
      <c r="AF17" s="92"/>
    </row>
    <row r="18" spans="1:32" x14ac:dyDescent="0.25">
      <c r="A18" s="95">
        <v>45630</v>
      </c>
      <c r="B18" s="72" t="s">
        <v>517</v>
      </c>
      <c r="C18" s="72" t="s">
        <v>8</v>
      </c>
      <c r="D18" s="72" t="s">
        <v>18</v>
      </c>
      <c r="E18" s="72" t="s">
        <v>82</v>
      </c>
      <c r="F18" s="72">
        <v>1</v>
      </c>
      <c r="G18" s="73">
        <f t="shared" si="0"/>
        <v>40</v>
      </c>
      <c r="H18" s="73">
        <f t="shared" si="1"/>
        <v>40</v>
      </c>
      <c r="I18" s="73">
        <f t="shared" si="2"/>
        <v>40</v>
      </c>
      <c r="J18" s="72" t="s">
        <v>79</v>
      </c>
      <c r="K18" s="74"/>
      <c r="M18" s="79"/>
      <c r="N18" s="76" t="e">
        <f t="shared" si="3"/>
        <v>#N/A</v>
      </c>
      <c r="O18" s="110"/>
      <c r="P18" s="112"/>
      <c r="R18" s="79"/>
      <c r="S18" s="76" t="e">
        <f t="shared" si="4"/>
        <v>#N/A</v>
      </c>
      <c r="T18" s="76"/>
      <c r="U18" s="112"/>
      <c r="W18" s="50" t="s">
        <v>921</v>
      </c>
      <c r="X18" s="52">
        <v>55</v>
      </c>
      <c r="Y18" s="52">
        <f t="shared" si="5"/>
        <v>22</v>
      </c>
      <c r="AC18" s="91" t="s">
        <v>117</v>
      </c>
      <c r="AD18" s="92">
        <v>4.7504999999999997</v>
      </c>
      <c r="AE18" s="92">
        <f t="shared" si="6"/>
        <v>1.9001999999999999</v>
      </c>
    </row>
    <row r="19" spans="1:32" x14ac:dyDescent="0.25">
      <c r="A19" s="95">
        <v>45630</v>
      </c>
      <c r="B19" s="72" t="s">
        <v>220</v>
      </c>
      <c r="C19" s="72" t="s">
        <v>8</v>
      </c>
      <c r="D19" s="72" t="s">
        <v>64</v>
      </c>
      <c r="E19" s="72" t="s">
        <v>82</v>
      </c>
      <c r="F19" s="72">
        <v>1</v>
      </c>
      <c r="G19" s="73">
        <v>20</v>
      </c>
      <c r="H19" s="73">
        <f t="shared" si="1"/>
        <v>20</v>
      </c>
      <c r="I19" s="73">
        <f t="shared" si="2"/>
        <v>20</v>
      </c>
      <c r="J19" s="72" t="s">
        <v>83</v>
      </c>
      <c r="K19" s="74"/>
      <c r="M19" s="79"/>
      <c r="N19" s="76" t="e">
        <f t="shared" si="3"/>
        <v>#N/A</v>
      </c>
      <c r="O19" s="110"/>
      <c r="P19" s="112"/>
      <c r="R19" s="79"/>
      <c r="S19" s="76" t="e">
        <f t="shared" si="4"/>
        <v>#N/A</v>
      </c>
      <c r="T19" s="76"/>
      <c r="U19" s="112"/>
      <c r="W19" s="50" t="s">
        <v>58</v>
      </c>
      <c r="X19" s="52">
        <v>100</v>
      </c>
      <c r="Y19" s="52">
        <f t="shared" si="5"/>
        <v>40</v>
      </c>
      <c r="AC19" s="91" t="s">
        <v>119</v>
      </c>
      <c r="AD19" s="92">
        <v>10</v>
      </c>
      <c r="AE19" s="92">
        <f t="shared" si="6"/>
        <v>4</v>
      </c>
    </row>
    <row r="20" spans="1:32" x14ac:dyDescent="0.25">
      <c r="A20" s="95">
        <v>45631</v>
      </c>
      <c r="B20" s="72" t="s">
        <v>537</v>
      </c>
      <c r="C20" s="72" t="s">
        <v>10</v>
      </c>
      <c r="D20" s="72" t="s">
        <v>18</v>
      </c>
      <c r="E20" s="72" t="s">
        <v>56</v>
      </c>
      <c r="F20" s="72">
        <v>1</v>
      </c>
      <c r="G20" s="73">
        <f>VLOOKUP(D20,$W$3:$X$72,2,0)</f>
        <v>40</v>
      </c>
      <c r="H20" s="73">
        <f t="shared" si="1"/>
        <v>40</v>
      </c>
      <c r="I20" s="73">
        <f t="shared" si="2"/>
        <v>40</v>
      </c>
      <c r="J20" s="72" t="s">
        <v>79</v>
      </c>
      <c r="K20" s="74"/>
      <c r="M20" s="79" t="s">
        <v>18</v>
      </c>
      <c r="N20" s="76">
        <f t="shared" si="3"/>
        <v>16</v>
      </c>
      <c r="O20" s="110">
        <f>N20*F20</f>
        <v>16</v>
      </c>
      <c r="P20" s="112" t="s">
        <v>56</v>
      </c>
      <c r="R20" s="79"/>
      <c r="S20" s="76" t="e">
        <f t="shared" si="4"/>
        <v>#N/A</v>
      </c>
      <c r="T20" s="76"/>
      <c r="U20" s="112"/>
      <c r="W20" s="50" t="s">
        <v>919</v>
      </c>
      <c r="X20" s="52">
        <v>90</v>
      </c>
      <c r="Y20" s="52">
        <f t="shared" si="5"/>
        <v>36</v>
      </c>
      <c r="AC20" s="91" t="s">
        <v>122</v>
      </c>
      <c r="AD20" s="92">
        <v>10</v>
      </c>
      <c r="AE20" s="92">
        <f t="shared" si="6"/>
        <v>4</v>
      </c>
    </row>
    <row r="21" spans="1:32" x14ac:dyDescent="0.25">
      <c r="A21" s="95">
        <v>45631</v>
      </c>
      <c r="B21" s="72" t="s">
        <v>922</v>
      </c>
      <c r="C21" s="72" t="s">
        <v>10</v>
      </c>
      <c r="D21" s="72" t="s">
        <v>18</v>
      </c>
      <c r="E21" s="72" t="s">
        <v>56</v>
      </c>
      <c r="F21" s="72">
        <v>1</v>
      </c>
      <c r="G21" s="73">
        <f>VLOOKUP(D21,$W$3:$X$72,2,0)</f>
        <v>40</v>
      </c>
      <c r="H21" s="73">
        <f t="shared" si="1"/>
        <v>40</v>
      </c>
      <c r="I21" s="73">
        <f t="shared" si="2"/>
        <v>38</v>
      </c>
      <c r="J21" s="72" t="s">
        <v>867</v>
      </c>
      <c r="K21" s="74"/>
      <c r="M21" s="79" t="s">
        <v>18</v>
      </c>
      <c r="N21" s="76">
        <f t="shared" si="3"/>
        <v>16</v>
      </c>
      <c r="O21" s="110">
        <f>N21*F21</f>
        <v>16</v>
      </c>
      <c r="P21" s="112" t="s">
        <v>56</v>
      </c>
      <c r="R21" s="79"/>
      <c r="S21" s="76" t="e">
        <f t="shared" si="4"/>
        <v>#N/A</v>
      </c>
      <c r="T21" s="76"/>
      <c r="U21" s="112"/>
      <c r="W21" s="50" t="s">
        <v>923</v>
      </c>
      <c r="X21" s="52">
        <v>180</v>
      </c>
      <c r="Y21" s="52">
        <f t="shared" si="5"/>
        <v>72</v>
      </c>
      <c r="AC21" s="91" t="s">
        <v>123</v>
      </c>
      <c r="AD21" s="92">
        <v>9.7609999999999992</v>
      </c>
      <c r="AE21" s="92">
        <f t="shared" si="6"/>
        <v>3.9043999999999999</v>
      </c>
    </row>
    <row r="22" spans="1:32" x14ac:dyDescent="0.25">
      <c r="A22" s="95">
        <v>45631</v>
      </c>
      <c r="B22" s="72" t="s">
        <v>276</v>
      </c>
      <c r="C22" s="72" t="s">
        <v>8</v>
      </c>
      <c r="D22" s="72" t="s">
        <v>18</v>
      </c>
      <c r="E22" s="72" t="s">
        <v>82</v>
      </c>
      <c r="F22" s="72">
        <v>1</v>
      </c>
      <c r="G22" s="73">
        <f>VLOOKUP(D22,$W$3:$X$72,2,0)</f>
        <v>40</v>
      </c>
      <c r="H22" s="73">
        <f t="shared" si="1"/>
        <v>40</v>
      </c>
      <c r="I22" s="73">
        <f t="shared" si="2"/>
        <v>38.090000000000003</v>
      </c>
      <c r="J22" s="72" t="s">
        <v>870</v>
      </c>
      <c r="K22" s="74"/>
      <c r="M22" s="79"/>
      <c r="N22" s="76" t="e">
        <f t="shared" si="3"/>
        <v>#N/A</v>
      </c>
      <c r="O22" s="110"/>
      <c r="P22" s="112"/>
      <c r="R22" s="79"/>
      <c r="S22" s="76" t="e">
        <f t="shared" si="4"/>
        <v>#N/A</v>
      </c>
      <c r="T22" s="76"/>
      <c r="U22" s="112"/>
      <c r="W22" s="50" t="s">
        <v>924</v>
      </c>
      <c r="X22" s="52">
        <v>130</v>
      </c>
      <c r="Y22" s="52">
        <f t="shared" si="5"/>
        <v>52</v>
      </c>
      <c r="AC22" s="91" t="s">
        <v>125</v>
      </c>
      <c r="AD22" s="92">
        <v>9.5009999999999994</v>
      </c>
      <c r="AE22" s="92">
        <f t="shared" si="6"/>
        <v>3.8003999999999998</v>
      </c>
      <c r="AF22" s="92"/>
    </row>
    <row r="23" spans="1:32" x14ac:dyDescent="0.25">
      <c r="A23" s="95">
        <v>45631</v>
      </c>
      <c r="B23" s="72" t="s">
        <v>458</v>
      </c>
      <c r="C23" s="72" t="s">
        <v>8</v>
      </c>
      <c r="D23" s="72" t="s">
        <v>40</v>
      </c>
      <c r="E23" s="72" t="s">
        <v>82</v>
      </c>
      <c r="F23" s="72">
        <v>1</v>
      </c>
      <c r="G23" s="73">
        <v>44</v>
      </c>
      <c r="H23" s="73">
        <f t="shared" si="1"/>
        <v>44</v>
      </c>
      <c r="I23" s="73">
        <f t="shared" si="2"/>
        <v>44</v>
      </c>
      <c r="J23" s="72" t="s">
        <v>83</v>
      </c>
      <c r="K23" s="74"/>
      <c r="M23" s="79"/>
      <c r="N23" s="76" t="e">
        <f t="shared" si="3"/>
        <v>#N/A</v>
      </c>
      <c r="O23" s="110"/>
      <c r="P23" s="112"/>
      <c r="R23" s="79"/>
      <c r="S23" s="76" t="e">
        <f t="shared" si="4"/>
        <v>#N/A</v>
      </c>
      <c r="T23" s="76"/>
      <c r="U23" s="112"/>
      <c r="W23" s="50" t="s">
        <v>925</v>
      </c>
      <c r="X23" s="52">
        <v>240</v>
      </c>
      <c r="Y23" s="52">
        <f t="shared" si="5"/>
        <v>96</v>
      </c>
      <c r="AC23" s="91" t="s">
        <v>126</v>
      </c>
      <c r="AD23" s="92">
        <v>10</v>
      </c>
      <c r="AE23" s="92">
        <f t="shared" si="6"/>
        <v>4</v>
      </c>
      <c r="AF23" s="92"/>
    </row>
    <row r="24" spans="1:32" x14ac:dyDescent="0.25">
      <c r="A24" s="95">
        <v>45631</v>
      </c>
      <c r="B24" s="72" t="s">
        <v>194</v>
      </c>
      <c r="C24" s="72" t="s">
        <v>8</v>
      </c>
      <c r="D24" s="72" t="s">
        <v>18</v>
      </c>
      <c r="E24" s="72" t="s">
        <v>82</v>
      </c>
      <c r="F24" s="72">
        <v>1</v>
      </c>
      <c r="G24" s="73">
        <f t="shared" ref="G24:G30" si="7">VLOOKUP(D24,$W$3:$X$72,2,0)</f>
        <v>40</v>
      </c>
      <c r="H24" s="73">
        <f t="shared" si="1"/>
        <v>40</v>
      </c>
      <c r="I24" s="73">
        <f t="shared" si="2"/>
        <v>40</v>
      </c>
      <c r="J24" s="72" t="s">
        <v>83</v>
      </c>
      <c r="K24" s="74"/>
      <c r="M24" s="79"/>
      <c r="N24" s="76" t="e">
        <f t="shared" si="3"/>
        <v>#N/A</v>
      </c>
      <c r="O24" s="110"/>
      <c r="P24" s="112"/>
      <c r="R24" s="79"/>
      <c r="S24" s="76" t="e">
        <f t="shared" si="4"/>
        <v>#N/A</v>
      </c>
      <c r="T24" s="76"/>
      <c r="U24" s="112"/>
      <c r="W24" s="50" t="s">
        <v>920</v>
      </c>
      <c r="X24" s="52">
        <v>80</v>
      </c>
      <c r="Y24" s="52">
        <f t="shared" si="5"/>
        <v>32</v>
      </c>
      <c r="AC24" s="91" t="s">
        <v>128</v>
      </c>
      <c r="AD24" s="92">
        <v>10</v>
      </c>
      <c r="AE24" s="92">
        <f t="shared" si="6"/>
        <v>4</v>
      </c>
    </row>
    <row r="25" spans="1:32" x14ac:dyDescent="0.25">
      <c r="A25" s="95">
        <v>45631</v>
      </c>
      <c r="B25" s="72" t="s">
        <v>194</v>
      </c>
      <c r="C25" s="72" t="s">
        <v>8</v>
      </c>
      <c r="D25" s="72" t="s">
        <v>39</v>
      </c>
      <c r="E25" s="72" t="s">
        <v>82</v>
      </c>
      <c r="F25" s="72">
        <v>1</v>
      </c>
      <c r="G25" s="73">
        <f t="shared" si="7"/>
        <v>10</v>
      </c>
      <c r="H25" s="73">
        <f t="shared" si="1"/>
        <v>10</v>
      </c>
      <c r="I25" s="73">
        <f t="shared" si="2"/>
        <v>10</v>
      </c>
      <c r="J25" s="72" t="s">
        <v>83</v>
      </c>
      <c r="K25" s="74"/>
      <c r="M25" s="79"/>
      <c r="N25" s="76" t="e">
        <f t="shared" si="3"/>
        <v>#N/A</v>
      </c>
      <c r="O25" s="110"/>
      <c r="P25" s="112"/>
      <c r="R25" s="79"/>
      <c r="S25" s="76" t="e">
        <f t="shared" si="4"/>
        <v>#N/A</v>
      </c>
      <c r="T25" s="76"/>
      <c r="U25" s="112"/>
      <c r="W25" s="50" t="s">
        <v>917</v>
      </c>
      <c r="X25" s="52">
        <v>140</v>
      </c>
      <c r="Y25" s="52">
        <f t="shared" si="5"/>
        <v>56</v>
      </c>
      <c r="AC25" s="91" t="s">
        <v>130</v>
      </c>
      <c r="AD25" s="92">
        <v>9.7609999999999992</v>
      </c>
      <c r="AE25" s="92">
        <f t="shared" si="6"/>
        <v>3.9043999999999999</v>
      </c>
    </row>
    <row r="26" spans="1:32" x14ac:dyDescent="0.25">
      <c r="A26" s="95">
        <v>45631</v>
      </c>
      <c r="B26" s="72" t="s">
        <v>926</v>
      </c>
      <c r="C26" s="72" t="s">
        <v>8</v>
      </c>
      <c r="D26" s="72" t="s">
        <v>18</v>
      </c>
      <c r="E26" s="72" t="s">
        <v>82</v>
      </c>
      <c r="F26" s="72">
        <v>1</v>
      </c>
      <c r="G26" s="73">
        <f t="shared" si="7"/>
        <v>40</v>
      </c>
      <c r="H26" s="73">
        <f t="shared" si="1"/>
        <v>40</v>
      </c>
      <c r="I26" s="73">
        <f t="shared" si="2"/>
        <v>40</v>
      </c>
      <c r="J26" s="72" t="s">
        <v>83</v>
      </c>
      <c r="K26" s="74"/>
      <c r="M26" s="79"/>
      <c r="N26" s="76" t="e">
        <f t="shared" si="3"/>
        <v>#N/A</v>
      </c>
      <c r="O26" s="110"/>
      <c r="P26" s="112"/>
      <c r="R26" s="79"/>
      <c r="S26" s="76" t="e">
        <f t="shared" si="4"/>
        <v>#N/A</v>
      </c>
      <c r="T26" s="76"/>
      <c r="U26" s="112"/>
      <c r="W26" s="50" t="s">
        <v>121</v>
      </c>
      <c r="X26" s="52">
        <v>200</v>
      </c>
      <c r="Y26" s="52">
        <f t="shared" si="5"/>
        <v>80</v>
      </c>
      <c r="AC26" s="91" t="s">
        <v>132</v>
      </c>
      <c r="AD26" s="92">
        <v>9.5009999999999994</v>
      </c>
      <c r="AE26" s="92">
        <f t="shared" si="6"/>
        <v>3.8003999999999998</v>
      </c>
    </row>
    <row r="27" spans="1:32" x14ac:dyDescent="0.25">
      <c r="A27" s="95">
        <v>45631</v>
      </c>
      <c r="B27" s="72" t="s">
        <v>784</v>
      </c>
      <c r="C27" s="72" t="s">
        <v>8</v>
      </c>
      <c r="D27" s="72" t="s">
        <v>19</v>
      </c>
      <c r="E27" s="72" t="s">
        <v>56</v>
      </c>
      <c r="F27" s="72">
        <v>1</v>
      </c>
      <c r="G27" s="73">
        <f t="shared" si="7"/>
        <v>40</v>
      </c>
      <c r="H27" s="73">
        <f t="shared" si="1"/>
        <v>40</v>
      </c>
      <c r="I27" s="73">
        <f t="shared" si="2"/>
        <v>40</v>
      </c>
      <c r="J27" s="72" t="s">
        <v>83</v>
      </c>
      <c r="K27" s="74"/>
      <c r="M27" s="79" t="s">
        <v>19</v>
      </c>
      <c r="N27" s="76">
        <f t="shared" si="3"/>
        <v>16</v>
      </c>
      <c r="O27" s="110">
        <f>N27*F27</f>
        <v>16</v>
      </c>
      <c r="P27" s="112" t="s">
        <v>56</v>
      </c>
      <c r="R27" s="79"/>
      <c r="S27" s="76" t="e">
        <f t="shared" si="4"/>
        <v>#N/A</v>
      </c>
      <c r="T27" s="76"/>
      <c r="U27" s="112"/>
      <c r="W27" s="50" t="s">
        <v>60</v>
      </c>
      <c r="X27" s="52">
        <v>130</v>
      </c>
      <c r="Y27" s="52">
        <f t="shared" si="5"/>
        <v>52</v>
      </c>
      <c r="AC27" s="91" t="s">
        <v>134</v>
      </c>
      <c r="AD27" s="92">
        <v>20</v>
      </c>
      <c r="AE27" s="92">
        <f t="shared" si="6"/>
        <v>8</v>
      </c>
    </row>
    <row r="28" spans="1:32" x14ac:dyDescent="0.25">
      <c r="A28" s="95">
        <v>45631</v>
      </c>
      <c r="B28" s="72" t="s">
        <v>784</v>
      </c>
      <c r="C28" s="72" t="s">
        <v>8</v>
      </c>
      <c r="D28" s="72" t="s">
        <v>774</v>
      </c>
      <c r="E28" s="72" t="s">
        <v>56</v>
      </c>
      <c r="F28" s="72">
        <v>1</v>
      </c>
      <c r="G28" s="73">
        <f t="shared" si="7"/>
        <v>4.5</v>
      </c>
      <c r="H28" s="73">
        <f t="shared" si="1"/>
        <v>4.5</v>
      </c>
      <c r="I28" s="73">
        <f t="shared" si="2"/>
        <v>4.5</v>
      </c>
      <c r="J28" s="72" t="s">
        <v>83</v>
      </c>
      <c r="K28" s="74"/>
      <c r="M28" s="79" t="s">
        <v>774</v>
      </c>
      <c r="N28" s="76">
        <f t="shared" si="3"/>
        <v>0.45</v>
      </c>
      <c r="O28" s="110">
        <f>N28*F28</f>
        <v>0.45</v>
      </c>
      <c r="P28" s="112" t="s">
        <v>56</v>
      </c>
      <c r="R28" s="79"/>
      <c r="S28" s="76" t="e">
        <f t="shared" si="4"/>
        <v>#N/A</v>
      </c>
      <c r="T28" s="76"/>
      <c r="U28" s="112"/>
      <c r="W28" s="50" t="s">
        <v>600</v>
      </c>
      <c r="X28" s="52">
        <v>50</v>
      </c>
      <c r="Y28" s="52">
        <f t="shared" si="5"/>
        <v>20</v>
      </c>
      <c r="AC28" s="91" t="s">
        <v>136</v>
      </c>
      <c r="AD28" s="92">
        <v>20</v>
      </c>
      <c r="AE28" s="92">
        <f t="shared" si="6"/>
        <v>8</v>
      </c>
      <c r="AF28" s="92"/>
    </row>
    <row r="29" spans="1:32" x14ac:dyDescent="0.25">
      <c r="A29" s="95">
        <v>45631</v>
      </c>
      <c r="B29" s="72" t="s">
        <v>204</v>
      </c>
      <c r="C29" s="72" t="s">
        <v>8</v>
      </c>
      <c r="D29" s="72" t="s">
        <v>18</v>
      </c>
      <c r="E29" s="72" t="s">
        <v>82</v>
      </c>
      <c r="F29" s="72">
        <v>1</v>
      </c>
      <c r="G29" s="73">
        <f t="shared" si="7"/>
        <v>40</v>
      </c>
      <c r="H29" s="73">
        <f t="shared" si="1"/>
        <v>40</v>
      </c>
      <c r="I29" s="73">
        <f t="shared" si="2"/>
        <v>40</v>
      </c>
      <c r="J29" s="72" t="s">
        <v>83</v>
      </c>
      <c r="K29" s="74"/>
      <c r="M29" s="79"/>
      <c r="N29" s="76" t="e">
        <f t="shared" si="3"/>
        <v>#N/A</v>
      </c>
      <c r="O29" s="110"/>
      <c r="P29" s="112"/>
      <c r="R29" s="79"/>
      <c r="S29" s="76" t="e">
        <f t="shared" si="4"/>
        <v>#N/A</v>
      </c>
      <c r="T29" s="76"/>
      <c r="U29" s="112"/>
      <c r="W29" s="50" t="s">
        <v>20</v>
      </c>
      <c r="X29" s="52">
        <v>15</v>
      </c>
      <c r="Y29" s="52">
        <f t="shared" si="5"/>
        <v>6</v>
      </c>
      <c r="AC29" s="91" t="s">
        <v>137</v>
      </c>
      <c r="AD29" s="92">
        <v>19.521999999999998</v>
      </c>
      <c r="AE29" s="92">
        <f t="shared" si="6"/>
        <v>7.8087999999999997</v>
      </c>
      <c r="AF29" s="92"/>
    </row>
    <row r="30" spans="1:32" x14ac:dyDescent="0.25">
      <c r="A30" s="95">
        <v>45632</v>
      </c>
      <c r="B30" s="72" t="s">
        <v>927</v>
      </c>
      <c r="C30" s="72" t="s">
        <v>10</v>
      </c>
      <c r="D30" s="72" t="s">
        <v>19</v>
      </c>
      <c r="E30" s="72" t="s">
        <v>56</v>
      </c>
      <c r="F30" s="72">
        <v>2</v>
      </c>
      <c r="G30" s="73">
        <f t="shared" si="7"/>
        <v>40</v>
      </c>
      <c r="H30" s="73">
        <f t="shared" si="1"/>
        <v>80</v>
      </c>
      <c r="I30" s="73">
        <f t="shared" si="2"/>
        <v>78.319999999999993</v>
      </c>
      <c r="J30" s="72" t="s">
        <v>866</v>
      </c>
      <c r="K30" s="74"/>
      <c r="M30" s="79" t="s">
        <v>19</v>
      </c>
      <c r="N30" s="76">
        <f t="shared" si="3"/>
        <v>16</v>
      </c>
      <c r="O30" s="110">
        <f t="shared" ref="O30:O36" si="8">N30*F30</f>
        <v>32</v>
      </c>
      <c r="P30" s="112" t="s">
        <v>56</v>
      </c>
      <c r="R30" s="79"/>
      <c r="S30" s="76" t="e">
        <f t="shared" si="4"/>
        <v>#N/A</v>
      </c>
      <c r="T30" s="76"/>
      <c r="U30" s="112"/>
      <c r="W30" s="50" t="s">
        <v>31</v>
      </c>
      <c r="X30" s="52">
        <v>15</v>
      </c>
      <c r="Y30" s="52">
        <f t="shared" si="5"/>
        <v>6</v>
      </c>
      <c r="AC30" s="91" t="s">
        <v>139</v>
      </c>
      <c r="AD30" s="92">
        <v>19.001999999999999</v>
      </c>
      <c r="AE30" s="92">
        <f t="shared" si="6"/>
        <v>7.6007999999999996</v>
      </c>
      <c r="AF30" s="92"/>
    </row>
    <row r="31" spans="1:32" x14ac:dyDescent="0.25">
      <c r="A31" s="95">
        <v>45632</v>
      </c>
      <c r="B31" s="72" t="s">
        <v>927</v>
      </c>
      <c r="C31" s="72" t="s">
        <v>10</v>
      </c>
      <c r="D31" s="72" t="s">
        <v>766</v>
      </c>
      <c r="E31" s="72" t="s">
        <v>56</v>
      </c>
      <c r="F31" s="72">
        <v>2</v>
      </c>
      <c r="G31" s="73">
        <v>4</v>
      </c>
      <c r="H31" s="73">
        <f t="shared" si="1"/>
        <v>8</v>
      </c>
      <c r="I31" s="73">
        <f t="shared" si="2"/>
        <v>7.8319999999999999</v>
      </c>
      <c r="J31" s="72" t="s">
        <v>866</v>
      </c>
      <c r="K31" s="74"/>
      <c r="M31" s="79" t="s">
        <v>766</v>
      </c>
      <c r="N31" s="76">
        <f>G31*0.1</f>
        <v>0.4</v>
      </c>
      <c r="O31" s="110">
        <f t="shared" si="8"/>
        <v>0.8</v>
      </c>
      <c r="P31" s="112" t="s">
        <v>56</v>
      </c>
      <c r="Q31" s="106"/>
      <c r="R31" s="79"/>
      <c r="S31" s="76" t="e">
        <f t="shared" si="4"/>
        <v>#N/A</v>
      </c>
      <c r="T31" s="76"/>
      <c r="U31" s="112"/>
      <c r="W31" s="50" t="s">
        <v>25</v>
      </c>
      <c r="X31" s="52">
        <v>30</v>
      </c>
      <c r="Y31" s="52">
        <f t="shared" si="5"/>
        <v>12</v>
      </c>
      <c r="AC31" s="91" t="s">
        <v>141</v>
      </c>
      <c r="AD31" s="92">
        <v>40</v>
      </c>
      <c r="AE31" s="92">
        <f t="shared" si="6"/>
        <v>16</v>
      </c>
    </row>
    <row r="32" spans="1:32" x14ac:dyDescent="0.25">
      <c r="A32" s="95">
        <v>45632</v>
      </c>
      <c r="B32" s="72" t="s">
        <v>927</v>
      </c>
      <c r="C32" s="72" t="s">
        <v>10</v>
      </c>
      <c r="D32" s="72" t="s">
        <v>37</v>
      </c>
      <c r="E32" s="72" t="s">
        <v>56</v>
      </c>
      <c r="F32" s="72">
        <v>1</v>
      </c>
      <c r="G32" s="73">
        <f>VLOOKUP(D32,$W$3:$X$72,2,0)</f>
        <v>7</v>
      </c>
      <c r="H32" s="73">
        <f t="shared" si="1"/>
        <v>7</v>
      </c>
      <c r="I32" s="73">
        <f t="shared" si="2"/>
        <v>6.8529999999999998</v>
      </c>
      <c r="J32" s="72" t="s">
        <v>866</v>
      </c>
      <c r="K32" s="74"/>
      <c r="M32" s="79" t="s">
        <v>37</v>
      </c>
      <c r="N32" s="76">
        <f t="shared" ref="N32:N61" si="9">VLOOKUP(M32,$W$3:$Y$72,3,0)</f>
        <v>0.70000000000000007</v>
      </c>
      <c r="O32" s="110">
        <f t="shared" si="8"/>
        <v>0.70000000000000007</v>
      </c>
      <c r="P32" s="112" t="s">
        <v>56</v>
      </c>
      <c r="R32" s="79"/>
      <c r="S32" s="76" t="e">
        <f t="shared" si="4"/>
        <v>#N/A</v>
      </c>
      <c r="T32" s="76"/>
      <c r="U32" s="112"/>
      <c r="W32" s="50" t="s">
        <v>131</v>
      </c>
      <c r="X32" s="52">
        <v>30</v>
      </c>
      <c r="Y32" s="52">
        <f t="shared" ref="Y32:Y72" si="10">X32*0.1</f>
        <v>3</v>
      </c>
      <c r="AC32" s="91" t="s">
        <v>144</v>
      </c>
      <c r="AD32" s="92">
        <v>40</v>
      </c>
      <c r="AE32" s="92">
        <f t="shared" si="6"/>
        <v>16</v>
      </c>
    </row>
    <row r="33" spans="1:31" x14ac:dyDescent="0.25">
      <c r="A33" s="95">
        <v>45632</v>
      </c>
      <c r="B33" s="72" t="s">
        <v>927</v>
      </c>
      <c r="C33" s="72" t="s">
        <v>10</v>
      </c>
      <c r="D33" s="72" t="s">
        <v>777</v>
      </c>
      <c r="E33" s="72" t="s">
        <v>56</v>
      </c>
      <c r="F33" s="72">
        <v>1</v>
      </c>
      <c r="G33" s="73">
        <f>VLOOKUP(D33,$W$3:$X$72,2,0)</f>
        <v>4</v>
      </c>
      <c r="H33" s="73">
        <f t="shared" si="1"/>
        <v>4</v>
      </c>
      <c r="I33" s="73">
        <f t="shared" si="2"/>
        <v>3.9159999999999999</v>
      </c>
      <c r="J33" s="72" t="s">
        <v>866</v>
      </c>
      <c r="K33" s="74"/>
      <c r="M33" s="79" t="s">
        <v>777</v>
      </c>
      <c r="N33" s="76">
        <f t="shared" si="9"/>
        <v>0.4</v>
      </c>
      <c r="O33" s="110">
        <f t="shared" si="8"/>
        <v>0.4</v>
      </c>
      <c r="P33" s="112" t="s">
        <v>56</v>
      </c>
      <c r="R33" s="79"/>
      <c r="S33" s="76" t="e">
        <f t="shared" si="4"/>
        <v>#N/A</v>
      </c>
      <c r="T33" s="76"/>
      <c r="U33" s="112"/>
      <c r="W33" s="50" t="s">
        <v>64</v>
      </c>
      <c r="X33" s="52">
        <v>30</v>
      </c>
      <c r="Y33" s="52">
        <f t="shared" si="10"/>
        <v>3</v>
      </c>
      <c r="AC33" s="91" t="s">
        <v>146</v>
      </c>
      <c r="AD33" s="92">
        <v>39.043999999999997</v>
      </c>
      <c r="AE33" s="92">
        <f t="shared" si="6"/>
        <v>15.617599999999999</v>
      </c>
    </row>
    <row r="34" spans="1:31" x14ac:dyDescent="0.25">
      <c r="A34" s="95">
        <v>45632</v>
      </c>
      <c r="B34" s="72" t="s">
        <v>928</v>
      </c>
      <c r="C34" s="72" t="s">
        <v>10</v>
      </c>
      <c r="D34" s="72" t="s">
        <v>13</v>
      </c>
      <c r="E34" s="72" t="s">
        <v>56</v>
      </c>
      <c r="F34" s="72">
        <v>1</v>
      </c>
      <c r="G34" s="73">
        <f>VLOOKUP(D34,$W$3:$X$72,2,0)</f>
        <v>30</v>
      </c>
      <c r="H34" s="73">
        <f t="shared" si="1"/>
        <v>30</v>
      </c>
      <c r="I34" s="73">
        <f t="shared" si="2"/>
        <v>30</v>
      </c>
      <c r="J34" s="72" t="s">
        <v>83</v>
      </c>
      <c r="K34" s="74"/>
      <c r="M34" s="79" t="s">
        <v>13</v>
      </c>
      <c r="N34" s="76">
        <f t="shared" si="9"/>
        <v>12</v>
      </c>
      <c r="O34" s="110">
        <f t="shared" si="8"/>
        <v>12</v>
      </c>
      <c r="P34" s="112" t="s">
        <v>56</v>
      </c>
      <c r="R34" s="79"/>
      <c r="S34" s="76" t="e">
        <f t="shared" si="4"/>
        <v>#N/A</v>
      </c>
      <c r="T34" s="76"/>
      <c r="U34" s="112"/>
      <c r="W34" s="50" t="s">
        <v>97</v>
      </c>
      <c r="X34" s="52">
        <v>30</v>
      </c>
      <c r="Y34" s="52">
        <f t="shared" si="10"/>
        <v>3</v>
      </c>
      <c r="AC34" s="91" t="s">
        <v>148</v>
      </c>
      <c r="AD34" s="92">
        <v>38.003999999999998</v>
      </c>
      <c r="AE34" s="92">
        <f t="shared" si="6"/>
        <v>15.201599999999999</v>
      </c>
    </row>
    <row r="35" spans="1:31" x14ac:dyDescent="0.25">
      <c r="A35" s="95">
        <v>45632</v>
      </c>
      <c r="B35" s="72" t="s">
        <v>929</v>
      </c>
      <c r="C35" s="72" t="s">
        <v>10</v>
      </c>
      <c r="D35" s="72" t="s">
        <v>15</v>
      </c>
      <c r="E35" s="72" t="s">
        <v>56</v>
      </c>
      <c r="F35" s="72">
        <v>1</v>
      </c>
      <c r="G35" s="73">
        <f>VLOOKUP(D35,$W$3:$X$72,2,0)</f>
        <v>70</v>
      </c>
      <c r="H35" s="73">
        <f t="shared" si="1"/>
        <v>70</v>
      </c>
      <c r="I35" s="73">
        <f t="shared" si="2"/>
        <v>68.53</v>
      </c>
      <c r="J35" s="72" t="s">
        <v>866</v>
      </c>
      <c r="K35" s="74"/>
      <c r="M35" s="79" t="s">
        <v>15</v>
      </c>
      <c r="N35" s="76">
        <f t="shared" si="9"/>
        <v>28</v>
      </c>
      <c r="O35" s="110">
        <f t="shared" si="8"/>
        <v>28</v>
      </c>
      <c r="P35" s="112" t="s">
        <v>56</v>
      </c>
      <c r="R35" s="79"/>
      <c r="S35" s="76" t="e">
        <f t="shared" si="4"/>
        <v>#N/A</v>
      </c>
      <c r="T35" s="76"/>
      <c r="U35" s="112"/>
      <c r="W35" s="50" t="s">
        <v>603</v>
      </c>
      <c r="X35" s="52">
        <v>35</v>
      </c>
      <c r="Y35" s="52">
        <f t="shared" si="10"/>
        <v>3.5</v>
      </c>
      <c r="AC35" s="91" t="s">
        <v>150</v>
      </c>
      <c r="AD35" s="92">
        <v>30</v>
      </c>
      <c r="AE35" s="92">
        <f t="shared" ref="AE35:AE66" si="11">AD35*0.4</f>
        <v>12</v>
      </c>
    </row>
    <row r="36" spans="1:31" x14ac:dyDescent="0.25">
      <c r="A36" s="95">
        <v>45632</v>
      </c>
      <c r="B36" s="72" t="s">
        <v>930</v>
      </c>
      <c r="C36" s="72" t="s">
        <v>8</v>
      </c>
      <c r="D36" s="72" t="s">
        <v>40</v>
      </c>
      <c r="E36" s="72" t="s">
        <v>56</v>
      </c>
      <c r="F36" s="72">
        <v>1</v>
      </c>
      <c r="G36" s="73">
        <f>VLOOKUP(D36,$W$3:$X$72,2,0)</f>
        <v>45</v>
      </c>
      <c r="H36" s="73">
        <f t="shared" si="1"/>
        <v>45</v>
      </c>
      <c r="I36" s="73">
        <f t="shared" si="2"/>
        <v>44.055</v>
      </c>
      <c r="J36" s="72" t="s">
        <v>866</v>
      </c>
      <c r="K36" s="74"/>
      <c r="M36" s="72" t="s">
        <v>40</v>
      </c>
      <c r="N36" s="76">
        <f t="shared" si="9"/>
        <v>18</v>
      </c>
      <c r="O36" s="110">
        <f t="shared" si="8"/>
        <v>18</v>
      </c>
      <c r="P36" s="112" t="s">
        <v>56</v>
      </c>
      <c r="R36" s="72"/>
      <c r="S36" s="76" t="e">
        <f t="shared" si="4"/>
        <v>#N/A</v>
      </c>
      <c r="T36" s="76"/>
      <c r="U36" s="112"/>
      <c r="W36" s="50" t="s">
        <v>607</v>
      </c>
      <c r="X36" s="52">
        <v>35</v>
      </c>
      <c r="Y36" s="52">
        <f t="shared" si="10"/>
        <v>3.5</v>
      </c>
      <c r="AC36" s="91" t="s">
        <v>153</v>
      </c>
      <c r="AD36" s="92">
        <v>30</v>
      </c>
      <c r="AE36" s="92">
        <f t="shared" si="11"/>
        <v>12</v>
      </c>
    </row>
    <row r="37" spans="1:31" x14ac:dyDescent="0.25">
      <c r="A37" s="95">
        <v>45632</v>
      </c>
      <c r="B37" s="72" t="s">
        <v>930</v>
      </c>
      <c r="C37" s="72" t="s">
        <v>8</v>
      </c>
      <c r="D37" s="72" t="s">
        <v>19</v>
      </c>
      <c r="E37" s="72" t="s">
        <v>82</v>
      </c>
      <c r="F37" s="72">
        <v>1</v>
      </c>
      <c r="G37" s="73">
        <v>35</v>
      </c>
      <c r="H37" s="73">
        <f t="shared" si="1"/>
        <v>35</v>
      </c>
      <c r="I37" s="73">
        <f t="shared" si="2"/>
        <v>34.265000000000001</v>
      </c>
      <c r="J37" s="72" t="s">
        <v>866</v>
      </c>
      <c r="K37" s="74"/>
      <c r="M37" s="79"/>
      <c r="N37" s="76" t="e">
        <f t="shared" si="9"/>
        <v>#N/A</v>
      </c>
      <c r="O37" s="110"/>
      <c r="P37" s="112"/>
      <c r="R37" s="79"/>
      <c r="S37" s="76" t="e">
        <f t="shared" si="4"/>
        <v>#N/A</v>
      </c>
      <c r="T37" s="76"/>
      <c r="U37" s="112"/>
      <c r="W37" s="50" t="s">
        <v>608</v>
      </c>
      <c r="X37" s="52">
        <v>35</v>
      </c>
      <c r="Y37" s="52">
        <f t="shared" si="10"/>
        <v>3.5</v>
      </c>
      <c r="AC37" s="91" t="s">
        <v>154</v>
      </c>
      <c r="AD37" s="92">
        <v>29.283000000000001</v>
      </c>
      <c r="AE37" s="92">
        <f t="shared" si="11"/>
        <v>11.713200000000001</v>
      </c>
    </row>
    <row r="38" spans="1:31" x14ac:dyDescent="0.25">
      <c r="A38" s="95">
        <v>45632</v>
      </c>
      <c r="B38" s="72" t="s">
        <v>504</v>
      </c>
      <c r="C38" s="72" t="s">
        <v>8</v>
      </c>
      <c r="D38" s="72" t="s">
        <v>15</v>
      </c>
      <c r="E38" s="72" t="s">
        <v>82</v>
      </c>
      <c r="F38" s="72">
        <v>1</v>
      </c>
      <c r="G38" s="73">
        <f t="shared" ref="G38:G47" si="12">VLOOKUP(D38,$W$3:$X$72,2,0)</f>
        <v>70</v>
      </c>
      <c r="H38" s="73">
        <f t="shared" si="1"/>
        <v>70</v>
      </c>
      <c r="I38" s="73">
        <f t="shared" si="2"/>
        <v>70</v>
      </c>
      <c r="J38" s="72" t="s">
        <v>79</v>
      </c>
      <c r="K38" s="74"/>
      <c r="M38" s="79"/>
      <c r="N38" s="76" t="e">
        <f t="shared" si="9"/>
        <v>#N/A</v>
      </c>
      <c r="O38" s="110"/>
      <c r="P38" s="112"/>
      <c r="R38" s="79"/>
      <c r="S38" s="76" t="e">
        <f t="shared" si="4"/>
        <v>#N/A</v>
      </c>
      <c r="T38" s="76"/>
      <c r="U38" s="112"/>
      <c r="W38" s="50" t="s">
        <v>39</v>
      </c>
      <c r="X38" s="52">
        <v>10</v>
      </c>
      <c r="Y38" s="52">
        <f t="shared" si="10"/>
        <v>1</v>
      </c>
      <c r="AC38" s="91" t="s">
        <v>156</v>
      </c>
      <c r="AD38" s="92">
        <v>28.503</v>
      </c>
      <c r="AE38" s="92">
        <f t="shared" si="11"/>
        <v>11.401200000000001</v>
      </c>
    </row>
    <row r="39" spans="1:31" x14ac:dyDescent="0.25">
      <c r="A39" s="95">
        <v>45632</v>
      </c>
      <c r="B39" s="72" t="s">
        <v>182</v>
      </c>
      <c r="C39" s="72" t="s">
        <v>8</v>
      </c>
      <c r="D39" s="72" t="s">
        <v>40</v>
      </c>
      <c r="E39" s="72" t="s">
        <v>82</v>
      </c>
      <c r="F39" s="72">
        <v>1</v>
      </c>
      <c r="G39" s="73">
        <f t="shared" si="12"/>
        <v>45</v>
      </c>
      <c r="H39" s="73">
        <f t="shared" si="1"/>
        <v>45</v>
      </c>
      <c r="I39" s="73">
        <f t="shared" si="2"/>
        <v>44.060625000000002</v>
      </c>
      <c r="J39" s="72" t="s">
        <v>868</v>
      </c>
      <c r="K39" s="74"/>
      <c r="M39" s="79"/>
      <c r="N39" s="76" t="e">
        <f t="shared" si="9"/>
        <v>#N/A</v>
      </c>
      <c r="O39" s="110"/>
      <c r="P39" s="112"/>
      <c r="R39" s="79"/>
      <c r="S39" s="76" t="e">
        <f t="shared" si="4"/>
        <v>#N/A</v>
      </c>
      <c r="T39" s="76"/>
      <c r="U39" s="112"/>
      <c r="W39" s="50" t="s">
        <v>63</v>
      </c>
      <c r="X39" s="52">
        <v>20</v>
      </c>
      <c r="Y39" s="52">
        <f t="shared" si="10"/>
        <v>2</v>
      </c>
      <c r="AC39" s="91" t="s">
        <v>158</v>
      </c>
      <c r="AD39" s="92">
        <v>60</v>
      </c>
      <c r="AE39" s="92">
        <f t="shared" si="11"/>
        <v>24</v>
      </c>
    </row>
    <row r="40" spans="1:31" x14ac:dyDescent="0.25">
      <c r="A40" s="95">
        <v>45632</v>
      </c>
      <c r="B40" s="72" t="s">
        <v>511</v>
      </c>
      <c r="C40" s="72" t="s">
        <v>8</v>
      </c>
      <c r="D40" s="72" t="s">
        <v>13</v>
      </c>
      <c r="E40" s="72" t="s">
        <v>56</v>
      </c>
      <c r="F40" s="72">
        <v>1</v>
      </c>
      <c r="G40" s="73">
        <f t="shared" si="12"/>
        <v>30</v>
      </c>
      <c r="H40" s="73">
        <f t="shared" si="1"/>
        <v>30</v>
      </c>
      <c r="I40" s="73">
        <f t="shared" si="2"/>
        <v>30</v>
      </c>
      <c r="J40" s="72" t="s">
        <v>83</v>
      </c>
      <c r="K40" s="74"/>
      <c r="M40" s="79" t="s">
        <v>13</v>
      </c>
      <c r="N40" s="76">
        <f t="shared" si="9"/>
        <v>12</v>
      </c>
      <c r="O40" s="110">
        <f>N40*F40</f>
        <v>12</v>
      </c>
      <c r="P40" s="112" t="s">
        <v>56</v>
      </c>
      <c r="R40" s="79"/>
      <c r="S40" s="76" t="e">
        <f t="shared" si="4"/>
        <v>#N/A</v>
      </c>
      <c r="T40" s="76"/>
      <c r="U40" s="112"/>
      <c r="W40" s="50" t="s">
        <v>34</v>
      </c>
      <c r="X40" s="52">
        <v>10</v>
      </c>
      <c r="Y40" s="52">
        <f t="shared" si="10"/>
        <v>1</v>
      </c>
      <c r="AC40" s="91" t="s">
        <v>161</v>
      </c>
      <c r="AD40" s="92">
        <v>60</v>
      </c>
      <c r="AE40" s="92">
        <f t="shared" si="11"/>
        <v>24</v>
      </c>
    </row>
    <row r="41" spans="1:31" x14ac:dyDescent="0.25">
      <c r="A41" s="95">
        <v>45632</v>
      </c>
      <c r="B41" s="72" t="s">
        <v>570</v>
      </c>
      <c r="C41" s="72" t="s">
        <v>8</v>
      </c>
      <c r="D41" s="72" t="s">
        <v>920</v>
      </c>
      <c r="E41" s="72" t="s">
        <v>82</v>
      </c>
      <c r="F41" s="72">
        <v>1</v>
      </c>
      <c r="G41" s="73">
        <f t="shared" si="12"/>
        <v>80</v>
      </c>
      <c r="H41" s="73">
        <f t="shared" si="1"/>
        <v>80</v>
      </c>
      <c r="I41" s="73">
        <f t="shared" si="2"/>
        <v>78.08</v>
      </c>
      <c r="J41" s="72" t="s">
        <v>869</v>
      </c>
      <c r="K41" s="74"/>
      <c r="M41" s="79"/>
      <c r="N41" s="76" t="e">
        <f t="shared" si="9"/>
        <v>#N/A</v>
      </c>
      <c r="O41" s="110"/>
      <c r="P41" s="112"/>
      <c r="R41" s="79"/>
      <c r="S41" s="76" t="e">
        <f t="shared" si="4"/>
        <v>#N/A</v>
      </c>
      <c r="T41" s="76"/>
      <c r="U41" s="112"/>
      <c r="W41" s="50" t="s">
        <v>36</v>
      </c>
      <c r="X41" s="52">
        <v>30</v>
      </c>
      <c r="Y41" s="52">
        <f t="shared" si="10"/>
        <v>3</v>
      </c>
      <c r="AC41" s="91" t="s">
        <v>163</v>
      </c>
      <c r="AD41" s="92">
        <v>58.566000000000003</v>
      </c>
      <c r="AE41" s="92">
        <f t="shared" si="11"/>
        <v>23.426400000000001</v>
      </c>
    </row>
    <row r="42" spans="1:31" x14ac:dyDescent="0.25">
      <c r="A42" s="95">
        <v>45633</v>
      </c>
      <c r="B42" s="72" t="s">
        <v>734</v>
      </c>
      <c r="C42" s="72" t="s">
        <v>8</v>
      </c>
      <c r="D42" s="72" t="s">
        <v>18</v>
      </c>
      <c r="E42" s="72" t="s">
        <v>56</v>
      </c>
      <c r="F42" s="72">
        <v>2</v>
      </c>
      <c r="G42" s="73">
        <f t="shared" si="12"/>
        <v>40</v>
      </c>
      <c r="H42" s="73">
        <f t="shared" si="1"/>
        <v>80</v>
      </c>
      <c r="I42" s="73">
        <f t="shared" si="2"/>
        <v>80</v>
      </c>
      <c r="J42" s="72" t="s">
        <v>83</v>
      </c>
      <c r="K42" s="74"/>
      <c r="M42" s="79" t="s">
        <v>18</v>
      </c>
      <c r="N42" s="76">
        <f t="shared" si="9"/>
        <v>16</v>
      </c>
      <c r="O42" s="110">
        <f>N42*F42</f>
        <v>32</v>
      </c>
      <c r="P42" s="112" t="s">
        <v>56</v>
      </c>
      <c r="R42" s="79"/>
      <c r="S42" s="76" t="e">
        <f t="shared" si="4"/>
        <v>#N/A</v>
      </c>
      <c r="T42" s="76"/>
      <c r="U42" s="112"/>
      <c r="W42" s="50" t="s">
        <v>931</v>
      </c>
      <c r="X42" s="52">
        <v>35</v>
      </c>
      <c r="Y42" s="52">
        <f t="shared" si="10"/>
        <v>3.5</v>
      </c>
      <c r="AC42" s="91" t="s">
        <v>165</v>
      </c>
      <c r="AD42" s="92">
        <v>57.006</v>
      </c>
      <c r="AE42" s="92">
        <f t="shared" si="11"/>
        <v>22.802400000000002</v>
      </c>
    </row>
    <row r="43" spans="1:31" x14ac:dyDescent="0.25">
      <c r="A43" s="95">
        <v>45633</v>
      </c>
      <c r="B43" s="72" t="s">
        <v>734</v>
      </c>
      <c r="C43" s="72" t="s">
        <v>8</v>
      </c>
      <c r="D43" s="72" t="s">
        <v>63</v>
      </c>
      <c r="E43" s="72" t="s">
        <v>56</v>
      </c>
      <c r="F43" s="72">
        <v>1</v>
      </c>
      <c r="G43" s="73">
        <f t="shared" si="12"/>
        <v>20</v>
      </c>
      <c r="H43" s="73">
        <f t="shared" si="1"/>
        <v>20</v>
      </c>
      <c r="I43" s="73">
        <f t="shared" si="2"/>
        <v>20</v>
      </c>
      <c r="J43" s="72" t="s">
        <v>83</v>
      </c>
      <c r="K43" s="74"/>
      <c r="M43" s="79" t="s">
        <v>63</v>
      </c>
      <c r="N43" s="76">
        <f t="shared" si="9"/>
        <v>2</v>
      </c>
      <c r="O43" s="110">
        <f>N43*F43</f>
        <v>2</v>
      </c>
      <c r="P43" s="112" t="s">
        <v>56</v>
      </c>
      <c r="R43" s="79"/>
      <c r="S43" s="76" t="e">
        <f t="shared" si="4"/>
        <v>#N/A</v>
      </c>
      <c r="T43" s="76"/>
      <c r="U43" s="112"/>
      <c r="W43" s="50" t="s">
        <v>932</v>
      </c>
      <c r="X43" s="52">
        <v>35</v>
      </c>
      <c r="Y43" s="52">
        <f t="shared" si="10"/>
        <v>3.5</v>
      </c>
      <c r="AC43" s="91" t="s">
        <v>167</v>
      </c>
      <c r="AD43" s="92">
        <v>15</v>
      </c>
      <c r="AE43" s="92">
        <f t="shared" si="11"/>
        <v>6</v>
      </c>
    </row>
    <row r="44" spans="1:31" x14ac:dyDescent="0.25">
      <c r="A44" s="95">
        <v>45633</v>
      </c>
      <c r="B44" s="72" t="s">
        <v>933</v>
      </c>
      <c r="C44" s="72" t="s">
        <v>9</v>
      </c>
      <c r="D44" s="72" t="s">
        <v>21</v>
      </c>
      <c r="E44" s="72" t="s">
        <v>56</v>
      </c>
      <c r="F44" s="72">
        <v>1</v>
      </c>
      <c r="G44" s="73">
        <f t="shared" si="12"/>
        <v>10</v>
      </c>
      <c r="H44" s="73">
        <f t="shared" si="1"/>
        <v>10</v>
      </c>
      <c r="I44" s="73">
        <f t="shared" si="2"/>
        <v>10</v>
      </c>
      <c r="J44" s="72" t="s">
        <v>83</v>
      </c>
      <c r="K44" s="74"/>
      <c r="M44" s="79" t="s">
        <v>21</v>
      </c>
      <c r="N44" s="76">
        <f t="shared" si="9"/>
        <v>4</v>
      </c>
      <c r="O44" s="110">
        <f>N44*F44</f>
        <v>4</v>
      </c>
      <c r="P44" s="112" t="s">
        <v>56</v>
      </c>
      <c r="R44" s="79"/>
      <c r="S44" s="76" t="e">
        <f t="shared" si="4"/>
        <v>#N/A</v>
      </c>
      <c r="T44" s="76"/>
      <c r="U44" s="112"/>
      <c r="W44" s="50" t="s">
        <v>934</v>
      </c>
      <c r="X44" s="52">
        <v>35</v>
      </c>
      <c r="Y44" s="52">
        <f t="shared" si="10"/>
        <v>3.5</v>
      </c>
      <c r="AC44" s="91" t="s">
        <v>169</v>
      </c>
      <c r="AD44" s="92">
        <v>15</v>
      </c>
      <c r="AE44" s="92">
        <f t="shared" si="11"/>
        <v>6</v>
      </c>
    </row>
    <row r="45" spans="1:31" x14ac:dyDescent="0.25">
      <c r="A45" s="95">
        <v>45633</v>
      </c>
      <c r="B45" s="72" t="s">
        <v>935</v>
      </c>
      <c r="C45" s="72" t="s">
        <v>8</v>
      </c>
      <c r="D45" s="72" t="s">
        <v>21</v>
      </c>
      <c r="E45" s="72" t="s">
        <v>82</v>
      </c>
      <c r="F45" s="72">
        <v>1</v>
      </c>
      <c r="G45" s="73">
        <f t="shared" si="12"/>
        <v>10</v>
      </c>
      <c r="H45" s="73">
        <f t="shared" si="1"/>
        <v>10</v>
      </c>
      <c r="I45" s="73">
        <f t="shared" si="2"/>
        <v>10</v>
      </c>
      <c r="J45" s="72" t="s">
        <v>83</v>
      </c>
      <c r="K45" s="74"/>
      <c r="M45" s="79"/>
      <c r="N45" s="76" t="e">
        <f t="shared" si="9"/>
        <v>#N/A</v>
      </c>
      <c r="O45" s="110"/>
      <c r="P45" s="112"/>
      <c r="R45" s="79"/>
      <c r="S45" s="76" t="e">
        <f t="shared" si="4"/>
        <v>#N/A</v>
      </c>
      <c r="T45" s="76"/>
      <c r="U45" s="112"/>
      <c r="W45" s="50" t="s">
        <v>61</v>
      </c>
      <c r="X45" s="52">
        <v>35</v>
      </c>
      <c r="Y45" s="52">
        <f t="shared" si="10"/>
        <v>3.5</v>
      </c>
      <c r="AC45" s="91" t="s">
        <v>171</v>
      </c>
      <c r="AD45" s="92">
        <v>14.641500000000001</v>
      </c>
      <c r="AE45" s="92">
        <f t="shared" si="11"/>
        <v>5.8566000000000003</v>
      </c>
    </row>
    <row r="46" spans="1:31" x14ac:dyDescent="0.25">
      <c r="A46" s="95">
        <v>45633</v>
      </c>
      <c r="B46" s="72" t="s">
        <v>555</v>
      </c>
      <c r="C46" s="72" t="s">
        <v>8</v>
      </c>
      <c r="D46" s="72" t="s">
        <v>21</v>
      </c>
      <c r="E46" s="72" t="s">
        <v>82</v>
      </c>
      <c r="F46" s="72">
        <v>1</v>
      </c>
      <c r="G46" s="73">
        <f t="shared" si="12"/>
        <v>10</v>
      </c>
      <c r="H46" s="73">
        <f t="shared" si="1"/>
        <v>10</v>
      </c>
      <c r="I46" s="73">
        <f t="shared" si="2"/>
        <v>9.5</v>
      </c>
      <c r="J46" s="72" t="s">
        <v>867</v>
      </c>
      <c r="K46" s="74"/>
      <c r="M46" s="79"/>
      <c r="N46" s="76" t="e">
        <f t="shared" si="9"/>
        <v>#N/A</v>
      </c>
      <c r="O46" s="110"/>
      <c r="P46" s="112"/>
      <c r="R46" s="79"/>
      <c r="S46" s="76" t="e">
        <f t="shared" si="4"/>
        <v>#N/A</v>
      </c>
      <c r="T46" s="76"/>
      <c r="U46" s="112"/>
      <c r="W46" s="50" t="s">
        <v>152</v>
      </c>
      <c r="X46" s="52">
        <v>60</v>
      </c>
      <c r="Y46" s="52">
        <f t="shared" si="10"/>
        <v>6</v>
      </c>
      <c r="AC46" s="91" t="s">
        <v>173</v>
      </c>
      <c r="AD46" s="92">
        <v>14.2515</v>
      </c>
      <c r="AE46" s="92">
        <f t="shared" si="11"/>
        <v>5.7006000000000006</v>
      </c>
    </row>
    <row r="47" spans="1:31" x14ac:dyDescent="0.25">
      <c r="A47" s="95">
        <v>45633</v>
      </c>
      <c r="B47" s="72" t="s">
        <v>555</v>
      </c>
      <c r="C47" s="72" t="s">
        <v>8</v>
      </c>
      <c r="D47" s="72" t="s">
        <v>45</v>
      </c>
      <c r="E47" s="72" t="s">
        <v>82</v>
      </c>
      <c r="F47" s="72">
        <v>1</v>
      </c>
      <c r="G47" s="73">
        <f t="shared" si="12"/>
        <v>3.5</v>
      </c>
      <c r="H47" s="73">
        <f t="shared" si="1"/>
        <v>3.5</v>
      </c>
      <c r="I47" s="73">
        <f t="shared" si="2"/>
        <v>3.3250000000000002</v>
      </c>
      <c r="J47" s="72" t="s">
        <v>867</v>
      </c>
      <c r="K47" s="74"/>
      <c r="M47" s="79"/>
      <c r="N47" s="76" t="e">
        <f t="shared" si="9"/>
        <v>#N/A</v>
      </c>
      <c r="O47" s="110"/>
      <c r="P47" s="112"/>
      <c r="R47" s="79"/>
      <c r="S47" s="76" t="e">
        <f t="shared" si="4"/>
        <v>#N/A</v>
      </c>
      <c r="T47" s="76"/>
      <c r="U47" s="112"/>
      <c r="W47" s="50" t="s">
        <v>62</v>
      </c>
      <c r="X47" s="52">
        <v>20</v>
      </c>
      <c r="Y47" s="52">
        <f t="shared" si="10"/>
        <v>2</v>
      </c>
      <c r="AC47" s="91" t="s">
        <v>176</v>
      </c>
      <c r="AD47" s="92">
        <v>70</v>
      </c>
      <c r="AE47" s="92">
        <f t="shared" si="11"/>
        <v>28</v>
      </c>
    </row>
    <row r="48" spans="1:31" x14ac:dyDescent="0.25">
      <c r="A48" s="95">
        <v>45633</v>
      </c>
      <c r="B48" s="72" t="s">
        <v>881</v>
      </c>
      <c r="C48" s="72" t="s">
        <v>8</v>
      </c>
      <c r="D48" s="72" t="s">
        <v>18</v>
      </c>
      <c r="E48" s="72" t="s">
        <v>82</v>
      </c>
      <c r="F48" s="72">
        <v>1</v>
      </c>
      <c r="G48" s="73">
        <v>30</v>
      </c>
      <c r="H48" s="73">
        <f t="shared" si="1"/>
        <v>30</v>
      </c>
      <c r="I48" s="73">
        <f t="shared" si="2"/>
        <v>30</v>
      </c>
      <c r="J48" s="72" t="s">
        <v>79</v>
      </c>
      <c r="K48" s="74"/>
      <c r="M48" s="79"/>
      <c r="N48" s="76" t="e">
        <f t="shared" si="9"/>
        <v>#N/A</v>
      </c>
      <c r="O48" s="110"/>
      <c r="P48" s="112"/>
      <c r="R48" s="79"/>
      <c r="S48" s="76" t="e">
        <f t="shared" si="4"/>
        <v>#N/A</v>
      </c>
      <c r="T48" s="76"/>
      <c r="U48" s="112"/>
      <c r="W48" s="50" t="s">
        <v>936</v>
      </c>
      <c r="X48" s="52">
        <v>25</v>
      </c>
      <c r="Y48" s="52">
        <f t="shared" si="10"/>
        <v>2.5</v>
      </c>
      <c r="AC48" s="91" t="s">
        <v>177</v>
      </c>
      <c r="AD48" s="92">
        <v>70</v>
      </c>
      <c r="AE48" s="92">
        <f t="shared" si="11"/>
        <v>28</v>
      </c>
    </row>
    <row r="49" spans="1:31" x14ac:dyDescent="0.25">
      <c r="A49" s="95">
        <v>45633</v>
      </c>
      <c r="B49" s="72" t="s">
        <v>839</v>
      </c>
      <c r="C49" s="72" t="s">
        <v>8</v>
      </c>
      <c r="D49" s="72" t="s">
        <v>18</v>
      </c>
      <c r="E49" s="72" t="s">
        <v>82</v>
      </c>
      <c r="F49" s="72">
        <v>1</v>
      </c>
      <c r="G49" s="73">
        <f>VLOOKUP(D49,$W$3:$X$72,2,0)</f>
        <v>40</v>
      </c>
      <c r="H49" s="73">
        <f t="shared" si="1"/>
        <v>40</v>
      </c>
      <c r="I49" s="73">
        <f t="shared" si="2"/>
        <v>40</v>
      </c>
      <c r="J49" s="72" t="s">
        <v>83</v>
      </c>
      <c r="K49" s="74"/>
      <c r="M49" s="79"/>
      <c r="N49" s="76" t="e">
        <f t="shared" si="9"/>
        <v>#N/A</v>
      </c>
      <c r="O49" s="110"/>
      <c r="P49" s="112"/>
      <c r="R49" s="79"/>
      <c r="S49" s="76" t="e">
        <f t="shared" si="4"/>
        <v>#N/A</v>
      </c>
      <c r="T49" s="76"/>
      <c r="U49" s="112"/>
      <c r="W49" s="50" t="s">
        <v>937</v>
      </c>
      <c r="X49" s="52">
        <v>30</v>
      </c>
      <c r="Y49" s="52">
        <f t="shared" si="10"/>
        <v>3</v>
      </c>
      <c r="AC49" s="91" t="s">
        <v>180</v>
      </c>
      <c r="AD49" s="92">
        <v>68.326999999999998</v>
      </c>
      <c r="AE49" s="92">
        <f t="shared" si="11"/>
        <v>27.3308</v>
      </c>
    </row>
    <row r="50" spans="1:31" x14ac:dyDescent="0.25">
      <c r="A50" s="95">
        <v>45633</v>
      </c>
      <c r="B50" s="72" t="s">
        <v>839</v>
      </c>
      <c r="C50" s="72" t="s">
        <v>8</v>
      </c>
      <c r="D50" s="72" t="s">
        <v>37</v>
      </c>
      <c r="E50" s="72" t="s">
        <v>82</v>
      </c>
      <c r="F50" s="72">
        <v>1</v>
      </c>
      <c r="G50" s="73">
        <f>VLOOKUP(D50,$W$3:$X$72,2,0)</f>
        <v>7</v>
      </c>
      <c r="H50" s="73">
        <f t="shared" si="1"/>
        <v>7</v>
      </c>
      <c r="I50" s="73">
        <f t="shared" si="2"/>
        <v>7</v>
      </c>
      <c r="J50" s="72" t="s">
        <v>83</v>
      </c>
      <c r="K50" s="74"/>
      <c r="M50" s="79"/>
      <c r="N50" s="76" t="e">
        <f t="shared" si="9"/>
        <v>#N/A</v>
      </c>
      <c r="O50" s="110"/>
      <c r="P50" s="112"/>
      <c r="R50" s="79"/>
      <c r="S50" s="76" t="e">
        <f t="shared" si="4"/>
        <v>#N/A</v>
      </c>
      <c r="T50" s="76"/>
      <c r="U50" s="112"/>
      <c r="W50" s="50" t="s">
        <v>47</v>
      </c>
      <c r="X50" s="52">
        <v>65</v>
      </c>
      <c r="Y50" s="52">
        <f t="shared" si="10"/>
        <v>6.5</v>
      </c>
      <c r="AC50" s="91" t="s">
        <v>181</v>
      </c>
      <c r="AD50" s="92">
        <v>66.507000000000005</v>
      </c>
      <c r="AE50" s="92">
        <f t="shared" si="11"/>
        <v>26.602800000000002</v>
      </c>
    </row>
    <row r="51" spans="1:31" x14ac:dyDescent="0.25">
      <c r="A51" s="95">
        <v>45633</v>
      </c>
      <c r="B51" s="72" t="s">
        <v>708</v>
      </c>
      <c r="C51" s="72" t="s">
        <v>8</v>
      </c>
      <c r="D51" s="72" t="s">
        <v>40</v>
      </c>
      <c r="E51" s="72" t="s">
        <v>82</v>
      </c>
      <c r="F51" s="72">
        <v>1</v>
      </c>
      <c r="G51" s="73">
        <f>VLOOKUP(D51,$W$3:$X$72,2,0)</f>
        <v>45</v>
      </c>
      <c r="H51" s="73">
        <f t="shared" si="1"/>
        <v>45</v>
      </c>
      <c r="I51" s="73">
        <f t="shared" si="2"/>
        <v>45</v>
      </c>
      <c r="J51" s="72" t="s">
        <v>83</v>
      </c>
      <c r="K51" s="74"/>
      <c r="M51" s="72"/>
      <c r="N51" s="76" t="e">
        <f t="shared" si="9"/>
        <v>#N/A</v>
      </c>
      <c r="O51" s="110"/>
      <c r="P51" s="112"/>
      <c r="R51" s="72"/>
      <c r="S51" s="76" t="e">
        <f t="shared" si="4"/>
        <v>#N/A</v>
      </c>
      <c r="T51" s="76"/>
      <c r="U51" s="112"/>
      <c r="W51" s="50" t="s">
        <v>57</v>
      </c>
      <c r="X51" s="52">
        <v>40</v>
      </c>
      <c r="Y51" s="52">
        <f t="shared" si="10"/>
        <v>4</v>
      </c>
      <c r="AC51" s="91" t="s">
        <v>184</v>
      </c>
      <c r="AD51" s="92">
        <v>75</v>
      </c>
      <c r="AE51" s="92">
        <f t="shared" si="11"/>
        <v>30</v>
      </c>
    </row>
    <row r="52" spans="1:31" x14ac:dyDescent="0.25">
      <c r="A52" s="95">
        <v>45633</v>
      </c>
      <c r="B52" s="72" t="s">
        <v>708</v>
      </c>
      <c r="C52" s="72" t="s">
        <v>8</v>
      </c>
      <c r="D52" s="72" t="s">
        <v>61</v>
      </c>
      <c r="E52" s="72" t="s">
        <v>82</v>
      </c>
      <c r="F52" s="72">
        <v>1</v>
      </c>
      <c r="G52" s="73">
        <v>15</v>
      </c>
      <c r="H52" s="73">
        <f t="shared" si="1"/>
        <v>15</v>
      </c>
      <c r="I52" s="73">
        <f t="shared" si="2"/>
        <v>15</v>
      </c>
      <c r="J52" s="72" t="s">
        <v>83</v>
      </c>
      <c r="K52" s="74"/>
      <c r="M52" s="72"/>
      <c r="N52" s="76" t="e">
        <f t="shared" si="9"/>
        <v>#N/A</v>
      </c>
      <c r="O52" s="110"/>
      <c r="P52" s="112"/>
      <c r="Q52" s="106"/>
      <c r="R52" s="72"/>
      <c r="S52" s="76" t="e">
        <f t="shared" si="4"/>
        <v>#N/A</v>
      </c>
      <c r="T52" s="76"/>
      <c r="U52" s="112"/>
      <c r="W52" s="50" t="s">
        <v>59</v>
      </c>
      <c r="X52" s="52"/>
      <c r="Y52" s="52">
        <f t="shared" si="10"/>
        <v>0</v>
      </c>
      <c r="AC52" s="91" t="s">
        <v>186</v>
      </c>
      <c r="AD52" s="92">
        <v>75</v>
      </c>
      <c r="AE52" s="92">
        <f t="shared" si="11"/>
        <v>30</v>
      </c>
    </row>
    <row r="53" spans="1:31" x14ac:dyDescent="0.25">
      <c r="A53" s="95">
        <v>45633</v>
      </c>
      <c r="B53" s="72" t="s">
        <v>204</v>
      </c>
      <c r="C53" s="72" t="s">
        <v>8</v>
      </c>
      <c r="D53" s="72" t="s">
        <v>916</v>
      </c>
      <c r="E53" s="72" t="s">
        <v>56</v>
      </c>
      <c r="F53" s="72">
        <v>1</v>
      </c>
      <c r="G53" s="73">
        <f>VLOOKUP(D53,$W$3:$X$72,2,0)</f>
        <v>50</v>
      </c>
      <c r="H53" s="73">
        <f t="shared" si="1"/>
        <v>50</v>
      </c>
      <c r="I53" s="73">
        <f t="shared" si="2"/>
        <v>50</v>
      </c>
      <c r="J53" s="72" t="s">
        <v>79</v>
      </c>
      <c r="K53" s="74"/>
      <c r="M53" s="79" t="s">
        <v>916</v>
      </c>
      <c r="N53" s="76">
        <f t="shared" si="9"/>
        <v>20</v>
      </c>
      <c r="O53" s="110">
        <f>N53*F53</f>
        <v>20</v>
      </c>
      <c r="P53" s="112" t="s">
        <v>56</v>
      </c>
      <c r="R53" s="79"/>
      <c r="S53" s="76" t="e">
        <f t="shared" si="4"/>
        <v>#N/A</v>
      </c>
      <c r="T53" s="76"/>
      <c r="U53" s="112"/>
      <c r="W53" s="50" t="s">
        <v>160</v>
      </c>
      <c r="X53" s="52">
        <v>12</v>
      </c>
      <c r="Y53" s="52">
        <f t="shared" si="10"/>
        <v>1.2000000000000002</v>
      </c>
      <c r="AC53" s="91" t="s">
        <v>187</v>
      </c>
      <c r="AD53" s="92">
        <v>73.207499999999996</v>
      </c>
      <c r="AE53" s="92">
        <f t="shared" si="11"/>
        <v>29.283000000000001</v>
      </c>
    </row>
    <row r="54" spans="1:31" x14ac:dyDescent="0.25">
      <c r="A54" s="95">
        <v>45633</v>
      </c>
      <c r="B54" s="72" t="s">
        <v>734</v>
      </c>
      <c r="C54" s="72" t="s">
        <v>10</v>
      </c>
      <c r="D54" s="72" t="s">
        <v>18</v>
      </c>
      <c r="E54" s="72" t="s">
        <v>56</v>
      </c>
      <c r="F54" s="72">
        <v>1</v>
      </c>
      <c r="G54" s="73">
        <f>VLOOKUP(D54,$W$3:$X$72,2,0)</f>
        <v>40</v>
      </c>
      <c r="H54" s="73">
        <f t="shared" si="1"/>
        <v>40</v>
      </c>
      <c r="I54" s="73">
        <f t="shared" si="2"/>
        <v>38</v>
      </c>
      <c r="J54" s="72" t="s">
        <v>867</v>
      </c>
      <c r="K54" s="74"/>
      <c r="M54" s="79" t="s">
        <v>18</v>
      </c>
      <c r="N54" s="76">
        <f t="shared" si="9"/>
        <v>16</v>
      </c>
      <c r="O54" s="110">
        <f>N54*F54</f>
        <v>16</v>
      </c>
      <c r="P54" s="112"/>
      <c r="R54" s="79"/>
      <c r="S54" s="76" t="e">
        <f t="shared" si="4"/>
        <v>#N/A</v>
      </c>
      <c r="T54" s="76"/>
      <c r="U54" s="112"/>
      <c r="W54" s="50" t="s">
        <v>162</v>
      </c>
      <c r="X54" s="52">
        <v>8</v>
      </c>
      <c r="Y54" s="52">
        <f t="shared" si="10"/>
        <v>0.8</v>
      </c>
      <c r="AC54" s="91" t="s">
        <v>188</v>
      </c>
      <c r="AD54" s="92">
        <v>71.257499999999993</v>
      </c>
      <c r="AE54" s="92">
        <f t="shared" si="11"/>
        <v>28.503</v>
      </c>
    </row>
    <row r="55" spans="1:31" x14ac:dyDescent="0.25">
      <c r="A55" s="95">
        <v>45633</v>
      </c>
      <c r="B55" s="72" t="s">
        <v>204</v>
      </c>
      <c r="C55" s="72" t="s">
        <v>8</v>
      </c>
      <c r="D55" s="72" t="s">
        <v>18</v>
      </c>
      <c r="E55" s="72" t="s">
        <v>82</v>
      </c>
      <c r="F55" s="72">
        <v>1</v>
      </c>
      <c r="G55" s="73">
        <f>VLOOKUP(D55,$W$3:$X$72,2,0)</f>
        <v>40</v>
      </c>
      <c r="H55" s="73">
        <f t="shared" si="1"/>
        <v>40</v>
      </c>
      <c r="I55" s="73">
        <f t="shared" si="2"/>
        <v>40</v>
      </c>
      <c r="J55" s="72" t="s">
        <v>83</v>
      </c>
      <c r="K55" s="74"/>
      <c r="M55" s="72"/>
      <c r="N55" s="76" t="e">
        <f t="shared" si="9"/>
        <v>#N/A</v>
      </c>
      <c r="O55" s="110"/>
      <c r="P55" s="112"/>
      <c r="R55" s="72"/>
      <c r="S55" s="76" t="e">
        <f t="shared" si="4"/>
        <v>#N/A</v>
      </c>
      <c r="T55" s="76"/>
      <c r="U55" s="112"/>
      <c r="W55" s="50" t="s">
        <v>938</v>
      </c>
      <c r="X55" s="52">
        <v>7</v>
      </c>
      <c r="Y55" s="52">
        <f t="shared" si="10"/>
        <v>0.70000000000000007</v>
      </c>
      <c r="AC55" s="91" t="s">
        <v>190</v>
      </c>
      <c r="AD55" s="92">
        <v>55</v>
      </c>
      <c r="AE55" s="92">
        <f t="shared" si="11"/>
        <v>22</v>
      </c>
    </row>
    <row r="56" spans="1:31" x14ac:dyDescent="0.25">
      <c r="A56" s="95">
        <v>45633</v>
      </c>
      <c r="B56" s="72" t="s">
        <v>204</v>
      </c>
      <c r="C56" s="72" t="s">
        <v>8</v>
      </c>
      <c r="D56" s="72" t="s">
        <v>162</v>
      </c>
      <c r="E56" s="72" t="s">
        <v>82</v>
      </c>
      <c r="F56" s="72">
        <v>2</v>
      </c>
      <c r="G56" s="73">
        <v>15</v>
      </c>
      <c r="H56" s="73">
        <f t="shared" si="1"/>
        <v>30</v>
      </c>
      <c r="I56" s="73">
        <f t="shared" si="2"/>
        <v>30</v>
      </c>
      <c r="J56" s="72" t="s">
        <v>83</v>
      </c>
      <c r="K56" s="74"/>
      <c r="M56" s="72"/>
      <c r="N56" s="76" t="e">
        <f t="shared" si="9"/>
        <v>#N/A</v>
      </c>
      <c r="O56" s="110"/>
      <c r="P56" s="112"/>
      <c r="R56" s="72"/>
      <c r="S56" s="76" t="e">
        <f t="shared" si="4"/>
        <v>#N/A</v>
      </c>
      <c r="T56" s="76"/>
      <c r="U56" s="112"/>
      <c r="W56" s="50" t="s">
        <v>777</v>
      </c>
      <c r="X56" s="52">
        <v>4</v>
      </c>
      <c r="Y56" s="52">
        <f t="shared" si="10"/>
        <v>0.4</v>
      </c>
      <c r="AC56" s="91" t="s">
        <v>192</v>
      </c>
      <c r="AD56" s="92">
        <v>55</v>
      </c>
      <c r="AE56" s="92">
        <f t="shared" si="11"/>
        <v>22</v>
      </c>
    </row>
    <row r="57" spans="1:31" x14ac:dyDescent="0.25">
      <c r="A57" s="95">
        <v>45633</v>
      </c>
      <c r="B57" s="72" t="s">
        <v>825</v>
      </c>
      <c r="C57" s="72" t="s">
        <v>8</v>
      </c>
      <c r="D57" s="72" t="s">
        <v>18</v>
      </c>
      <c r="E57" s="72" t="s">
        <v>82</v>
      </c>
      <c r="F57" s="72">
        <v>1</v>
      </c>
      <c r="G57" s="73">
        <f>VLOOKUP(D57,$W$3:$X$72,2,0)</f>
        <v>40</v>
      </c>
      <c r="H57" s="73">
        <f t="shared" si="1"/>
        <v>40</v>
      </c>
      <c r="I57" s="73">
        <f t="shared" si="2"/>
        <v>39.164999999999999</v>
      </c>
      <c r="J57" s="72" t="s">
        <v>868</v>
      </c>
      <c r="K57" s="74"/>
      <c r="M57" s="72"/>
      <c r="N57" s="76" t="e">
        <f t="shared" si="9"/>
        <v>#N/A</v>
      </c>
      <c r="O57" s="110"/>
      <c r="P57" s="112"/>
      <c r="R57" s="72"/>
      <c r="S57" s="76" t="e">
        <f t="shared" si="4"/>
        <v>#N/A</v>
      </c>
      <c r="T57" s="76"/>
      <c r="U57" s="112"/>
      <c r="W57" s="50" t="s">
        <v>778</v>
      </c>
      <c r="X57" s="52">
        <v>2.5</v>
      </c>
      <c r="Y57" s="52">
        <f t="shared" si="10"/>
        <v>0.25</v>
      </c>
      <c r="AC57" s="91" t="s">
        <v>193</v>
      </c>
      <c r="AD57" s="92">
        <v>53.685499999999998</v>
      </c>
      <c r="AE57" s="92">
        <f t="shared" si="11"/>
        <v>21.4742</v>
      </c>
    </row>
    <row r="58" spans="1:31" x14ac:dyDescent="0.25">
      <c r="A58" s="95">
        <v>45633</v>
      </c>
      <c r="B58" s="72" t="s">
        <v>182</v>
      </c>
      <c r="C58" s="72" t="s">
        <v>8</v>
      </c>
      <c r="D58" s="72" t="s">
        <v>63</v>
      </c>
      <c r="E58" s="72" t="s">
        <v>82</v>
      </c>
      <c r="F58" s="72">
        <v>1</v>
      </c>
      <c r="G58" s="73">
        <f>VLOOKUP(D58,$W$3:$X$72,2,0)</f>
        <v>20</v>
      </c>
      <c r="H58" s="73">
        <f t="shared" si="1"/>
        <v>20</v>
      </c>
      <c r="I58" s="73">
        <f t="shared" si="2"/>
        <v>19.52</v>
      </c>
      <c r="J58" s="72" t="s">
        <v>869</v>
      </c>
      <c r="K58" s="74"/>
      <c r="M58" s="79"/>
      <c r="N58" s="76" t="e">
        <f t="shared" si="9"/>
        <v>#N/A</v>
      </c>
      <c r="O58" s="110"/>
      <c r="P58" s="112"/>
      <c r="R58" s="79"/>
      <c r="S58" s="76" t="e">
        <f t="shared" si="4"/>
        <v>#N/A</v>
      </c>
      <c r="T58" s="76"/>
      <c r="U58" s="112"/>
      <c r="W58" s="50" t="s">
        <v>779</v>
      </c>
      <c r="X58" s="52">
        <v>3</v>
      </c>
      <c r="Y58" s="52">
        <f t="shared" si="10"/>
        <v>0.30000000000000004</v>
      </c>
      <c r="AC58" s="91" t="s">
        <v>195</v>
      </c>
      <c r="AD58" s="92">
        <v>52.255499999999998</v>
      </c>
      <c r="AE58" s="92">
        <f t="shared" si="11"/>
        <v>20.902200000000001</v>
      </c>
    </row>
    <row r="59" spans="1:31" x14ac:dyDescent="0.25">
      <c r="A59" s="95">
        <v>45633</v>
      </c>
      <c r="B59" s="72" t="s">
        <v>537</v>
      </c>
      <c r="C59" s="72" t="s">
        <v>8</v>
      </c>
      <c r="D59" s="72" t="s">
        <v>18</v>
      </c>
      <c r="E59" s="72" t="s">
        <v>82</v>
      </c>
      <c r="F59" s="72">
        <v>1</v>
      </c>
      <c r="G59" s="73">
        <f>VLOOKUP(D59,$W$3:$X$72,2,0)</f>
        <v>40</v>
      </c>
      <c r="H59" s="73">
        <f t="shared" si="1"/>
        <v>40</v>
      </c>
      <c r="I59" s="73">
        <f t="shared" si="2"/>
        <v>40</v>
      </c>
      <c r="J59" s="72" t="s">
        <v>83</v>
      </c>
      <c r="K59" s="74"/>
      <c r="M59" s="79"/>
      <c r="N59" s="76" t="e">
        <f t="shared" si="9"/>
        <v>#N/A</v>
      </c>
      <c r="O59" s="110"/>
      <c r="P59" s="112"/>
      <c r="R59" s="79"/>
      <c r="S59" s="76" t="e">
        <f t="shared" si="4"/>
        <v>#N/A</v>
      </c>
      <c r="T59" s="76"/>
      <c r="U59" s="112"/>
      <c r="W59" s="50" t="s">
        <v>774</v>
      </c>
      <c r="X59" s="52">
        <v>4.5</v>
      </c>
      <c r="Y59" s="52">
        <f t="shared" si="10"/>
        <v>0.45</v>
      </c>
      <c r="AC59" s="91" t="s">
        <v>197</v>
      </c>
      <c r="AD59" s="92">
        <v>100</v>
      </c>
      <c r="AE59" s="92">
        <f t="shared" si="11"/>
        <v>40</v>
      </c>
    </row>
    <row r="60" spans="1:31" x14ac:dyDescent="0.25">
      <c r="A60" s="95">
        <v>45633</v>
      </c>
      <c r="B60" s="72" t="s">
        <v>734</v>
      </c>
      <c r="C60" s="72" t="s">
        <v>8</v>
      </c>
      <c r="D60" s="72" t="s">
        <v>18</v>
      </c>
      <c r="E60" s="72" t="s">
        <v>56</v>
      </c>
      <c r="F60" s="72">
        <v>1</v>
      </c>
      <c r="G60" s="73">
        <f>VLOOKUP(D60,$W$3:$X$72,2,0)</f>
        <v>40</v>
      </c>
      <c r="H60" s="73">
        <f t="shared" si="1"/>
        <v>40</v>
      </c>
      <c r="I60" s="73">
        <f t="shared" si="2"/>
        <v>40</v>
      </c>
      <c r="J60" s="72" t="s">
        <v>83</v>
      </c>
      <c r="K60" s="74"/>
      <c r="M60" s="79" t="s">
        <v>18</v>
      </c>
      <c r="N60" s="76">
        <f t="shared" si="9"/>
        <v>16</v>
      </c>
      <c r="O60" s="110">
        <f>N60*F60</f>
        <v>16</v>
      </c>
      <c r="P60" s="112" t="s">
        <v>56</v>
      </c>
      <c r="R60" s="79"/>
      <c r="S60" s="76" t="e">
        <f t="shared" si="4"/>
        <v>#N/A</v>
      </c>
      <c r="T60" s="76"/>
      <c r="U60" s="112"/>
      <c r="W60" s="50" t="s">
        <v>766</v>
      </c>
      <c r="X60" s="52">
        <v>3.5</v>
      </c>
      <c r="Y60" s="52">
        <f t="shared" si="10"/>
        <v>0.35000000000000003</v>
      </c>
      <c r="AC60" s="91" t="s">
        <v>199</v>
      </c>
      <c r="AD60" s="92">
        <v>100</v>
      </c>
      <c r="AE60" s="92">
        <f t="shared" si="11"/>
        <v>40</v>
      </c>
    </row>
    <row r="61" spans="1:31" x14ac:dyDescent="0.25">
      <c r="A61" s="95">
        <v>45633</v>
      </c>
      <c r="B61" s="72" t="s">
        <v>734</v>
      </c>
      <c r="C61" s="72" t="s">
        <v>8</v>
      </c>
      <c r="D61" s="72" t="s">
        <v>37</v>
      </c>
      <c r="E61" s="72" t="s">
        <v>56</v>
      </c>
      <c r="F61" s="72">
        <v>1</v>
      </c>
      <c r="G61" s="73">
        <f>VLOOKUP(D61,$W$3:$X$72,2,0)</f>
        <v>7</v>
      </c>
      <c r="H61" s="73">
        <f t="shared" si="1"/>
        <v>7</v>
      </c>
      <c r="I61" s="73">
        <f t="shared" si="2"/>
        <v>7</v>
      </c>
      <c r="J61" s="72" t="s">
        <v>83</v>
      </c>
      <c r="K61" s="74"/>
      <c r="M61" s="79" t="s">
        <v>37</v>
      </c>
      <c r="N61" s="76">
        <f t="shared" si="9"/>
        <v>0.70000000000000007</v>
      </c>
      <c r="O61" s="110">
        <f>N61*F61</f>
        <v>0.70000000000000007</v>
      </c>
      <c r="P61" s="112" t="s">
        <v>56</v>
      </c>
      <c r="R61" s="79"/>
      <c r="S61" s="76" t="e">
        <f t="shared" si="4"/>
        <v>#N/A</v>
      </c>
      <c r="T61" s="76"/>
      <c r="U61" s="112"/>
      <c r="W61" s="50" t="s">
        <v>38</v>
      </c>
      <c r="X61" s="52">
        <v>6</v>
      </c>
      <c r="Y61" s="52">
        <f t="shared" si="10"/>
        <v>0.60000000000000009</v>
      </c>
      <c r="AC61" s="91" t="s">
        <v>201</v>
      </c>
      <c r="AD61" s="92">
        <v>97.61</v>
      </c>
      <c r="AE61" s="92">
        <f t="shared" si="11"/>
        <v>39.044000000000004</v>
      </c>
    </row>
    <row r="62" spans="1:31" x14ac:dyDescent="0.25">
      <c r="A62" s="95">
        <v>45633</v>
      </c>
      <c r="B62" s="72" t="s">
        <v>739</v>
      </c>
      <c r="C62" s="72" t="s">
        <v>8</v>
      </c>
      <c r="D62" s="72" t="s">
        <v>19</v>
      </c>
      <c r="E62" s="72" t="s">
        <v>56</v>
      </c>
      <c r="F62" s="72">
        <v>1</v>
      </c>
      <c r="G62" s="73">
        <v>37</v>
      </c>
      <c r="H62" s="73">
        <f t="shared" si="1"/>
        <v>37</v>
      </c>
      <c r="I62" s="73">
        <f t="shared" si="2"/>
        <v>35.15</v>
      </c>
      <c r="J62" s="72" t="s">
        <v>867</v>
      </c>
      <c r="K62" s="74" t="s">
        <v>939</v>
      </c>
      <c r="M62" s="79" t="s">
        <v>19</v>
      </c>
      <c r="N62" s="76">
        <f>H62*0.4</f>
        <v>14.8</v>
      </c>
      <c r="O62" s="110">
        <f>N62*F62</f>
        <v>14.8</v>
      </c>
      <c r="P62" s="112" t="s">
        <v>56</v>
      </c>
      <c r="R62" s="79"/>
      <c r="S62" s="76" t="e">
        <f t="shared" si="4"/>
        <v>#N/A</v>
      </c>
      <c r="T62" s="76"/>
      <c r="U62" s="112"/>
      <c r="W62" s="50" t="s">
        <v>29</v>
      </c>
      <c r="X62" s="52">
        <v>7</v>
      </c>
      <c r="Y62" s="52">
        <f t="shared" si="10"/>
        <v>0.70000000000000007</v>
      </c>
      <c r="AC62" s="91" t="s">
        <v>203</v>
      </c>
      <c r="AD62" s="92">
        <v>95.01</v>
      </c>
      <c r="AE62" s="92">
        <f t="shared" si="11"/>
        <v>38.004000000000005</v>
      </c>
    </row>
    <row r="63" spans="1:31" x14ac:dyDescent="0.25">
      <c r="A63" s="95">
        <v>45633</v>
      </c>
      <c r="B63" s="72" t="s">
        <v>739</v>
      </c>
      <c r="C63" s="72" t="s">
        <v>8</v>
      </c>
      <c r="D63" s="72" t="s">
        <v>779</v>
      </c>
      <c r="E63" s="72" t="s">
        <v>56</v>
      </c>
      <c r="F63" s="72">
        <v>1</v>
      </c>
      <c r="G63" s="73">
        <f t="shared" ref="G63:G78" si="13">VLOOKUP(D63,$W$3:$X$72,2,0)</f>
        <v>3</v>
      </c>
      <c r="H63" s="73">
        <f t="shared" si="1"/>
        <v>3</v>
      </c>
      <c r="I63" s="73">
        <f t="shared" si="2"/>
        <v>2.85</v>
      </c>
      <c r="J63" s="72" t="s">
        <v>867</v>
      </c>
      <c r="K63" s="74"/>
      <c r="M63" s="79" t="s">
        <v>779</v>
      </c>
      <c r="N63" s="76">
        <f t="shared" ref="N63:N94" si="14">VLOOKUP(M63,$W$3:$Y$72,3,0)</f>
        <v>0.30000000000000004</v>
      </c>
      <c r="O63" s="110">
        <f>N63*F63</f>
        <v>0.30000000000000004</v>
      </c>
      <c r="P63" s="112" t="s">
        <v>56</v>
      </c>
      <c r="R63" s="79"/>
      <c r="S63" s="76" t="e">
        <f t="shared" si="4"/>
        <v>#N/A</v>
      </c>
      <c r="T63" s="76"/>
      <c r="U63" s="112"/>
      <c r="W63" s="50" t="s">
        <v>170</v>
      </c>
      <c r="X63" s="52">
        <v>5</v>
      </c>
      <c r="Y63" s="52">
        <f t="shared" si="10"/>
        <v>0.5</v>
      </c>
      <c r="AC63" s="91" t="s">
        <v>205</v>
      </c>
      <c r="AD63" s="92">
        <v>80</v>
      </c>
      <c r="AE63" s="92">
        <f t="shared" si="11"/>
        <v>32</v>
      </c>
    </row>
    <row r="64" spans="1:31" x14ac:dyDescent="0.25">
      <c r="A64" s="95">
        <v>45633</v>
      </c>
      <c r="B64" s="72" t="s">
        <v>783</v>
      </c>
      <c r="C64" s="72" t="s">
        <v>8</v>
      </c>
      <c r="D64" s="72" t="s">
        <v>18</v>
      </c>
      <c r="E64" s="72" t="s">
        <v>82</v>
      </c>
      <c r="F64" s="72">
        <v>1</v>
      </c>
      <c r="G64" s="73">
        <f t="shared" si="13"/>
        <v>40</v>
      </c>
      <c r="H64" s="73">
        <f t="shared" si="1"/>
        <v>40</v>
      </c>
      <c r="I64" s="73">
        <f t="shared" si="2"/>
        <v>39.159999999999997</v>
      </c>
      <c r="J64" s="72" t="s">
        <v>866</v>
      </c>
      <c r="K64" s="74"/>
      <c r="M64" s="79"/>
      <c r="N64" s="76" t="e">
        <f t="shared" si="14"/>
        <v>#N/A</v>
      </c>
      <c r="O64" s="110"/>
      <c r="P64" s="112"/>
      <c r="Q64" s="106"/>
      <c r="R64" s="79"/>
      <c r="S64" s="76" t="e">
        <f t="shared" si="4"/>
        <v>#N/A</v>
      </c>
      <c r="T64" s="76"/>
      <c r="U64" s="112"/>
      <c r="W64" s="50" t="s">
        <v>48</v>
      </c>
      <c r="X64" s="52">
        <v>10</v>
      </c>
      <c r="Y64" s="52">
        <f t="shared" si="10"/>
        <v>1</v>
      </c>
      <c r="AC64" s="91" t="s">
        <v>207</v>
      </c>
      <c r="AD64" s="92">
        <v>80</v>
      </c>
      <c r="AE64" s="92">
        <f t="shared" si="11"/>
        <v>32</v>
      </c>
    </row>
    <row r="65" spans="1:31" x14ac:dyDescent="0.25">
      <c r="A65" s="95">
        <v>45636</v>
      </c>
      <c r="B65" s="72" t="s">
        <v>142</v>
      </c>
      <c r="C65" s="72" t="s">
        <v>8</v>
      </c>
      <c r="D65" s="72" t="s">
        <v>18</v>
      </c>
      <c r="E65" s="72" t="s">
        <v>56</v>
      </c>
      <c r="F65" s="72">
        <v>1</v>
      </c>
      <c r="G65" s="73">
        <f t="shared" si="13"/>
        <v>40</v>
      </c>
      <c r="H65" s="73">
        <f t="shared" si="1"/>
        <v>40</v>
      </c>
      <c r="I65" s="73">
        <f t="shared" si="2"/>
        <v>39.159999999999997</v>
      </c>
      <c r="J65" s="72" t="s">
        <v>866</v>
      </c>
      <c r="K65" s="74"/>
      <c r="M65" s="79" t="s">
        <v>18</v>
      </c>
      <c r="N65" s="76">
        <f t="shared" si="14"/>
        <v>16</v>
      </c>
      <c r="O65" s="110">
        <f>N65*F65</f>
        <v>16</v>
      </c>
      <c r="P65" s="112" t="s">
        <v>56</v>
      </c>
      <c r="R65" s="79"/>
      <c r="S65" s="76" t="e">
        <f t="shared" si="4"/>
        <v>#N/A</v>
      </c>
      <c r="T65" s="76"/>
      <c r="U65" s="112"/>
      <c r="W65" s="50" t="s">
        <v>44</v>
      </c>
      <c r="X65" s="52">
        <v>5</v>
      </c>
      <c r="Y65" s="52">
        <f t="shared" si="10"/>
        <v>0.5</v>
      </c>
      <c r="AC65" s="91" t="s">
        <v>208</v>
      </c>
      <c r="AD65" s="92">
        <v>78.087999999999994</v>
      </c>
      <c r="AE65" s="92">
        <f t="shared" si="11"/>
        <v>31.235199999999999</v>
      </c>
    </row>
    <row r="66" spans="1:31" x14ac:dyDescent="0.25">
      <c r="A66" s="95">
        <v>45636</v>
      </c>
      <c r="B66" s="72" t="s">
        <v>142</v>
      </c>
      <c r="C66" s="72" t="s">
        <v>8</v>
      </c>
      <c r="D66" s="72" t="s">
        <v>64</v>
      </c>
      <c r="E66" s="72" t="s">
        <v>56</v>
      </c>
      <c r="F66" s="72">
        <v>1</v>
      </c>
      <c r="G66" s="73">
        <f t="shared" si="13"/>
        <v>30</v>
      </c>
      <c r="H66" s="73">
        <f t="shared" si="1"/>
        <v>30</v>
      </c>
      <c r="I66" s="73">
        <f t="shared" si="2"/>
        <v>29.37</v>
      </c>
      <c r="J66" s="72" t="s">
        <v>866</v>
      </c>
      <c r="K66" s="74"/>
      <c r="M66" s="79" t="s">
        <v>64</v>
      </c>
      <c r="N66" s="76">
        <f t="shared" si="14"/>
        <v>3</v>
      </c>
      <c r="O66" s="110">
        <f>N66*F66</f>
        <v>3</v>
      </c>
      <c r="P66" s="112" t="s">
        <v>56</v>
      </c>
      <c r="R66" s="79"/>
      <c r="S66" s="76" t="e">
        <f t="shared" si="4"/>
        <v>#N/A</v>
      </c>
      <c r="T66" s="76"/>
      <c r="U66" s="112"/>
      <c r="W66" s="50" t="s">
        <v>37</v>
      </c>
      <c r="X66" s="52">
        <v>7</v>
      </c>
      <c r="Y66" s="52">
        <f t="shared" si="10"/>
        <v>0.70000000000000007</v>
      </c>
      <c r="AC66" s="91" t="s">
        <v>209</v>
      </c>
      <c r="AD66" s="92">
        <v>76.007999999999996</v>
      </c>
      <c r="AE66" s="92">
        <f t="shared" si="11"/>
        <v>30.403199999999998</v>
      </c>
    </row>
    <row r="67" spans="1:31" x14ac:dyDescent="0.25">
      <c r="A67" s="95">
        <v>45636</v>
      </c>
      <c r="B67" s="72" t="s">
        <v>514</v>
      </c>
      <c r="C67" s="72" t="s">
        <v>10</v>
      </c>
      <c r="D67" s="72" t="s">
        <v>18</v>
      </c>
      <c r="E67" s="72" t="s">
        <v>56</v>
      </c>
      <c r="F67" s="72">
        <v>1</v>
      </c>
      <c r="G67" s="73">
        <f t="shared" si="13"/>
        <v>40</v>
      </c>
      <c r="H67" s="73">
        <f t="shared" ref="H67:H130" si="15">F67*G67</f>
        <v>40</v>
      </c>
      <c r="I67" s="73">
        <f t="shared" ref="I67:I130" si="16">IF(J67="Master Debito",H67-(H67*$AG$5),IF(J67="Master Credito",H67-(H67*$AG$6), IF(J67="Visa Debito",H67-(H67*$AG$7), IF(J67="Visa Credito", H67-(H67*$AG$8), IF(J67="Elo Debito", H67-(H67*$AG$9), IF(J67="Elo Credito", H67-(H67*$AG$10), IF(J67="Pix", H67-(H67*$AG$11), IF(J67="Dinheiro (R$)", H67-(H67*$AG$12)))))))))</f>
        <v>39.159999999999997</v>
      </c>
      <c r="J67" s="72" t="s">
        <v>866</v>
      </c>
      <c r="K67" s="74"/>
      <c r="M67" s="79" t="s">
        <v>18</v>
      </c>
      <c r="N67" s="76">
        <f t="shared" si="14"/>
        <v>16</v>
      </c>
      <c r="O67" s="110">
        <f>N67*F67</f>
        <v>16</v>
      </c>
      <c r="P67" s="112" t="s">
        <v>56</v>
      </c>
      <c r="R67" s="79"/>
      <c r="S67" s="76" t="e">
        <f t="shared" ref="S67:S130" si="17">VLOOKUP(R67,$W$3:$Y$72,3,0)</f>
        <v>#N/A</v>
      </c>
      <c r="T67" s="76"/>
      <c r="U67" s="112"/>
      <c r="W67" s="50" t="s">
        <v>179</v>
      </c>
      <c r="X67" s="52">
        <v>3.5</v>
      </c>
      <c r="Y67" s="52">
        <f t="shared" si="10"/>
        <v>0.35000000000000003</v>
      </c>
      <c r="AC67" s="91" t="s">
        <v>211</v>
      </c>
      <c r="AD67" s="92">
        <v>130</v>
      </c>
      <c r="AE67" s="92">
        <f t="shared" ref="AE67:AE74" si="18">AD67*0.4</f>
        <v>52</v>
      </c>
    </row>
    <row r="68" spans="1:31" x14ac:dyDescent="0.25">
      <c r="A68" s="95">
        <v>45636</v>
      </c>
      <c r="B68" s="72" t="s">
        <v>843</v>
      </c>
      <c r="C68" s="72" t="s">
        <v>10</v>
      </c>
      <c r="D68" s="72" t="s">
        <v>18</v>
      </c>
      <c r="E68" s="72" t="s">
        <v>56</v>
      </c>
      <c r="F68" s="72">
        <v>1</v>
      </c>
      <c r="G68" s="73">
        <f t="shared" si="13"/>
        <v>40</v>
      </c>
      <c r="H68" s="73">
        <f t="shared" si="15"/>
        <v>40</v>
      </c>
      <c r="I68" s="73">
        <f t="shared" si="16"/>
        <v>40</v>
      </c>
      <c r="J68" s="72" t="s">
        <v>79</v>
      </c>
      <c r="K68" s="74"/>
      <c r="M68" s="79" t="s">
        <v>18</v>
      </c>
      <c r="N68" s="76">
        <f t="shared" si="14"/>
        <v>16</v>
      </c>
      <c r="O68" s="110">
        <f>N68*F68</f>
        <v>16</v>
      </c>
      <c r="P68" s="112" t="s">
        <v>56</v>
      </c>
      <c r="R68" s="79"/>
      <c r="S68" s="76" t="e">
        <f t="shared" si="17"/>
        <v>#N/A</v>
      </c>
      <c r="T68" s="76"/>
      <c r="U68" s="112"/>
      <c r="W68" s="50" t="s">
        <v>46</v>
      </c>
      <c r="X68" s="52">
        <v>5</v>
      </c>
      <c r="Y68" s="52">
        <f t="shared" si="10"/>
        <v>0.5</v>
      </c>
      <c r="AC68" s="91" t="s">
        <v>213</v>
      </c>
      <c r="AD68" s="92">
        <v>130</v>
      </c>
      <c r="AE68" s="92">
        <f t="shared" si="18"/>
        <v>52</v>
      </c>
    </row>
    <row r="69" spans="1:31" x14ac:dyDescent="0.25">
      <c r="A69" s="95">
        <v>45636</v>
      </c>
      <c r="B69" s="72" t="s">
        <v>940</v>
      </c>
      <c r="C69" s="72" t="s">
        <v>8</v>
      </c>
      <c r="D69" s="72" t="s">
        <v>916</v>
      </c>
      <c r="E69" s="72" t="s">
        <v>56</v>
      </c>
      <c r="F69" s="72">
        <v>1</v>
      </c>
      <c r="G69" s="73">
        <f t="shared" si="13"/>
        <v>50</v>
      </c>
      <c r="H69" s="73">
        <f t="shared" si="15"/>
        <v>50</v>
      </c>
      <c r="I69" s="73">
        <f t="shared" si="16"/>
        <v>50</v>
      </c>
      <c r="J69" s="72" t="s">
        <v>83</v>
      </c>
      <c r="K69" s="74"/>
      <c r="M69" s="79" t="s">
        <v>916</v>
      </c>
      <c r="N69" s="76">
        <f t="shared" si="14"/>
        <v>20</v>
      </c>
      <c r="O69" s="110">
        <f>N69*F69</f>
        <v>20</v>
      </c>
      <c r="P69" s="112" t="s">
        <v>56</v>
      </c>
      <c r="R69" s="79"/>
      <c r="S69" s="76" t="e">
        <f t="shared" si="17"/>
        <v>#N/A</v>
      </c>
      <c r="T69" s="76"/>
      <c r="U69" s="112"/>
      <c r="W69" s="50" t="s">
        <v>183</v>
      </c>
      <c r="X69" s="52">
        <v>7</v>
      </c>
      <c r="Y69" s="52">
        <f t="shared" si="10"/>
        <v>0.70000000000000007</v>
      </c>
      <c r="AC69" s="91" t="s">
        <v>214</v>
      </c>
      <c r="AD69" s="92">
        <v>126.893</v>
      </c>
      <c r="AE69" s="92">
        <f t="shared" si="18"/>
        <v>50.757200000000005</v>
      </c>
    </row>
    <row r="70" spans="1:31" x14ac:dyDescent="0.25">
      <c r="A70" s="95">
        <v>45636</v>
      </c>
      <c r="B70" s="72" t="s">
        <v>536</v>
      </c>
      <c r="C70" s="72" t="s">
        <v>8</v>
      </c>
      <c r="D70" s="72" t="s">
        <v>18</v>
      </c>
      <c r="E70" s="72" t="s">
        <v>82</v>
      </c>
      <c r="F70" s="72">
        <v>1</v>
      </c>
      <c r="G70" s="73">
        <f t="shared" si="13"/>
        <v>40</v>
      </c>
      <c r="H70" s="73">
        <f t="shared" si="15"/>
        <v>40</v>
      </c>
      <c r="I70" s="73">
        <f t="shared" si="16"/>
        <v>40</v>
      </c>
      <c r="J70" s="72" t="s">
        <v>83</v>
      </c>
      <c r="K70" s="74"/>
      <c r="M70" s="79"/>
      <c r="N70" s="76" t="e">
        <f t="shared" si="14"/>
        <v>#N/A</v>
      </c>
      <c r="O70" s="110"/>
      <c r="P70" s="112"/>
      <c r="R70" s="79"/>
      <c r="S70" s="76" t="e">
        <f t="shared" si="17"/>
        <v>#N/A</v>
      </c>
      <c r="T70" s="76"/>
      <c r="U70" s="112"/>
      <c r="W70" s="50" t="s">
        <v>35</v>
      </c>
      <c r="X70" s="52">
        <v>7</v>
      </c>
      <c r="Y70" s="52">
        <f t="shared" si="10"/>
        <v>0.70000000000000007</v>
      </c>
      <c r="AC70" s="91" t="s">
        <v>208</v>
      </c>
      <c r="AD70" s="92">
        <v>78.087999999999994</v>
      </c>
      <c r="AE70" s="92">
        <f t="shared" si="18"/>
        <v>31.235199999999999</v>
      </c>
    </row>
    <row r="71" spans="1:31" x14ac:dyDescent="0.25">
      <c r="A71" s="95">
        <v>45636</v>
      </c>
      <c r="B71" s="72" t="s">
        <v>395</v>
      </c>
      <c r="C71" s="72" t="s">
        <v>8</v>
      </c>
      <c r="D71" s="72" t="s">
        <v>18</v>
      </c>
      <c r="E71" s="72" t="s">
        <v>56</v>
      </c>
      <c r="F71" s="72">
        <v>1</v>
      </c>
      <c r="G71" s="73">
        <f t="shared" si="13"/>
        <v>40</v>
      </c>
      <c r="H71" s="73">
        <f t="shared" si="15"/>
        <v>40</v>
      </c>
      <c r="I71" s="73">
        <f t="shared" si="16"/>
        <v>40</v>
      </c>
      <c r="J71" s="72" t="s">
        <v>83</v>
      </c>
      <c r="K71" s="74"/>
      <c r="M71" s="79" t="s">
        <v>18</v>
      </c>
      <c r="N71" s="76">
        <f t="shared" si="14"/>
        <v>16</v>
      </c>
      <c r="O71" s="110">
        <f>N71*F71</f>
        <v>16</v>
      </c>
      <c r="P71" s="112" t="s">
        <v>56</v>
      </c>
      <c r="R71" s="79"/>
      <c r="S71" s="76" t="e">
        <f t="shared" si="17"/>
        <v>#N/A</v>
      </c>
      <c r="T71" s="76"/>
      <c r="U71" s="112"/>
      <c r="W71" s="50" t="s">
        <v>155</v>
      </c>
      <c r="X71" s="52">
        <v>3.5</v>
      </c>
      <c r="Y71" s="52">
        <f t="shared" si="10"/>
        <v>0.35000000000000003</v>
      </c>
      <c r="AC71" s="91" t="s">
        <v>219</v>
      </c>
      <c r="AD71" s="92">
        <v>90</v>
      </c>
      <c r="AE71" s="92">
        <f t="shared" si="18"/>
        <v>36</v>
      </c>
    </row>
    <row r="72" spans="1:31" x14ac:dyDescent="0.25">
      <c r="A72" s="95">
        <v>45636</v>
      </c>
      <c r="B72" s="72" t="s">
        <v>765</v>
      </c>
      <c r="C72" s="72" t="s">
        <v>8</v>
      </c>
      <c r="D72" s="72" t="s">
        <v>916</v>
      </c>
      <c r="E72" s="72" t="s">
        <v>56</v>
      </c>
      <c r="F72" s="72">
        <v>1</v>
      </c>
      <c r="G72" s="73">
        <f t="shared" si="13"/>
        <v>50</v>
      </c>
      <c r="H72" s="73">
        <f t="shared" si="15"/>
        <v>50</v>
      </c>
      <c r="I72" s="73">
        <f t="shared" si="16"/>
        <v>47.5</v>
      </c>
      <c r="J72" s="72" t="s">
        <v>867</v>
      </c>
      <c r="K72" s="74"/>
      <c r="M72" s="79" t="s">
        <v>916</v>
      </c>
      <c r="N72" s="76">
        <f t="shared" si="14"/>
        <v>20</v>
      </c>
      <c r="O72" s="110">
        <f>N72*F72</f>
        <v>20</v>
      </c>
      <c r="P72" s="112" t="s">
        <v>56</v>
      </c>
      <c r="R72" s="79"/>
      <c r="S72" s="76" t="e">
        <f t="shared" si="17"/>
        <v>#N/A</v>
      </c>
      <c r="T72" s="76"/>
      <c r="U72" s="112"/>
      <c r="W72" s="50" t="s">
        <v>45</v>
      </c>
      <c r="X72" s="52">
        <v>3.5</v>
      </c>
      <c r="Y72" s="52">
        <f t="shared" si="10"/>
        <v>0.35000000000000003</v>
      </c>
      <c r="AC72" s="91" t="s">
        <v>221</v>
      </c>
      <c r="AD72" s="92">
        <v>90</v>
      </c>
      <c r="AE72" s="92">
        <f t="shared" si="18"/>
        <v>36</v>
      </c>
    </row>
    <row r="73" spans="1:31" x14ac:dyDescent="0.25">
      <c r="A73" s="95">
        <v>45636</v>
      </c>
      <c r="B73" s="72" t="s">
        <v>204</v>
      </c>
      <c r="C73" s="72" t="s">
        <v>8</v>
      </c>
      <c r="D73" s="72" t="s">
        <v>920</v>
      </c>
      <c r="E73" s="72" t="s">
        <v>82</v>
      </c>
      <c r="F73" s="72">
        <v>1</v>
      </c>
      <c r="G73" s="73">
        <f t="shared" si="13"/>
        <v>80</v>
      </c>
      <c r="H73" s="73">
        <f t="shared" si="15"/>
        <v>80</v>
      </c>
      <c r="I73" s="73">
        <f t="shared" si="16"/>
        <v>78.319999999999993</v>
      </c>
      <c r="J73" s="72" t="s">
        <v>866</v>
      </c>
      <c r="K73" s="74"/>
      <c r="M73" s="79"/>
      <c r="N73" s="76" t="e">
        <f t="shared" si="14"/>
        <v>#N/A</v>
      </c>
      <c r="O73" s="110"/>
      <c r="P73" s="112"/>
      <c r="R73" s="79"/>
      <c r="S73" s="76" t="e">
        <f t="shared" si="17"/>
        <v>#N/A</v>
      </c>
      <c r="T73" s="76"/>
      <c r="U73" s="112"/>
      <c r="AC73" s="91" t="s">
        <v>222</v>
      </c>
      <c r="AD73" s="92">
        <v>87.849000000000004</v>
      </c>
      <c r="AE73" s="92">
        <f t="shared" si="18"/>
        <v>35.139600000000002</v>
      </c>
    </row>
    <row r="74" spans="1:31" x14ac:dyDescent="0.25">
      <c r="A74" s="95">
        <v>45637</v>
      </c>
      <c r="B74" s="72" t="s">
        <v>524</v>
      </c>
      <c r="C74" s="72" t="s">
        <v>10</v>
      </c>
      <c r="D74" s="72" t="s">
        <v>18</v>
      </c>
      <c r="E74" s="72" t="s">
        <v>56</v>
      </c>
      <c r="F74" s="72">
        <v>1</v>
      </c>
      <c r="G74" s="73">
        <f t="shared" si="13"/>
        <v>40</v>
      </c>
      <c r="H74" s="73">
        <f t="shared" si="15"/>
        <v>40</v>
      </c>
      <c r="I74" s="73">
        <f t="shared" si="16"/>
        <v>39.159999999999997</v>
      </c>
      <c r="J74" s="72" t="s">
        <v>866</v>
      </c>
      <c r="K74" s="74"/>
      <c r="M74" s="79" t="s">
        <v>18</v>
      </c>
      <c r="N74" s="76">
        <f t="shared" si="14"/>
        <v>16</v>
      </c>
      <c r="O74" s="110">
        <f>N74*F74</f>
        <v>16</v>
      </c>
      <c r="P74" s="112" t="s">
        <v>56</v>
      </c>
      <c r="R74" s="79"/>
      <c r="S74" s="76" t="e">
        <f t="shared" si="17"/>
        <v>#N/A</v>
      </c>
      <c r="T74" s="76"/>
      <c r="U74" s="112"/>
      <c r="AC74" s="91" t="s">
        <v>224</v>
      </c>
      <c r="AD74" s="92">
        <v>85.509</v>
      </c>
      <c r="AE74" s="92">
        <f t="shared" si="18"/>
        <v>34.203600000000002</v>
      </c>
    </row>
    <row r="75" spans="1:31" x14ac:dyDescent="0.25">
      <c r="A75" s="95">
        <v>45637</v>
      </c>
      <c r="B75" s="72" t="s">
        <v>605</v>
      </c>
      <c r="C75" s="72" t="s">
        <v>8</v>
      </c>
      <c r="D75" s="72" t="s">
        <v>18</v>
      </c>
      <c r="E75" s="72" t="s">
        <v>56</v>
      </c>
      <c r="F75" s="72">
        <v>1</v>
      </c>
      <c r="G75" s="73">
        <f t="shared" si="13"/>
        <v>40</v>
      </c>
      <c r="H75" s="73">
        <f t="shared" si="15"/>
        <v>40</v>
      </c>
      <c r="I75" s="73">
        <f t="shared" si="16"/>
        <v>40</v>
      </c>
      <c r="J75" s="72" t="s">
        <v>83</v>
      </c>
      <c r="K75" s="74"/>
      <c r="M75" s="79" t="s">
        <v>18</v>
      </c>
      <c r="N75" s="76">
        <f t="shared" si="14"/>
        <v>16</v>
      </c>
      <c r="O75" s="110">
        <f>N75*F75</f>
        <v>16</v>
      </c>
      <c r="P75" s="112" t="s">
        <v>56</v>
      </c>
      <c r="R75" s="79"/>
      <c r="S75" s="76" t="e">
        <f t="shared" si="17"/>
        <v>#N/A</v>
      </c>
      <c r="T75" s="76"/>
      <c r="U75" s="112"/>
      <c r="AC75" s="91" t="s">
        <v>226</v>
      </c>
      <c r="AD75" s="92">
        <v>30</v>
      </c>
      <c r="AE75" s="92">
        <f t="shared" ref="AE75:AE117" si="19">AD75*0.1</f>
        <v>3</v>
      </c>
    </row>
    <row r="76" spans="1:31" x14ac:dyDescent="0.25">
      <c r="A76" s="95">
        <v>45637</v>
      </c>
      <c r="B76" s="72" t="s">
        <v>605</v>
      </c>
      <c r="C76" s="72" t="s">
        <v>8</v>
      </c>
      <c r="D76" s="72" t="s">
        <v>20</v>
      </c>
      <c r="E76" s="72" t="s">
        <v>56</v>
      </c>
      <c r="F76" s="72">
        <v>1</v>
      </c>
      <c r="G76" s="73">
        <f t="shared" si="13"/>
        <v>15</v>
      </c>
      <c r="H76" s="73">
        <f t="shared" si="15"/>
        <v>15</v>
      </c>
      <c r="I76" s="73">
        <f t="shared" si="16"/>
        <v>15</v>
      </c>
      <c r="J76" s="72" t="s">
        <v>83</v>
      </c>
      <c r="K76" s="74"/>
      <c r="M76" s="79" t="s">
        <v>20</v>
      </c>
      <c r="N76" s="76">
        <f t="shared" si="14"/>
        <v>6</v>
      </c>
      <c r="O76" s="110">
        <f>N76*F76</f>
        <v>6</v>
      </c>
      <c r="P76" s="112" t="s">
        <v>56</v>
      </c>
      <c r="R76" s="79"/>
      <c r="S76" s="76" t="e">
        <f t="shared" si="17"/>
        <v>#N/A</v>
      </c>
      <c r="T76" s="76"/>
      <c r="U76" s="112"/>
      <c r="AC76" s="91" t="s">
        <v>228</v>
      </c>
      <c r="AD76" s="92">
        <v>30</v>
      </c>
      <c r="AE76" s="92">
        <f t="shared" si="19"/>
        <v>3</v>
      </c>
    </row>
    <row r="77" spans="1:31" x14ac:dyDescent="0.25">
      <c r="A77" s="95">
        <v>45637</v>
      </c>
      <c r="B77" s="72" t="s">
        <v>670</v>
      </c>
      <c r="C77" s="72" t="s">
        <v>8</v>
      </c>
      <c r="D77" s="72" t="s">
        <v>18</v>
      </c>
      <c r="E77" s="72" t="s">
        <v>56</v>
      </c>
      <c r="F77" s="72">
        <v>1</v>
      </c>
      <c r="G77" s="73">
        <f t="shared" si="13"/>
        <v>40</v>
      </c>
      <c r="H77" s="73">
        <f t="shared" si="15"/>
        <v>40</v>
      </c>
      <c r="I77" s="73">
        <f t="shared" si="16"/>
        <v>38</v>
      </c>
      <c r="J77" s="72" t="s">
        <v>867</v>
      </c>
      <c r="K77" s="74"/>
      <c r="M77" s="79" t="s">
        <v>18</v>
      </c>
      <c r="N77" s="76">
        <f t="shared" si="14"/>
        <v>16</v>
      </c>
      <c r="O77" s="110">
        <f>N77*F77</f>
        <v>16</v>
      </c>
      <c r="P77" s="112" t="s">
        <v>56</v>
      </c>
      <c r="R77" s="79"/>
      <c r="S77" s="76" t="e">
        <f t="shared" si="17"/>
        <v>#N/A</v>
      </c>
      <c r="T77" s="76"/>
      <c r="U77" s="112"/>
      <c r="AC77" s="91" t="s">
        <v>230</v>
      </c>
      <c r="AD77" s="92">
        <v>29.283000000000001</v>
      </c>
      <c r="AE77" s="92">
        <f t="shared" si="19"/>
        <v>2.9283000000000001</v>
      </c>
    </row>
    <row r="78" spans="1:31" x14ac:dyDescent="0.25">
      <c r="A78" s="95">
        <v>45637</v>
      </c>
      <c r="B78" s="72" t="s">
        <v>510</v>
      </c>
      <c r="C78" s="72" t="s">
        <v>8</v>
      </c>
      <c r="D78" s="72" t="s">
        <v>18</v>
      </c>
      <c r="E78" s="72" t="s">
        <v>82</v>
      </c>
      <c r="F78" s="72">
        <v>1</v>
      </c>
      <c r="G78" s="73">
        <f t="shared" si="13"/>
        <v>40</v>
      </c>
      <c r="H78" s="73">
        <f t="shared" si="15"/>
        <v>40</v>
      </c>
      <c r="I78" s="73">
        <f t="shared" si="16"/>
        <v>40</v>
      </c>
      <c r="J78" s="72" t="s">
        <v>79</v>
      </c>
      <c r="K78" s="74"/>
      <c r="M78" s="79"/>
      <c r="N78" s="76" t="e">
        <f t="shared" si="14"/>
        <v>#N/A</v>
      </c>
      <c r="O78" s="110"/>
      <c r="P78" s="112"/>
      <c r="R78" s="79"/>
      <c r="S78" s="76" t="e">
        <f t="shared" si="17"/>
        <v>#N/A</v>
      </c>
      <c r="T78" s="76"/>
      <c r="U78" s="112"/>
      <c r="AC78" s="91" t="s">
        <v>231</v>
      </c>
      <c r="AD78" s="92">
        <v>28.503</v>
      </c>
      <c r="AE78" s="92">
        <f t="shared" si="19"/>
        <v>2.8503000000000003</v>
      </c>
    </row>
    <row r="79" spans="1:31" x14ac:dyDescent="0.25">
      <c r="A79" s="95">
        <v>45637</v>
      </c>
      <c r="B79" s="72" t="s">
        <v>690</v>
      </c>
      <c r="C79" s="72" t="s">
        <v>8</v>
      </c>
      <c r="D79" s="72" t="s">
        <v>18</v>
      </c>
      <c r="E79" s="72" t="s">
        <v>82</v>
      </c>
      <c r="F79" s="72">
        <v>1</v>
      </c>
      <c r="G79" s="73">
        <v>35</v>
      </c>
      <c r="H79" s="73">
        <f t="shared" si="15"/>
        <v>35</v>
      </c>
      <c r="I79" s="73">
        <f t="shared" si="16"/>
        <v>35</v>
      </c>
      <c r="J79" s="72" t="s">
        <v>79</v>
      </c>
      <c r="K79" s="74"/>
      <c r="M79" s="79"/>
      <c r="N79" s="76" t="e">
        <f t="shared" si="14"/>
        <v>#N/A</v>
      </c>
      <c r="O79" s="110"/>
      <c r="P79" s="112"/>
      <c r="Q79" s="106"/>
      <c r="R79" s="79"/>
      <c r="S79" s="76" t="e">
        <f t="shared" si="17"/>
        <v>#N/A</v>
      </c>
      <c r="T79" s="76"/>
      <c r="U79" s="112"/>
      <c r="AC79" s="91" t="s">
        <v>232</v>
      </c>
      <c r="AD79" s="92">
        <v>30</v>
      </c>
      <c r="AE79" s="92">
        <f t="shared" si="19"/>
        <v>3</v>
      </c>
    </row>
    <row r="80" spans="1:31" x14ac:dyDescent="0.25">
      <c r="A80" s="95">
        <v>45637</v>
      </c>
      <c r="B80" s="72" t="s">
        <v>713</v>
      </c>
      <c r="C80" s="72" t="s">
        <v>8</v>
      </c>
      <c r="D80" s="72" t="s">
        <v>15</v>
      </c>
      <c r="E80" s="72" t="s">
        <v>56</v>
      </c>
      <c r="F80" s="72">
        <v>1</v>
      </c>
      <c r="G80" s="73">
        <f>VLOOKUP(D80,$W$3:$X$72,2,0)</f>
        <v>70</v>
      </c>
      <c r="H80" s="73">
        <f t="shared" si="15"/>
        <v>70</v>
      </c>
      <c r="I80" s="73">
        <f t="shared" si="16"/>
        <v>70</v>
      </c>
      <c r="J80" s="72" t="s">
        <v>83</v>
      </c>
      <c r="K80" s="74"/>
      <c r="M80" s="79" t="s">
        <v>15</v>
      </c>
      <c r="N80" s="76">
        <f t="shared" si="14"/>
        <v>28</v>
      </c>
      <c r="O80" s="110">
        <f>N80*F80</f>
        <v>28</v>
      </c>
      <c r="P80" s="112" t="s">
        <v>56</v>
      </c>
      <c r="R80" s="79"/>
      <c r="S80" s="76" t="e">
        <f t="shared" si="17"/>
        <v>#N/A</v>
      </c>
      <c r="T80" s="76"/>
      <c r="U80" s="112"/>
      <c r="AC80" s="91" t="s">
        <v>234</v>
      </c>
      <c r="AD80" s="92">
        <v>30</v>
      </c>
      <c r="AE80" s="92">
        <f t="shared" si="19"/>
        <v>3</v>
      </c>
    </row>
    <row r="81" spans="1:31" x14ac:dyDescent="0.25">
      <c r="A81" s="95">
        <v>45637</v>
      </c>
      <c r="B81" s="72" t="s">
        <v>465</v>
      </c>
      <c r="C81" s="72" t="s">
        <v>8</v>
      </c>
      <c r="D81" s="72" t="s">
        <v>18</v>
      </c>
      <c r="E81" s="72" t="s">
        <v>56</v>
      </c>
      <c r="F81" s="72">
        <v>1</v>
      </c>
      <c r="G81" s="73">
        <f>VLOOKUP(D81,$W$3:$X$72,2,0)</f>
        <v>40</v>
      </c>
      <c r="H81" s="73">
        <f t="shared" si="15"/>
        <v>40</v>
      </c>
      <c r="I81" s="73">
        <f t="shared" si="16"/>
        <v>39.159999999999997</v>
      </c>
      <c r="J81" s="72" t="s">
        <v>866</v>
      </c>
      <c r="K81" s="74"/>
      <c r="M81" s="79" t="s">
        <v>18</v>
      </c>
      <c r="N81" s="76">
        <f t="shared" si="14"/>
        <v>16</v>
      </c>
      <c r="O81" s="110">
        <f>N81*F81</f>
        <v>16</v>
      </c>
      <c r="P81" s="112" t="s">
        <v>56</v>
      </c>
      <c r="R81" s="79"/>
      <c r="S81" s="76" t="e">
        <f t="shared" si="17"/>
        <v>#N/A</v>
      </c>
      <c r="T81" s="76"/>
      <c r="U81" s="112"/>
      <c r="AC81" s="91" t="s">
        <v>235</v>
      </c>
      <c r="AD81" s="92">
        <v>29.283000000000001</v>
      </c>
      <c r="AE81" s="92">
        <f t="shared" si="19"/>
        <v>2.9283000000000001</v>
      </c>
    </row>
    <row r="82" spans="1:31" x14ac:dyDescent="0.25">
      <c r="A82" s="95">
        <v>45637</v>
      </c>
      <c r="B82" s="72" t="s">
        <v>256</v>
      </c>
      <c r="C82" s="72" t="s">
        <v>8</v>
      </c>
      <c r="D82" s="72" t="s">
        <v>18</v>
      </c>
      <c r="E82" s="72" t="s">
        <v>82</v>
      </c>
      <c r="F82" s="72">
        <v>1</v>
      </c>
      <c r="G82" s="73">
        <f>VLOOKUP(D82,$W$3:$X$72,2,0)</f>
        <v>40</v>
      </c>
      <c r="H82" s="73">
        <f t="shared" si="15"/>
        <v>40</v>
      </c>
      <c r="I82" s="73">
        <f t="shared" si="16"/>
        <v>40</v>
      </c>
      <c r="J82" s="72" t="s">
        <v>83</v>
      </c>
      <c r="K82" s="74"/>
      <c r="M82" s="79"/>
      <c r="N82" s="76" t="e">
        <f t="shared" si="14"/>
        <v>#N/A</v>
      </c>
      <c r="O82" s="110"/>
      <c r="P82" s="112"/>
      <c r="R82" s="79"/>
      <c r="S82" s="76" t="e">
        <f t="shared" si="17"/>
        <v>#N/A</v>
      </c>
      <c r="T82" s="76"/>
      <c r="U82" s="112"/>
      <c r="AC82" s="91" t="s">
        <v>237</v>
      </c>
      <c r="AD82" s="92">
        <v>28.503</v>
      </c>
      <c r="AE82" s="92">
        <f t="shared" si="19"/>
        <v>2.8503000000000003</v>
      </c>
    </row>
    <row r="83" spans="1:31" x14ac:dyDescent="0.25">
      <c r="A83" s="95">
        <v>45637</v>
      </c>
      <c r="B83" s="72" t="s">
        <v>256</v>
      </c>
      <c r="C83" s="72" t="s">
        <v>8</v>
      </c>
      <c r="D83" s="72" t="s">
        <v>104</v>
      </c>
      <c r="E83" s="72" t="s">
        <v>82</v>
      </c>
      <c r="F83" s="72">
        <v>1</v>
      </c>
      <c r="G83" s="73">
        <v>10</v>
      </c>
      <c r="H83" s="73">
        <f t="shared" si="15"/>
        <v>10</v>
      </c>
      <c r="I83" s="73">
        <f t="shared" si="16"/>
        <v>10</v>
      </c>
      <c r="J83" s="72" t="s">
        <v>83</v>
      </c>
      <c r="K83" s="74"/>
      <c r="M83" s="79"/>
      <c r="N83" s="76" t="e">
        <f t="shared" si="14"/>
        <v>#N/A</v>
      </c>
      <c r="O83" s="110"/>
      <c r="P83" s="112"/>
      <c r="R83" s="79"/>
      <c r="S83" s="76" t="e">
        <f t="shared" si="17"/>
        <v>#N/A</v>
      </c>
      <c r="T83" s="76"/>
      <c r="U83" s="112"/>
      <c r="AC83" s="91" t="s">
        <v>239</v>
      </c>
      <c r="AD83" s="92">
        <v>30</v>
      </c>
      <c r="AE83" s="92">
        <f t="shared" si="19"/>
        <v>3</v>
      </c>
    </row>
    <row r="84" spans="1:31" x14ac:dyDescent="0.25">
      <c r="A84" s="95">
        <v>45637</v>
      </c>
      <c r="B84" s="72" t="s">
        <v>200</v>
      </c>
      <c r="C84" s="72" t="s">
        <v>8</v>
      </c>
      <c r="D84" s="72" t="s">
        <v>916</v>
      </c>
      <c r="E84" s="72" t="s">
        <v>82</v>
      </c>
      <c r="F84" s="72">
        <v>1</v>
      </c>
      <c r="G84" s="73">
        <f t="shared" ref="G84:G115" si="20">VLOOKUP(D84,$W$3:$X$72,2,0)</f>
        <v>50</v>
      </c>
      <c r="H84" s="73">
        <f t="shared" si="15"/>
        <v>50</v>
      </c>
      <c r="I84" s="73">
        <f t="shared" si="16"/>
        <v>50</v>
      </c>
      <c r="J84" s="72" t="s">
        <v>83</v>
      </c>
      <c r="K84" s="74"/>
      <c r="M84" s="79"/>
      <c r="N84" s="76" t="e">
        <f t="shared" si="14"/>
        <v>#N/A</v>
      </c>
      <c r="O84" s="110"/>
      <c r="P84" s="112"/>
      <c r="R84" s="79"/>
      <c r="S84" s="76" t="e">
        <f t="shared" si="17"/>
        <v>#N/A</v>
      </c>
      <c r="T84" s="76"/>
      <c r="U84" s="112"/>
      <c r="AC84" s="91" t="s">
        <v>241</v>
      </c>
      <c r="AD84" s="92">
        <v>30</v>
      </c>
      <c r="AE84" s="92">
        <f t="shared" si="19"/>
        <v>3</v>
      </c>
    </row>
    <row r="85" spans="1:31" x14ac:dyDescent="0.25">
      <c r="A85" s="95">
        <v>45637</v>
      </c>
      <c r="B85" s="72" t="s">
        <v>200</v>
      </c>
      <c r="C85" s="72" t="s">
        <v>8</v>
      </c>
      <c r="D85" s="72" t="s">
        <v>23</v>
      </c>
      <c r="E85" s="72" t="s">
        <v>82</v>
      </c>
      <c r="F85" s="72">
        <v>1</v>
      </c>
      <c r="G85" s="73">
        <f t="shared" si="20"/>
        <v>5</v>
      </c>
      <c r="H85" s="73">
        <f t="shared" si="15"/>
        <v>5</v>
      </c>
      <c r="I85" s="73">
        <f t="shared" si="16"/>
        <v>5</v>
      </c>
      <c r="J85" s="72" t="s">
        <v>83</v>
      </c>
      <c r="K85" s="74"/>
      <c r="M85" s="79"/>
      <c r="N85" s="76" t="e">
        <f t="shared" si="14"/>
        <v>#N/A</v>
      </c>
      <c r="O85" s="110"/>
      <c r="P85" s="112"/>
      <c r="R85" s="79"/>
      <c r="S85" s="76" t="e">
        <f t="shared" si="17"/>
        <v>#N/A</v>
      </c>
      <c r="T85" s="76"/>
      <c r="U85" s="112"/>
      <c r="AC85" s="91" t="s">
        <v>242</v>
      </c>
      <c r="AD85" s="92">
        <v>29.283000000000001</v>
      </c>
      <c r="AE85" s="92">
        <f t="shared" si="19"/>
        <v>2.9283000000000001</v>
      </c>
    </row>
    <row r="86" spans="1:31" x14ac:dyDescent="0.25">
      <c r="A86" s="95">
        <v>45637</v>
      </c>
      <c r="B86" s="72" t="s">
        <v>324</v>
      </c>
      <c r="C86" s="72" t="s">
        <v>8</v>
      </c>
      <c r="D86" s="72" t="s">
        <v>916</v>
      </c>
      <c r="E86" s="72" t="s">
        <v>82</v>
      </c>
      <c r="F86" s="72">
        <v>1</v>
      </c>
      <c r="G86" s="73">
        <f t="shared" si="20"/>
        <v>50</v>
      </c>
      <c r="H86" s="73">
        <f t="shared" si="15"/>
        <v>50</v>
      </c>
      <c r="I86" s="73">
        <f t="shared" si="16"/>
        <v>50</v>
      </c>
      <c r="J86" s="72" t="s">
        <v>83</v>
      </c>
      <c r="K86" s="74"/>
      <c r="M86" s="79"/>
      <c r="N86" s="76" t="e">
        <f t="shared" si="14"/>
        <v>#N/A</v>
      </c>
      <c r="O86" s="110"/>
      <c r="P86" s="112"/>
      <c r="R86" s="79"/>
      <c r="S86" s="76" t="e">
        <f t="shared" si="17"/>
        <v>#N/A</v>
      </c>
      <c r="T86" s="76"/>
      <c r="U86" s="112"/>
      <c r="AC86" s="91" t="s">
        <v>243</v>
      </c>
      <c r="AD86" s="92">
        <v>28.503</v>
      </c>
      <c r="AE86" s="92">
        <f t="shared" si="19"/>
        <v>2.8503000000000003</v>
      </c>
    </row>
    <row r="87" spans="1:31" x14ac:dyDescent="0.25">
      <c r="A87" s="95">
        <v>45637</v>
      </c>
      <c r="B87" s="72" t="s">
        <v>238</v>
      </c>
      <c r="C87" s="72" t="s">
        <v>8</v>
      </c>
      <c r="D87" s="72" t="s">
        <v>21</v>
      </c>
      <c r="E87" s="72" t="s">
        <v>82</v>
      </c>
      <c r="F87" s="72">
        <v>1</v>
      </c>
      <c r="G87" s="73">
        <f t="shared" si="20"/>
        <v>10</v>
      </c>
      <c r="H87" s="73">
        <f t="shared" si="15"/>
        <v>10</v>
      </c>
      <c r="I87" s="73">
        <f t="shared" si="16"/>
        <v>9.5350000000000001</v>
      </c>
      <c r="J87" s="72" t="s">
        <v>865</v>
      </c>
      <c r="K87" s="74"/>
      <c r="M87" s="79"/>
      <c r="N87" s="76" t="e">
        <f t="shared" si="14"/>
        <v>#N/A</v>
      </c>
      <c r="O87" s="110"/>
      <c r="P87" s="112"/>
      <c r="R87" s="79"/>
      <c r="S87" s="76" t="e">
        <f t="shared" si="17"/>
        <v>#N/A</v>
      </c>
      <c r="T87" s="76"/>
      <c r="U87" s="112"/>
      <c r="AC87" s="91" t="s">
        <v>245</v>
      </c>
      <c r="AD87" s="92">
        <v>10</v>
      </c>
      <c r="AE87" s="92">
        <f t="shared" si="19"/>
        <v>1</v>
      </c>
    </row>
    <row r="88" spans="1:31" x14ac:dyDescent="0.25">
      <c r="A88" s="95">
        <v>45637</v>
      </c>
      <c r="B88" s="72" t="s">
        <v>238</v>
      </c>
      <c r="C88" s="72" t="s">
        <v>8</v>
      </c>
      <c r="D88" s="72" t="s">
        <v>914</v>
      </c>
      <c r="E88" s="72" t="s">
        <v>82</v>
      </c>
      <c r="F88" s="72">
        <v>1</v>
      </c>
      <c r="G88" s="73">
        <f t="shared" si="20"/>
        <v>10</v>
      </c>
      <c r="H88" s="73">
        <f t="shared" si="15"/>
        <v>10</v>
      </c>
      <c r="I88" s="73">
        <f t="shared" si="16"/>
        <v>9.5350000000000001</v>
      </c>
      <c r="J88" s="72" t="s">
        <v>865</v>
      </c>
      <c r="K88" s="74"/>
      <c r="M88" s="79"/>
      <c r="N88" s="76" t="e">
        <f t="shared" si="14"/>
        <v>#N/A</v>
      </c>
      <c r="O88" s="110"/>
      <c r="P88" s="112"/>
      <c r="R88" s="79"/>
      <c r="S88" s="76" t="e">
        <f t="shared" si="17"/>
        <v>#N/A</v>
      </c>
      <c r="T88" s="76"/>
      <c r="U88" s="112"/>
      <c r="AC88" s="91" t="s">
        <v>246</v>
      </c>
      <c r="AD88" s="92">
        <v>10</v>
      </c>
      <c r="AE88" s="92">
        <f t="shared" si="19"/>
        <v>1</v>
      </c>
    </row>
    <row r="89" spans="1:31" x14ac:dyDescent="0.25">
      <c r="A89" s="95">
        <v>45638</v>
      </c>
      <c r="B89" s="72" t="s">
        <v>576</v>
      </c>
      <c r="C89" s="72" t="s">
        <v>8</v>
      </c>
      <c r="D89" s="72" t="s">
        <v>15</v>
      </c>
      <c r="E89" s="72" t="s">
        <v>56</v>
      </c>
      <c r="F89" s="72">
        <v>1</v>
      </c>
      <c r="G89" s="73">
        <f t="shared" si="20"/>
        <v>70</v>
      </c>
      <c r="H89" s="73">
        <f t="shared" si="15"/>
        <v>70</v>
      </c>
      <c r="I89" s="73">
        <f t="shared" si="16"/>
        <v>66.5</v>
      </c>
      <c r="J89" s="72" t="s">
        <v>867</v>
      </c>
      <c r="K89" s="74"/>
      <c r="M89" s="79" t="s">
        <v>15</v>
      </c>
      <c r="N89" s="76">
        <f t="shared" si="14"/>
        <v>28</v>
      </c>
      <c r="O89" s="110">
        <f>N89*F89</f>
        <v>28</v>
      </c>
      <c r="P89" s="112" t="s">
        <v>56</v>
      </c>
      <c r="Q89" s="106"/>
      <c r="R89" s="79"/>
      <c r="S89" s="76" t="e">
        <f t="shared" si="17"/>
        <v>#N/A</v>
      </c>
      <c r="T89" s="76"/>
      <c r="U89" s="112"/>
      <c r="AC89" s="91" t="s">
        <v>248</v>
      </c>
      <c r="AD89" s="92">
        <v>9.7609999999999992</v>
      </c>
      <c r="AE89" s="92">
        <f t="shared" si="19"/>
        <v>0.97609999999999997</v>
      </c>
    </row>
    <row r="90" spans="1:31" x14ac:dyDescent="0.25">
      <c r="A90" s="95">
        <v>45638</v>
      </c>
      <c r="B90" s="72" t="s">
        <v>941</v>
      </c>
      <c r="C90" s="72" t="s">
        <v>10</v>
      </c>
      <c r="D90" s="72" t="s">
        <v>916</v>
      </c>
      <c r="E90" s="72" t="s">
        <v>82</v>
      </c>
      <c r="F90" s="72">
        <v>1</v>
      </c>
      <c r="G90" s="73">
        <f t="shared" si="20"/>
        <v>50</v>
      </c>
      <c r="H90" s="73">
        <f t="shared" si="15"/>
        <v>50</v>
      </c>
      <c r="I90" s="73">
        <f t="shared" si="16"/>
        <v>50</v>
      </c>
      <c r="J90" s="72" t="s">
        <v>83</v>
      </c>
      <c r="K90" s="74"/>
      <c r="M90" s="79"/>
      <c r="N90" s="76" t="e">
        <f t="shared" si="14"/>
        <v>#N/A</v>
      </c>
      <c r="O90" s="110"/>
      <c r="P90" s="112"/>
      <c r="R90" s="79"/>
      <c r="S90" s="76" t="e">
        <f t="shared" si="17"/>
        <v>#N/A</v>
      </c>
      <c r="T90" s="76"/>
      <c r="U90" s="112"/>
      <c r="AC90" s="91" t="s">
        <v>249</v>
      </c>
      <c r="AD90" s="92">
        <v>9.5009999999999994</v>
      </c>
      <c r="AE90" s="92">
        <f t="shared" si="19"/>
        <v>0.95009999999999994</v>
      </c>
    </row>
    <row r="91" spans="1:31" x14ac:dyDescent="0.25">
      <c r="A91" s="95">
        <v>45638</v>
      </c>
      <c r="B91" s="72" t="s">
        <v>324</v>
      </c>
      <c r="C91" s="72" t="s">
        <v>8</v>
      </c>
      <c r="D91" s="72" t="s">
        <v>916</v>
      </c>
      <c r="E91" s="72" t="s">
        <v>82</v>
      </c>
      <c r="F91" s="72">
        <v>1</v>
      </c>
      <c r="G91" s="73">
        <f t="shared" si="20"/>
        <v>50</v>
      </c>
      <c r="H91" s="73">
        <f t="shared" si="15"/>
        <v>50</v>
      </c>
      <c r="I91" s="73">
        <f t="shared" si="16"/>
        <v>47.5</v>
      </c>
      <c r="J91" s="72" t="s">
        <v>867</v>
      </c>
      <c r="K91" s="74"/>
      <c r="M91" s="79"/>
      <c r="N91" s="76" t="e">
        <f t="shared" si="14"/>
        <v>#N/A</v>
      </c>
      <c r="O91" s="110"/>
      <c r="P91" s="112"/>
      <c r="R91" s="79"/>
      <c r="S91" s="76" t="e">
        <f t="shared" si="17"/>
        <v>#N/A</v>
      </c>
      <c r="T91" s="76"/>
      <c r="U91" s="112"/>
      <c r="AC91" s="91" t="s">
        <v>250</v>
      </c>
      <c r="AD91" s="92">
        <v>20</v>
      </c>
      <c r="AE91" s="92">
        <f t="shared" si="19"/>
        <v>2</v>
      </c>
    </row>
    <row r="92" spans="1:31" x14ac:dyDescent="0.25">
      <c r="A92" s="95">
        <v>45638</v>
      </c>
      <c r="B92" s="72" t="s">
        <v>942</v>
      </c>
      <c r="C92" s="72" t="s">
        <v>8</v>
      </c>
      <c r="D92" s="72" t="s">
        <v>916</v>
      </c>
      <c r="E92" s="72" t="s">
        <v>56</v>
      </c>
      <c r="F92" s="72">
        <v>1</v>
      </c>
      <c r="G92" s="73">
        <f t="shared" si="20"/>
        <v>50</v>
      </c>
      <c r="H92" s="73">
        <f t="shared" si="15"/>
        <v>50</v>
      </c>
      <c r="I92" s="73">
        <f t="shared" si="16"/>
        <v>48.95</v>
      </c>
      <c r="J92" s="72" t="s">
        <v>866</v>
      </c>
      <c r="K92" s="74"/>
      <c r="M92" s="79" t="s">
        <v>916</v>
      </c>
      <c r="N92" s="76">
        <f t="shared" si="14"/>
        <v>20</v>
      </c>
      <c r="O92" s="110">
        <f>N92*F92</f>
        <v>20</v>
      </c>
      <c r="P92" s="112" t="s">
        <v>56</v>
      </c>
      <c r="R92" s="79"/>
      <c r="S92" s="76" t="e">
        <f t="shared" si="17"/>
        <v>#N/A</v>
      </c>
      <c r="T92" s="76"/>
      <c r="U92" s="112"/>
      <c r="AC92" s="91" t="s">
        <v>252</v>
      </c>
      <c r="AD92" s="92">
        <v>20</v>
      </c>
      <c r="AE92" s="92">
        <f t="shared" si="19"/>
        <v>2</v>
      </c>
    </row>
    <row r="93" spans="1:31" x14ac:dyDescent="0.25">
      <c r="A93" s="95">
        <v>45638</v>
      </c>
      <c r="B93" s="72" t="s">
        <v>843</v>
      </c>
      <c r="C93" s="72" t="s">
        <v>8</v>
      </c>
      <c r="D93" s="72" t="s">
        <v>18</v>
      </c>
      <c r="E93" s="72" t="s">
        <v>56</v>
      </c>
      <c r="F93" s="72">
        <v>1</v>
      </c>
      <c r="G93" s="73">
        <f t="shared" si="20"/>
        <v>40</v>
      </c>
      <c r="H93" s="73">
        <f t="shared" si="15"/>
        <v>40</v>
      </c>
      <c r="I93" s="73">
        <f t="shared" si="16"/>
        <v>40</v>
      </c>
      <c r="J93" s="72" t="s">
        <v>79</v>
      </c>
      <c r="K93" s="74"/>
      <c r="M93" s="79" t="s">
        <v>18</v>
      </c>
      <c r="N93" s="76">
        <f t="shared" si="14"/>
        <v>16</v>
      </c>
      <c r="O93" s="110">
        <f>N93*F93</f>
        <v>16</v>
      </c>
      <c r="P93" s="112" t="s">
        <v>56</v>
      </c>
      <c r="R93" s="79"/>
      <c r="S93" s="76" t="e">
        <f t="shared" si="17"/>
        <v>#N/A</v>
      </c>
      <c r="T93" s="76"/>
      <c r="U93" s="112"/>
      <c r="AC93" s="91" t="s">
        <v>253</v>
      </c>
      <c r="AD93" s="92">
        <v>19.521999999999998</v>
      </c>
      <c r="AE93" s="92">
        <f t="shared" si="19"/>
        <v>1.9521999999999999</v>
      </c>
    </row>
    <row r="94" spans="1:31" x14ac:dyDescent="0.25">
      <c r="A94" s="95">
        <v>45638</v>
      </c>
      <c r="B94" s="72" t="s">
        <v>615</v>
      </c>
      <c r="C94" s="72" t="s">
        <v>8</v>
      </c>
      <c r="D94" s="72" t="s">
        <v>18</v>
      </c>
      <c r="E94" s="72" t="s">
        <v>56</v>
      </c>
      <c r="F94" s="72">
        <v>1</v>
      </c>
      <c r="G94" s="73">
        <f t="shared" si="20"/>
        <v>40</v>
      </c>
      <c r="H94" s="73">
        <f t="shared" si="15"/>
        <v>40</v>
      </c>
      <c r="I94" s="73">
        <f t="shared" si="16"/>
        <v>40</v>
      </c>
      <c r="J94" s="72" t="s">
        <v>83</v>
      </c>
      <c r="K94" s="74"/>
      <c r="M94" s="79" t="s">
        <v>18</v>
      </c>
      <c r="N94" s="76">
        <f t="shared" si="14"/>
        <v>16</v>
      </c>
      <c r="O94" s="110">
        <f>N94*F94</f>
        <v>16</v>
      </c>
      <c r="P94" s="112" t="s">
        <v>56</v>
      </c>
      <c r="R94" s="79"/>
      <c r="S94" s="76" t="e">
        <f t="shared" si="17"/>
        <v>#N/A</v>
      </c>
      <c r="T94" s="76"/>
      <c r="U94" s="112"/>
      <c r="AC94" s="91" t="s">
        <v>254</v>
      </c>
      <c r="AD94" s="92">
        <v>19.001999999999999</v>
      </c>
      <c r="AE94" s="92">
        <f t="shared" si="19"/>
        <v>1.9001999999999999</v>
      </c>
    </row>
    <row r="95" spans="1:31" x14ac:dyDescent="0.25">
      <c r="A95" s="95">
        <v>45638</v>
      </c>
      <c r="B95" s="72" t="s">
        <v>532</v>
      </c>
      <c r="C95" s="72" t="s">
        <v>8</v>
      </c>
      <c r="D95" s="72" t="s">
        <v>18</v>
      </c>
      <c r="E95" s="72" t="s">
        <v>56</v>
      </c>
      <c r="F95" s="72">
        <v>1</v>
      </c>
      <c r="G95" s="73">
        <f t="shared" si="20"/>
        <v>40</v>
      </c>
      <c r="H95" s="73">
        <f t="shared" si="15"/>
        <v>40</v>
      </c>
      <c r="I95" s="73">
        <f t="shared" si="16"/>
        <v>40</v>
      </c>
      <c r="J95" s="72" t="s">
        <v>83</v>
      </c>
      <c r="K95" s="74"/>
      <c r="M95" s="79" t="s">
        <v>18</v>
      </c>
      <c r="N95" s="76">
        <f t="shared" ref="N95:N126" si="21">VLOOKUP(M95,$W$3:$Y$72,3,0)</f>
        <v>16</v>
      </c>
      <c r="O95" s="110">
        <f>N95*F95</f>
        <v>16</v>
      </c>
      <c r="P95" s="112"/>
      <c r="R95" s="79"/>
      <c r="S95" s="76" t="e">
        <f t="shared" si="17"/>
        <v>#N/A</v>
      </c>
      <c r="T95" s="76"/>
      <c r="U95" s="112"/>
      <c r="AC95" s="91" t="s">
        <v>255</v>
      </c>
      <c r="AD95" s="92">
        <v>10</v>
      </c>
      <c r="AE95" s="92">
        <f t="shared" si="19"/>
        <v>1</v>
      </c>
    </row>
    <row r="96" spans="1:31" x14ac:dyDescent="0.25">
      <c r="A96" s="95">
        <v>45638</v>
      </c>
      <c r="B96" s="72" t="s">
        <v>274</v>
      </c>
      <c r="C96" s="72" t="s">
        <v>8</v>
      </c>
      <c r="D96" s="72" t="s">
        <v>15</v>
      </c>
      <c r="E96" s="72" t="s">
        <v>82</v>
      </c>
      <c r="F96" s="72">
        <v>1</v>
      </c>
      <c r="G96" s="73">
        <f t="shared" si="20"/>
        <v>70</v>
      </c>
      <c r="H96" s="73">
        <f t="shared" si="15"/>
        <v>70</v>
      </c>
      <c r="I96" s="73">
        <f t="shared" si="16"/>
        <v>70</v>
      </c>
      <c r="J96" s="72" t="s">
        <v>83</v>
      </c>
      <c r="K96" s="74"/>
      <c r="M96" s="79"/>
      <c r="N96" s="76" t="e">
        <f t="shared" si="21"/>
        <v>#N/A</v>
      </c>
      <c r="O96" s="110"/>
      <c r="P96" s="112"/>
      <c r="R96" s="79"/>
      <c r="S96" s="76" t="e">
        <f t="shared" si="17"/>
        <v>#N/A</v>
      </c>
      <c r="T96" s="76"/>
      <c r="U96" s="112"/>
      <c r="AC96" s="91" t="s">
        <v>257</v>
      </c>
      <c r="AD96" s="92">
        <v>10</v>
      </c>
      <c r="AE96" s="92">
        <f t="shared" si="19"/>
        <v>1</v>
      </c>
    </row>
    <row r="97" spans="1:31" x14ac:dyDescent="0.25">
      <c r="A97" s="95">
        <v>45639</v>
      </c>
      <c r="B97" s="72" t="s">
        <v>554</v>
      </c>
      <c r="C97" s="72" t="s">
        <v>8</v>
      </c>
      <c r="D97" s="72" t="s">
        <v>22</v>
      </c>
      <c r="E97" s="72" t="s">
        <v>82</v>
      </c>
      <c r="F97" s="72">
        <v>2</v>
      </c>
      <c r="G97" s="73">
        <f t="shared" si="20"/>
        <v>30</v>
      </c>
      <c r="H97" s="73">
        <f t="shared" si="15"/>
        <v>60</v>
      </c>
      <c r="I97" s="73">
        <f t="shared" si="16"/>
        <v>60</v>
      </c>
      <c r="J97" s="72" t="s">
        <v>83</v>
      </c>
      <c r="K97" s="74"/>
      <c r="M97" s="79"/>
      <c r="N97" s="76" t="e">
        <f t="shared" si="21"/>
        <v>#N/A</v>
      </c>
      <c r="O97" s="110"/>
      <c r="P97" s="112"/>
      <c r="R97" s="79"/>
      <c r="S97" s="76" t="e">
        <f t="shared" si="17"/>
        <v>#N/A</v>
      </c>
      <c r="T97" s="76"/>
      <c r="U97" s="112"/>
      <c r="AC97" s="91" t="s">
        <v>259</v>
      </c>
      <c r="AD97" s="92">
        <v>9.7609999999999992</v>
      </c>
      <c r="AE97" s="92">
        <f t="shared" si="19"/>
        <v>0.97609999999999997</v>
      </c>
    </row>
    <row r="98" spans="1:31" x14ac:dyDescent="0.25">
      <c r="A98" s="95">
        <v>45639</v>
      </c>
      <c r="B98" s="72" t="s">
        <v>274</v>
      </c>
      <c r="C98" s="72" t="s">
        <v>8</v>
      </c>
      <c r="D98" s="72" t="s">
        <v>15</v>
      </c>
      <c r="E98" s="72" t="s">
        <v>82</v>
      </c>
      <c r="F98" s="72">
        <v>1</v>
      </c>
      <c r="G98" s="73">
        <f t="shared" si="20"/>
        <v>70</v>
      </c>
      <c r="H98" s="73">
        <f t="shared" si="15"/>
        <v>70</v>
      </c>
      <c r="I98" s="73">
        <f t="shared" si="16"/>
        <v>66.5</v>
      </c>
      <c r="J98" s="72" t="s">
        <v>867</v>
      </c>
      <c r="K98" s="74"/>
      <c r="M98" s="79"/>
      <c r="N98" s="76" t="e">
        <f t="shared" si="21"/>
        <v>#N/A</v>
      </c>
      <c r="O98" s="110"/>
      <c r="P98" s="112"/>
      <c r="R98" s="79"/>
      <c r="S98" s="76" t="e">
        <f t="shared" si="17"/>
        <v>#N/A</v>
      </c>
      <c r="T98" s="76"/>
      <c r="U98" s="112"/>
      <c r="AC98" s="91" t="s">
        <v>261</v>
      </c>
      <c r="AD98" s="92">
        <v>9.5009999999999994</v>
      </c>
      <c r="AE98" s="92">
        <f t="shared" si="19"/>
        <v>0.95009999999999994</v>
      </c>
    </row>
    <row r="99" spans="1:31" x14ac:dyDescent="0.25">
      <c r="A99" s="95">
        <v>45639</v>
      </c>
      <c r="B99" s="72" t="s">
        <v>274</v>
      </c>
      <c r="C99" s="72" t="s">
        <v>8</v>
      </c>
      <c r="D99" s="72" t="s">
        <v>45</v>
      </c>
      <c r="E99" s="72" t="s">
        <v>82</v>
      </c>
      <c r="F99" s="72">
        <v>1</v>
      </c>
      <c r="G99" s="73">
        <f t="shared" si="20"/>
        <v>3.5</v>
      </c>
      <c r="H99" s="73">
        <f t="shared" si="15"/>
        <v>3.5</v>
      </c>
      <c r="I99" s="73">
        <f t="shared" si="16"/>
        <v>3.3250000000000002</v>
      </c>
      <c r="J99" s="72" t="s">
        <v>867</v>
      </c>
      <c r="K99" s="74"/>
      <c r="M99" s="79"/>
      <c r="N99" s="76" t="e">
        <f t="shared" si="21"/>
        <v>#N/A</v>
      </c>
      <c r="O99" s="110"/>
      <c r="P99" s="112"/>
      <c r="R99" s="79"/>
      <c r="S99" s="76" t="e">
        <f t="shared" si="17"/>
        <v>#N/A</v>
      </c>
      <c r="T99" s="76"/>
      <c r="U99" s="112"/>
      <c r="AC99" s="91" t="s">
        <v>263</v>
      </c>
      <c r="AD99" s="92">
        <v>35</v>
      </c>
      <c r="AE99" s="92">
        <f t="shared" si="19"/>
        <v>3.5</v>
      </c>
    </row>
    <row r="100" spans="1:31" x14ac:dyDescent="0.25">
      <c r="A100" s="95">
        <v>45639</v>
      </c>
      <c r="B100" s="72" t="s">
        <v>775</v>
      </c>
      <c r="C100" s="72" t="s">
        <v>8</v>
      </c>
      <c r="D100" s="72" t="s">
        <v>18</v>
      </c>
      <c r="E100" s="72" t="s">
        <v>82</v>
      </c>
      <c r="F100" s="72">
        <v>1</v>
      </c>
      <c r="G100" s="73">
        <f t="shared" si="20"/>
        <v>40</v>
      </c>
      <c r="H100" s="73">
        <f t="shared" si="15"/>
        <v>40</v>
      </c>
      <c r="I100" s="73">
        <f t="shared" si="16"/>
        <v>40</v>
      </c>
      <c r="J100" s="72" t="s">
        <v>83</v>
      </c>
      <c r="K100" s="74"/>
      <c r="M100" s="79"/>
      <c r="N100" s="76" t="e">
        <f t="shared" si="21"/>
        <v>#N/A</v>
      </c>
      <c r="O100" s="110"/>
      <c r="P100" s="112"/>
      <c r="R100" s="79"/>
      <c r="S100" s="76" t="e">
        <f t="shared" si="17"/>
        <v>#N/A</v>
      </c>
      <c r="T100" s="76"/>
      <c r="U100" s="112"/>
      <c r="AC100" s="91" t="s">
        <v>265</v>
      </c>
      <c r="AD100" s="92">
        <v>35</v>
      </c>
      <c r="AE100" s="92">
        <f t="shared" si="19"/>
        <v>3.5</v>
      </c>
    </row>
    <row r="101" spans="1:31" x14ac:dyDescent="0.25">
      <c r="A101" s="95">
        <v>45639</v>
      </c>
      <c r="B101" s="72" t="s">
        <v>809</v>
      </c>
      <c r="C101" s="72" t="s">
        <v>8</v>
      </c>
      <c r="D101" s="72" t="s">
        <v>18</v>
      </c>
      <c r="E101" s="72" t="s">
        <v>82</v>
      </c>
      <c r="F101" s="72">
        <v>1</v>
      </c>
      <c r="G101" s="73">
        <f t="shared" si="20"/>
        <v>40</v>
      </c>
      <c r="H101" s="73">
        <f t="shared" si="15"/>
        <v>40</v>
      </c>
      <c r="I101" s="73">
        <f t="shared" si="16"/>
        <v>40</v>
      </c>
      <c r="J101" s="72" t="s">
        <v>83</v>
      </c>
      <c r="K101" s="74"/>
      <c r="M101" s="79"/>
      <c r="N101" s="76" t="e">
        <f t="shared" si="21"/>
        <v>#N/A</v>
      </c>
      <c r="O101" s="110"/>
      <c r="P101" s="112"/>
      <c r="R101" s="79"/>
      <c r="S101" s="76" t="e">
        <f t="shared" si="17"/>
        <v>#N/A</v>
      </c>
      <c r="T101" s="76"/>
      <c r="U101" s="112"/>
      <c r="AC101" s="91" t="s">
        <v>267</v>
      </c>
      <c r="AD101" s="92">
        <v>34.163499999999999</v>
      </c>
      <c r="AE101" s="92">
        <f t="shared" si="19"/>
        <v>3.41635</v>
      </c>
    </row>
    <row r="102" spans="1:31" x14ac:dyDescent="0.25">
      <c r="A102" s="95">
        <v>45639</v>
      </c>
      <c r="B102" s="72" t="s">
        <v>516</v>
      </c>
      <c r="C102" s="72" t="s">
        <v>8</v>
      </c>
      <c r="D102" s="72" t="s">
        <v>18</v>
      </c>
      <c r="E102" s="72" t="s">
        <v>82</v>
      </c>
      <c r="F102" s="72">
        <v>1</v>
      </c>
      <c r="G102" s="73">
        <f t="shared" si="20"/>
        <v>40</v>
      </c>
      <c r="H102" s="73">
        <f t="shared" si="15"/>
        <v>40</v>
      </c>
      <c r="I102" s="73">
        <f t="shared" si="16"/>
        <v>40</v>
      </c>
      <c r="J102" s="72" t="s">
        <v>83</v>
      </c>
      <c r="K102" s="74"/>
      <c r="M102" s="79"/>
      <c r="N102" s="76" t="e">
        <f t="shared" si="21"/>
        <v>#N/A</v>
      </c>
      <c r="O102" s="110"/>
      <c r="P102" s="112"/>
      <c r="R102" s="79"/>
      <c r="S102" s="76" t="e">
        <f t="shared" si="17"/>
        <v>#N/A</v>
      </c>
      <c r="T102" s="76"/>
      <c r="U102" s="112"/>
      <c r="AC102" s="91" t="s">
        <v>271</v>
      </c>
      <c r="AD102" s="92">
        <v>35</v>
      </c>
      <c r="AE102" s="92">
        <f t="shared" si="19"/>
        <v>3.5</v>
      </c>
    </row>
    <row r="103" spans="1:31" x14ac:dyDescent="0.25">
      <c r="A103" s="95">
        <v>45639</v>
      </c>
      <c r="B103" s="72" t="s">
        <v>557</v>
      </c>
      <c r="C103" s="72" t="s">
        <v>8</v>
      </c>
      <c r="D103" s="72" t="s">
        <v>15</v>
      </c>
      <c r="E103" s="72" t="s">
        <v>82</v>
      </c>
      <c r="F103" s="72">
        <v>1</v>
      </c>
      <c r="G103" s="73">
        <f t="shared" si="20"/>
        <v>70</v>
      </c>
      <c r="H103" s="73">
        <f t="shared" si="15"/>
        <v>70</v>
      </c>
      <c r="I103" s="73">
        <f t="shared" si="16"/>
        <v>70</v>
      </c>
      <c r="J103" s="72" t="s">
        <v>83</v>
      </c>
      <c r="K103" s="74"/>
      <c r="M103" s="79"/>
      <c r="N103" s="76" t="e">
        <f t="shared" si="21"/>
        <v>#N/A</v>
      </c>
      <c r="O103" s="110"/>
      <c r="P103" s="112"/>
      <c r="Q103" s="106"/>
      <c r="R103" s="79"/>
      <c r="S103" s="76" t="e">
        <f t="shared" si="17"/>
        <v>#N/A</v>
      </c>
      <c r="T103" s="76"/>
      <c r="U103" s="112"/>
      <c r="AC103" s="91" t="s">
        <v>273</v>
      </c>
      <c r="AD103" s="92">
        <v>35</v>
      </c>
      <c r="AE103" s="92">
        <f t="shared" si="19"/>
        <v>3.5</v>
      </c>
    </row>
    <row r="104" spans="1:31" x14ac:dyDescent="0.25">
      <c r="A104" s="95">
        <v>45639</v>
      </c>
      <c r="B104" s="72" t="s">
        <v>244</v>
      </c>
      <c r="C104" s="72" t="s">
        <v>8</v>
      </c>
      <c r="D104" s="72" t="s">
        <v>22</v>
      </c>
      <c r="E104" s="72" t="s">
        <v>82</v>
      </c>
      <c r="F104" s="72">
        <v>1</v>
      </c>
      <c r="G104" s="73">
        <f t="shared" si="20"/>
        <v>30</v>
      </c>
      <c r="H104" s="73">
        <f t="shared" si="15"/>
        <v>30</v>
      </c>
      <c r="I104" s="73">
        <f t="shared" si="16"/>
        <v>30</v>
      </c>
      <c r="J104" s="72" t="s">
        <v>83</v>
      </c>
      <c r="K104" s="74"/>
      <c r="M104" s="79"/>
      <c r="N104" s="76" t="e">
        <f t="shared" si="21"/>
        <v>#N/A</v>
      </c>
      <c r="O104" s="110"/>
      <c r="P104" s="112"/>
      <c r="R104" s="79"/>
      <c r="S104" s="76" t="e">
        <f t="shared" si="17"/>
        <v>#N/A</v>
      </c>
      <c r="T104" s="76"/>
      <c r="U104" s="112"/>
      <c r="AC104" s="91" t="s">
        <v>275</v>
      </c>
      <c r="AD104" s="92">
        <v>34.163499999999999</v>
      </c>
      <c r="AE104" s="92">
        <f t="shared" si="19"/>
        <v>3.41635</v>
      </c>
    </row>
    <row r="105" spans="1:31" x14ac:dyDescent="0.25">
      <c r="A105" s="95">
        <v>45639</v>
      </c>
      <c r="B105" s="72" t="s">
        <v>734</v>
      </c>
      <c r="C105" s="72" t="s">
        <v>8</v>
      </c>
      <c r="D105" s="72" t="s">
        <v>18</v>
      </c>
      <c r="E105" s="72" t="s">
        <v>56</v>
      </c>
      <c r="F105" s="72">
        <v>1</v>
      </c>
      <c r="G105" s="73">
        <f t="shared" si="20"/>
        <v>40</v>
      </c>
      <c r="H105" s="73">
        <f t="shared" si="15"/>
        <v>40</v>
      </c>
      <c r="I105" s="73">
        <f t="shared" si="16"/>
        <v>39.159999999999997</v>
      </c>
      <c r="J105" s="72" t="s">
        <v>866</v>
      </c>
      <c r="K105" s="74"/>
      <c r="M105" s="79" t="s">
        <v>18</v>
      </c>
      <c r="N105" s="76">
        <f t="shared" si="21"/>
        <v>16</v>
      </c>
      <c r="O105" s="110">
        <f t="shared" ref="O105:O119" si="22">N105*F105</f>
        <v>16</v>
      </c>
      <c r="P105" s="112" t="s">
        <v>56</v>
      </c>
      <c r="R105" s="79"/>
      <c r="S105" s="76" t="e">
        <f t="shared" si="17"/>
        <v>#N/A</v>
      </c>
      <c r="T105" s="76"/>
      <c r="U105" s="112"/>
      <c r="AC105" s="91" t="s">
        <v>277</v>
      </c>
      <c r="AD105" s="92">
        <v>33.253500000000003</v>
      </c>
      <c r="AE105" s="92">
        <f t="shared" si="19"/>
        <v>3.3253500000000003</v>
      </c>
    </row>
    <row r="106" spans="1:31" x14ac:dyDescent="0.25">
      <c r="A106" s="95">
        <v>45639</v>
      </c>
      <c r="B106" s="72" t="s">
        <v>772</v>
      </c>
      <c r="C106" s="72" t="s">
        <v>8</v>
      </c>
      <c r="D106" s="72" t="s">
        <v>18</v>
      </c>
      <c r="E106" s="72" t="s">
        <v>56</v>
      </c>
      <c r="F106" s="72">
        <v>1</v>
      </c>
      <c r="G106" s="73">
        <f t="shared" si="20"/>
        <v>40</v>
      </c>
      <c r="H106" s="73">
        <f t="shared" si="15"/>
        <v>40</v>
      </c>
      <c r="I106" s="73">
        <f t="shared" si="16"/>
        <v>39.164999999999999</v>
      </c>
      <c r="J106" s="72" t="s">
        <v>868</v>
      </c>
      <c r="K106" s="74"/>
      <c r="M106" s="79" t="s">
        <v>18</v>
      </c>
      <c r="N106" s="76">
        <f t="shared" si="21"/>
        <v>16</v>
      </c>
      <c r="O106" s="110">
        <f t="shared" si="22"/>
        <v>16</v>
      </c>
      <c r="P106" s="112" t="s">
        <v>56</v>
      </c>
      <c r="R106" s="79"/>
      <c r="S106" s="76" t="e">
        <f t="shared" si="17"/>
        <v>#N/A</v>
      </c>
      <c r="T106" s="76"/>
      <c r="U106" s="112"/>
      <c r="AC106" s="91" t="s">
        <v>278</v>
      </c>
      <c r="AD106" s="92">
        <v>35</v>
      </c>
      <c r="AE106" s="92">
        <f t="shared" si="19"/>
        <v>3.5</v>
      </c>
    </row>
    <row r="107" spans="1:31" x14ac:dyDescent="0.25">
      <c r="A107" s="95">
        <v>45639</v>
      </c>
      <c r="B107" s="72" t="s">
        <v>773</v>
      </c>
      <c r="C107" s="72" t="s">
        <v>8</v>
      </c>
      <c r="D107" s="72" t="s">
        <v>18</v>
      </c>
      <c r="E107" s="72" t="s">
        <v>56</v>
      </c>
      <c r="F107" s="72">
        <v>1</v>
      </c>
      <c r="G107" s="73">
        <f t="shared" si="20"/>
        <v>40</v>
      </c>
      <c r="H107" s="73">
        <f t="shared" si="15"/>
        <v>40</v>
      </c>
      <c r="I107" s="73">
        <f t="shared" si="16"/>
        <v>38</v>
      </c>
      <c r="J107" s="72" t="s">
        <v>867</v>
      </c>
      <c r="K107" s="74"/>
      <c r="M107" s="79" t="s">
        <v>18</v>
      </c>
      <c r="N107" s="76">
        <f t="shared" si="21"/>
        <v>16</v>
      </c>
      <c r="O107" s="110">
        <f t="shared" si="22"/>
        <v>16</v>
      </c>
      <c r="P107" s="112" t="s">
        <v>56</v>
      </c>
      <c r="R107" s="79"/>
      <c r="S107" s="76" t="e">
        <f t="shared" si="17"/>
        <v>#N/A</v>
      </c>
      <c r="T107" s="76"/>
      <c r="U107" s="112"/>
      <c r="AC107" s="91" t="s">
        <v>280</v>
      </c>
      <c r="AD107" s="92">
        <v>35</v>
      </c>
      <c r="AE107" s="92">
        <f t="shared" si="19"/>
        <v>3.5</v>
      </c>
    </row>
    <row r="108" spans="1:31" x14ac:dyDescent="0.25">
      <c r="A108" s="95">
        <v>45639</v>
      </c>
      <c r="B108" s="72" t="s">
        <v>612</v>
      </c>
      <c r="C108" s="72" t="s">
        <v>8</v>
      </c>
      <c r="D108" s="72" t="s">
        <v>916</v>
      </c>
      <c r="E108" s="72" t="s">
        <v>56</v>
      </c>
      <c r="F108" s="72">
        <v>1</v>
      </c>
      <c r="G108" s="73">
        <f t="shared" si="20"/>
        <v>50</v>
      </c>
      <c r="H108" s="73">
        <f t="shared" si="15"/>
        <v>50</v>
      </c>
      <c r="I108" s="73">
        <f t="shared" si="16"/>
        <v>47.5</v>
      </c>
      <c r="J108" s="72" t="s">
        <v>867</v>
      </c>
      <c r="K108" s="74"/>
      <c r="M108" s="79" t="s">
        <v>916</v>
      </c>
      <c r="N108" s="76">
        <f t="shared" si="21"/>
        <v>20</v>
      </c>
      <c r="O108" s="110">
        <f t="shared" si="22"/>
        <v>20</v>
      </c>
      <c r="P108" s="112" t="s">
        <v>56</v>
      </c>
      <c r="R108" s="79"/>
      <c r="S108" s="76" t="e">
        <f t="shared" si="17"/>
        <v>#N/A</v>
      </c>
      <c r="T108" s="76"/>
      <c r="U108" s="112"/>
      <c r="AC108" s="91" t="s">
        <v>282</v>
      </c>
      <c r="AD108" s="92">
        <v>34.163499999999999</v>
      </c>
      <c r="AE108" s="92">
        <f t="shared" si="19"/>
        <v>3.41635</v>
      </c>
    </row>
    <row r="109" spans="1:31" x14ac:dyDescent="0.25">
      <c r="A109" s="95">
        <v>45639</v>
      </c>
      <c r="B109" s="72" t="s">
        <v>837</v>
      </c>
      <c r="C109" s="72" t="s">
        <v>8</v>
      </c>
      <c r="D109" s="72" t="s">
        <v>920</v>
      </c>
      <c r="E109" s="72" t="s">
        <v>56</v>
      </c>
      <c r="F109" s="72">
        <v>1</v>
      </c>
      <c r="G109" s="73">
        <f t="shared" si="20"/>
        <v>80</v>
      </c>
      <c r="H109" s="73">
        <f t="shared" si="15"/>
        <v>80</v>
      </c>
      <c r="I109" s="73">
        <f t="shared" si="16"/>
        <v>76</v>
      </c>
      <c r="J109" s="72" t="s">
        <v>867</v>
      </c>
      <c r="K109" s="74"/>
      <c r="M109" s="79" t="s">
        <v>920</v>
      </c>
      <c r="N109" s="76">
        <f t="shared" si="21"/>
        <v>32</v>
      </c>
      <c r="O109" s="110">
        <f t="shared" si="22"/>
        <v>32</v>
      </c>
      <c r="P109" s="112" t="s">
        <v>56</v>
      </c>
      <c r="R109" s="79"/>
      <c r="S109" s="76" t="e">
        <f t="shared" si="17"/>
        <v>#N/A</v>
      </c>
      <c r="T109" s="76"/>
      <c r="U109" s="112"/>
      <c r="AC109" s="91" t="s">
        <v>285</v>
      </c>
      <c r="AD109" s="92">
        <v>33.253500000000003</v>
      </c>
      <c r="AE109" s="92">
        <f t="shared" si="19"/>
        <v>3.3253500000000003</v>
      </c>
    </row>
    <row r="110" spans="1:31" x14ac:dyDescent="0.25">
      <c r="A110" s="95">
        <v>45639</v>
      </c>
      <c r="B110" s="72" t="s">
        <v>837</v>
      </c>
      <c r="C110" s="72" t="s">
        <v>8</v>
      </c>
      <c r="D110" s="72" t="s">
        <v>20</v>
      </c>
      <c r="E110" s="72" t="s">
        <v>56</v>
      </c>
      <c r="F110" s="72">
        <v>1</v>
      </c>
      <c r="G110" s="73">
        <f t="shared" si="20"/>
        <v>15</v>
      </c>
      <c r="H110" s="73">
        <f t="shared" si="15"/>
        <v>15</v>
      </c>
      <c r="I110" s="73">
        <f t="shared" si="16"/>
        <v>14.25</v>
      </c>
      <c r="J110" s="72" t="s">
        <v>867</v>
      </c>
      <c r="K110" s="74"/>
      <c r="M110" s="79" t="s">
        <v>20</v>
      </c>
      <c r="N110" s="76">
        <f t="shared" si="21"/>
        <v>6</v>
      </c>
      <c r="O110" s="110">
        <f t="shared" si="22"/>
        <v>6</v>
      </c>
      <c r="P110" s="112" t="s">
        <v>56</v>
      </c>
      <c r="R110" s="79"/>
      <c r="S110" s="76" t="e">
        <f t="shared" si="17"/>
        <v>#N/A</v>
      </c>
      <c r="T110" s="76"/>
      <c r="U110" s="112"/>
      <c r="AC110" s="91" t="s">
        <v>286</v>
      </c>
      <c r="AD110" s="92">
        <v>35</v>
      </c>
      <c r="AE110" s="92">
        <f t="shared" si="19"/>
        <v>3.5</v>
      </c>
    </row>
    <row r="111" spans="1:31" x14ac:dyDescent="0.25">
      <c r="A111" s="95">
        <v>45639</v>
      </c>
      <c r="B111" s="72" t="s">
        <v>661</v>
      </c>
      <c r="C111" s="72" t="s">
        <v>8</v>
      </c>
      <c r="D111" s="72" t="s">
        <v>18</v>
      </c>
      <c r="E111" s="72" t="s">
        <v>56</v>
      </c>
      <c r="F111" s="72">
        <v>1</v>
      </c>
      <c r="G111" s="73">
        <f t="shared" si="20"/>
        <v>40</v>
      </c>
      <c r="H111" s="73">
        <f t="shared" si="15"/>
        <v>40</v>
      </c>
      <c r="I111" s="73">
        <f t="shared" si="16"/>
        <v>38</v>
      </c>
      <c r="J111" s="72" t="s">
        <v>867</v>
      </c>
      <c r="K111" s="74"/>
      <c r="M111" s="79" t="s">
        <v>18</v>
      </c>
      <c r="N111" s="76">
        <f t="shared" si="21"/>
        <v>16</v>
      </c>
      <c r="O111" s="110">
        <f t="shared" si="22"/>
        <v>16</v>
      </c>
      <c r="P111" s="112" t="s">
        <v>56</v>
      </c>
      <c r="R111" s="79"/>
      <c r="S111" s="76" t="e">
        <f t="shared" si="17"/>
        <v>#N/A</v>
      </c>
      <c r="T111" s="76"/>
      <c r="U111" s="112"/>
      <c r="AC111" s="91" t="s">
        <v>287</v>
      </c>
      <c r="AD111" s="92">
        <v>35</v>
      </c>
      <c r="AE111" s="92">
        <f t="shared" si="19"/>
        <v>3.5</v>
      </c>
    </row>
    <row r="112" spans="1:31" x14ac:dyDescent="0.25">
      <c r="A112" s="95">
        <v>45639</v>
      </c>
      <c r="B112" s="72" t="s">
        <v>511</v>
      </c>
      <c r="C112" s="72" t="s">
        <v>8</v>
      </c>
      <c r="D112" s="72" t="s">
        <v>13</v>
      </c>
      <c r="E112" s="72" t="s">
        <v>56</v>
      </c>
      <c r="F112" s="72">
        <v>1</v>
      </c>
      <c r="G112" s="73">
        <f t="shared" si="20"/>
        <v>30</v>
      </c>
      <c r="H112" s="73">
        <f t="shared" si="15"/>
        <v>30</v>
      </c>
      <c r="I112" s="73">
        <f t="shared" si="16"/>
        <v>30</v>
      </c>
      <c r="J112" s="72" t="s">
        <v>83</v>
      </c>
      <c r="K112" s="74"/>
      <c r="M112" s="79" t="s">
        <v>13</v>
      </c>
      <c r="N112" s="76">
        <f t="shared" si="21"/>
        <v>12</v>
      </c>
      <c r="O112" s="110">
        <f t="shared" si="22"/>
        <v>12</v>
      </c>
      <c r="P112" s="112" t="s">
        <v>56</v>
      </c>
      <c r="R112" s="79"/>
      <c r="S112" s="76" t="e">
        <f t="shared" si="17"/>
        <v>#N/A</v>
      </c>
      <c r="T112" s="76"/>
      <c r="U112" s="112"/>
      <c r="AC112" s="91" t="s">
        <v>288</v>
      </c>
      <c r="AD112" s="92">
        <v>34.163499999999999</v>
      </c>
      <c r="AE112" s="92">
        <f t="shared" si="19"/>
        <v>3.41635</v>
      </c>
    </row>
    <row r="113" spans="1:31" x14ac:dyDescent="0.25">
      <c r="A113" s="95">
        <v>45639</v>
      </c>
      <c r="B113" s="72" t="s">
        <v>511</v>
      </c>
      <c r="C113" s="72" t="s">
        <v>8</v>
      </c>
      <c r="D113" s="72" t="s">
        <v>914</v>
      </c>
      <c r="E113" s="72" t="s">
        <v>56</v>
      </c>
      <c r="F113" s="72">
        <v>1</v>
      </c>
      <c r="G113" s="73">
        <f t="shared" si="20"/>
        <v>10</v>
      </c>
      <c r="H113" s="73">
        <f t="shared" si="15"/>
        <v>10</v>
      </c>
      <c r="I113" s="73">
        <f t="shared" si="16"/>
        <v>10</v>
      </c>
      <c r="J113" s="72" t="s">
        <v>83</v>
      </c>
      <c r="K113" s="74"/>
      <c r="M113" s="79" t="s">
        <v>914</v>
      </c>
      <c r="N113" s="76">
        <f t="shared" si="21"/>
        <v>4</v>
      </c>
      <c r="O113" s="110">
        <f t="shared" si="22"/>
        <v>4</v>
      </c>
      <c r="P113" s="112" t="s">
        <v>56</v>
      </c>
      <c r="R113" s="79"/>
      <c r="S113" s="76" t="e">
        <f t="shared" si="17"/>
        <v>#N/A</v>
      </c>
      <c r="T113" s="76"/>
      <c r="U113" s="112"/>
      <c r="AC113" s="91" t="s">
        <v>290</v>
      </c>
      <c r="AD113" s="92">
        <v>33.253500000000003</v>
      </c>
      <c r="AE113" s="92">
        <f t="shared" si="19"/>
        <v>3.3253500000000003</v>
      </c>
    </row>
    <row r="114" spans="1:31" x14ac:dyDescent="0.25">
      <c r="A114" s="95">
        <v>45639</v>
      </c>
      <c r="B114" s="72" t="s">
        <v>145</v>
      </c>
      <c r="C114" s="72" t="s">
        <v>8</v>
      </c>
      <c r="D114" s="72" t="s">
        <v>916</v>
      </c>
      <c r="E114" s="72" t="s">
        <v>56</v>
      </c>
      <c r="F114" s="72">
        <v>1</v>
      </c>
      <c r="G114" s="73">
        <f t="shared" si="20"/>
        <v>50</v>
      </c>
      <c r="H114" s="73">
        <f t="shared" si="15"/>
        <v>50</v>
      </c>
      <c r="I114" s="73">
        <f t="shared" si="16"/>
        <v>48.95</v>
      </c>
      <c r="J114" s="72" t="s">
        <v>866</v>
      </c>
      <c r="K114" s="74"/>
      <c r="M114" s="79" t="s">
        <v>916</v>
      </c>
      <c r="N114" s="76">
        <f t="shared" si="21"/>
        <v>20</v>
      </c>
      <c r="O114" s="110">
        <f t="shared" si="22"/>
        <v>20</v>
      </c>
      <c r="P114" s="112" t="s">
        <v>56</v>
      </c>
      <c r="R114" s="79"/>
      <c r="S114" s="76" t="e">
        <f t="shared" si="17"/>
        <v>#N/A</v>
      </c>
      <c r="T114" s="76"/>
      <c r="U114" s="112"/>
      <c r="AC114" s="91" t="s">
        <v>293</v>
      </c>
      <c r="AD114" s="92">
        <v>60</v>
      </c>
      <c r="AE114" s="92">
        <f t="shared" si="19"/>
        <v>6</v>
      </c>
    </row>
    <row r="115" spans="1:31" x14ac:dyDescent="0.25">
      <c r="A115" s="95">
        <v>45640</v>
      </c>
      <c r="B115" s="72" t="s">
        <v>157</v>
      </c>
      <c r="C115" s="72" t="s">
        <v>8</v>
      </c>
      <c r="D115" s="72" t="s">
        <v>18</v>
      </c>
      <c r="E115" s="72" t="s">
        <v>56</v>
      </c>
      <c r="F115" s="72">
        <v>1</v>
      </c>
      <c r="G115" s="73">
        <f t="shared" si="20"/>
        <v>40</v>
      </c>
      <c r="H115" s="73">
        <f t="shared" si="15"/>
        <v>40</v>
      </c>
      <c r="I115" s="73">
        <f t="shared" si="16"/>
        <v>40</v>
      </c>
      <c r="J115" s="72" t="s">
        <v>83</v>
      </c>
      <c r="K115" s="74"/>
      <c r="M115" s="79" t="s">
        <v>18</v>
      </c>
      <c r="N115" s="76">
        <f t="shared" si="21"/>
        <v>16</v>
      </c>
      <c r="O115" s="110">
        <f t="shared" si="22"/>
        <v>16</v>
      </c>
      <c r="P115" s="112" t="s">
        <v>56</v>
      </c>
      <c r="R115" s="79"/>
      <c r="S115" s="76" t="e">
        <f t="shared" si="17"/>
        <v>#N/A</v>
      </c>
      <c r="T115" s="76"/>
      <c r="U115" s="112"/>
      <c r="AC115" s="91" t="s">
        <v>295</v>
      </c>
      <c r="AD115" s="92">
        <v>58.566000000000003</v>
      </c>
      <c r="AE115" s="92">
        <f t="shared" si="19"/>
        <v>5.8566000000000003</v>
      </c>
    </row>
    <row r="116" spans="1:31" x14ac:dyDescent="0.25">
      <c r="A116" s="95">
        <v>45640</v>
      </c>
      <c r="B116" s="72" t="s">
        <v>725</v>
      </c>
      <c r="C116" s="72" t="s">
        <v>8</v>
      </c>
      <c r="D116" s="72" t="s">
        <v>920</v>
      </c>
      <c r="E116" s="72" t="s">
        <v>56</v>
      </c>
      <c r="F116" s="72">
        <v>1</v>
      </c>
      <c r="G116" s="73">
        <f t="shared" ref="G116:G144" si="23">VLOOKUP(D116,$W$3:$X$72,2,0)</f>
        <v>80</v>
      </c>
      <c r="H116" s="73">
        <f t="shared" si="15"/>
        <v>80</v>
      </c>
      <c r="I116" s="73">
        <f t="shared" si="16"/>
        <v>76</v>
      </c>
      <c r="J116" s="72" t="s">
        <v>867</v>
      </c>
      <c r="K116" s="74"/>
      <c r="M116" s="79" t="s">
        <v>920</v>
      </c>
      <c r="N116" s="76">
        <f t="shared" si="21"/>
        <v>32</v>
      </c>
      <c r="O116" s="110">
        <f t="shared" si="22"/>
        <v>32</v>
      </c>
      <c r="P116" s="112" t="s">
        <v>56</v>
      </c>
      <c r="R116" s="79"/>
      <c r="S116" s="76" t="e">
        <f t="shared" si="17"/>
        <v>#N/A</v>
      </c>
      <c r="T116" s="76"/>
      <c r="U116" s="112"/>
      <c r="AC116" s="91" t="s">
        <v>296</v>
      </c>
      <c r="AD116" s="92">
        <v>57.006</v>
      </c>
      <c r="AE116" s="92">
        <f t="shared" si="19"/>
        <v>5.7006000000000006</v>
      </c>
    </row>
    <row r="117" spans="1:31" x14ac:dyDescent="0.25">
      <c r="A117" s="95">
        <v>45640</v>
      </c>
      <c r="B117" s="72" t="s">
        <v>734</v>
      </c>
      <c r="C117" s="72" t="s">
        <v>8</v>
      </c>
      <c r="D117" s="72" t="s">
        <v>19</v>
      </c>
      <c r="E117" s="72" t="s">
        <v>56</v>
      </c>
      <c r="F117" s="72">
        <v>2</v>
      </c>
      <c r="G117" s="73">
        <f t="shared" si="23"/>
        <v>40</v>
      </c>
      <c r="H117" s="73">
        <f t="shared" si="15"/>
        <v>80</v>
      </c>
      <c r="I117" s="73">
        <f t="shared" si="16"/>
        <v>80</v>
      </c>
      <c r="J117" s="72" t="s">
        <v>83</v>
      </c>
      <c r="K117" s="74"/>
      <c r="M117" s="79" t="s">
        <v>18</v>
      </c>
      <c r="N117" s="76">
        <f t="shared" si="21"/>
        <v>16</v>
      </c>
      <c r="O117" s="110">
        <f t="shared" si="22"/>
        <v>32</v>
      </c>
      <c r="P117" s="112" t="s">
        <v>56</v>
      </c>
      <c r="R117" s="79"/>
      <c r="S117" s="76" t="e">
        <f t="shared" si="17"/>
        <v>#N/A</v>
      </c>
      <c r="T117" s="76"/>
      <c r="U117" s="112"/>
      <c r="AC117" s="91" t="s">
        <v>298</v>
      </c>
      <c r="AD117" s="92">
        <v>6</v>
      </c>
      <c r="AE117" s="92">
        <f t="shared" si="19"/>
        <v>0.60000000000000009</v>
      </c>
    </row>
    <row r="118" spans="1:31" x14ac:dyDescent="0.25">
      <c r="A118" s="95">
        <v>45640</v>
      </c>
      <c r="B118" s="72" t="s">
        <v>602</v>
      </c>
      <c r="C118" s="72" t="s">
        <v>8</v>
      </c>
      <c r="D118" s="72" t="s">
        <v>920</v>
      </c>
      <c r="E118" s="72" t="s">
        <v>56</v>
      </c>
      <c r="F118" s="72">
        <v>1</v>
      </c>
      <c r="G118" s="73">
        <f t="shared" si="23"/>
        <v>80</v>
      </c>
      <c r="H118" s="73">
        <f t="shared" si="15"/>
        <v>80</v>
      </c>
      <c r="I118" s="73">
        <f t="shared" si="16"/>
        <v>80</v>
      </c>
      <c r="J118" s="72" t="s">
        <v>83</v>
      </c>
      <c r="K118" s="74"/>
      <c r="M118" s="79" t="s">
        <v>920</v>
      </c>
      <c r="N118" s="76">
        <f t="shared" si="21"/>
        <v>32</v>
      </c>
      <c r="O118" s="110">
        <f t="shared" si="22"/>
        <v>32</v>
      </c>
      <c r="P118" s="112" t="s">
        <v>56</v>
      </c>
      <c r="R118" s="79"/>
      <c r="S118" s="76" t="e">
        <f t="shared" si="17"/>
        <v>#N/A</v>
      </c>
      <c r="T118" s="76"/>
      <c r="U118" s="112"/>
      <c r="AE118" s="92"/>
    </row>
    <row r="119" spans="1:31" x14ac:dyDescent="0.25">
      <c r="A119" s="95">
        <v>45640</v>
      </c>
      <c r="B119" s="72" t="s">
        <v>602</v>
      </c>
      <c r="C119" s="72" t="s">
        <v>8</v>
      </c>
      <c r="D119" s="72" t="s">
        <v>931</v>
      </c>
      <c r="E119" s="72" t="s">
        <v>56</v>
      </c>
      <c r="F119" s="72">
        <v>1</v>
      </c>
      <c r="G119" s="73">
        <f t="shared" si="23"/>
        <v>35</v>
      </c>
      <c r="H119" s="73">
        <f t="shared" si="15"/>
        <v>35</v>
      </c>
      <c r="I119" s="73">
        <f t="shared" si="16"/>
        <v>35</v>
      </c>
      <c r="J119" s="72" t="s">
        <v>83</v>
      </c>
      <c r="K119" s="74"/>
      <c r="M119" s="79" t="s">
        <v>931</v>
      </c>
      <c r="N119" s="76">
        <f t="shared" si="21"/>
        <v>3.5</v>
      </c>
      <c r="O119" s="110">
        <f t="shared" si="22"/>
        <v>3.5</v>
      </c>
      <c r="P119" s="112" t="s">
        <v>56</v>
      </c>
      <c r="R119" s="79"/>
      <c r="S119" s="76" t="e">
        <f t="shared" si="17"/>
        <v>#N/A</v>
      </c>
      <c r="T119" s="76"/>
      <c r="U119" s="112"/>
      <c r="AE119" s="92"/>
    </row>
    <row r="120" spans="1:31" x14ac:dyDescent="0.25">
      <c r="A120" s="95">
        <v>45640</v>
      </c>
      <c r="B120" s="72" t="s">
        <v>702</v>
      </c>
      <c r="C120" s="72" t="s">
        <v>8</v>
      </c>
      <c r="D120" s="72" t="s">
        <v>15</v>
      </c>
      <c r="E120" s="72" t="s">
        <v>82</v>
      </c>
      <c r="F120" s="72">
        <v>1</v>
      </c>
      <c r="G120" s="73">
        <f t="shared" si="23"/>
        <v>70</v>
      </c>
      <c r="H120" s="73">
        <f t="shared" si="15"/>
        <v>70</v>
      </c>
      <c r="I120" s="73">
        <f t="shared" si="16"/>
        <v>70</v>
      </c>
      <c r="J120" s="72" t="s">
        <v>83</v>
      </c>
      <c r="K120" s="74"/>
      <c r="M120" s="79"/>
      <c r="N120" s="76" t="e">
        <f t="shared" si="21"/>
        <v>#N/A</v>
      </c>
      <c r="O120" s="110"/>
      <c r="P120" s="112"/>
      <c r="R120" s="79"/>
      <c r="S120" s="76" t="e">
        <f t="shared" si="17"/>
        <v>#N/A</v>
      </c>
      <c r="T120" s="76"/>
      <c r="U120" s="112"/>
      <c r="AE120" s="92"/>
    </row>
    <row r="121" spans="1:31" x14ac:dyDescent="0.25">
      <c r="A121" s="95">
        <v>45640</v>
      </c>
      <c r="B121" s="72" t="s">
        <v>516</v>
      </c>
      <c r="C121" s="72" t="s">
        <v>8</v>
      </c>
      <c r="D121" s="72" t="s">
        <v>920</v>
      </c>
      <c r="E121" s="72" t="s">
        <v>82</v>
      </c>
      <c r="F121" s="72">
        <v>1</v>
      </c>
      <c r="G121" s="73">
        <f t="shared" si="23"/>
        <v>80</v>
      </c>
      <c r="H121" s="73">
        <f t="shared" si="15"/>
        <v>80</v>
      </c>
      <c r="I121" s="73">
        <f t="shared" si="16"/>
        <v>80</v>
      </c>
      <c r="J121" s="72" t="s">
        <v>83</v>
      </c>
      <c r="K121" s="74"/>
      <c r="M121" s="79"/>
      <c r="N121" s="76" t="e">
        <f t="shared" si="21"/>
        <v>#N/A</v>
      </c>
      <c r="O121" s="110"/>
      <c r="P121" s="112"/>
      <c r="R121" s="79"/>
      <c r="S121" s="76" t="e">
        <f t="shared" si="17"/>
        <v>#N/A</v>
      </c>
      <c r="T121" s="76"/>
      <c r="U121" s="112"/>
      <c r="AE121" s="92"/>
    </row>
    <row r="122" spans="1:31" x14ac:dyDescent="0.25">
      <c r="A122" s="95">
        <v>45640</v>
      </c>
      <c r="B122" s="72" t="s">
        <v>566</v>
      </c>
      <c r="C122" s="72" t="s">
        <v>8</v>
      </c>
      <c r="D122" s="72" t="s">
        <v>916</v>
      </c>
      <c r="E122" s="72" t="s">
        <v>56</v>
      </c>
      <c r="F122" s="72">
        <v>1</v>
      </c>
      <c r="G122" s="73">
        <f t="shared" si="23"/>
        <v>50</v>
      </c>
      <c r="H122" s="73">
        <f t="shared" si="15"/>
        <v>50</v>
      </c>
      <c r="I122" s="73">
        <f t="shared" si="16"/>
        <v>50</v>
      </c>
      <c r="J122" s="72" t="s">
        <v>83</v>
      </c>
      <c r="K122" s="74"/>
      <c r="M122" s="79" t="s">
        <v>916</v>
      </c>
      <c r="N122" s="76">
        <f t="shared" si="21"/>
        <v>20</v>
      </c>
      <c r="O122" s="110">
        <f>N122*F122</f>
        <v>20</v>
      </c>
      <c r="P122" s="112" t="s">
        <v>56</v>
      </c>
      <c r="R122" s="79"/>
      <c r="S122" s="76" t="e">
        <f t="shared" si="17"/>
        <v>#N/A</v>
      </c>
      <c r="T122" s="76"/>
      <c r="U122" s="112"/>
      <c r="AE122" s="92"/>
    </row>
    <row r="123" spans="1:31" x14ac:dyDescent="0.25">
      <c r="A123" s="95">
        <v>45640</v>
      </c>
      <c r="B123" s="72" t="s">
        <v>943</v>
      </c>
      <c r="C123" s="72" t="s">
        <v>8</v>
      </c>
      <c r="D123" s="72" t="s">
        <v>916</v>
      </c>
      <c r="E123" s="72" t="s">
        <v>82</v>
      </c>
      <c r="F123" s="72">
        <v>1</v>
      </c>
      <c r="G123" s="73">
        <f t="shared" si="23"/>
        <v>50</v>
      </c>
      <c r="H123" s="73">
        <f t="shared" si="15"/>
        <v>50</v>
      </c>
      <c r="I123" s="73">
        <f t="shared" si="16"/>
        <v>50</v>
      </c>
      <c r="J123" s="72" t="s">
        <v>83</v>
      </c>
      <c r="K123" s="74"/>
      <c r="M123" s="79"/>
      <c r="N123" s="76" t="e">
        <f t="shared" si="21"/>
        <v>#N/A</v>
      </c>
      <c r="O123" s="110"/>
      <c r="P123" s="112"/>
      <c r="R123" s="79"/>
      <c r="S123" s="76" t="e">
        <f t="shared" si="17"/>
        <v>#N/A</v>
      </c>
      <c r="T123" s="76"/>
      <c r="U123" s="112"/>
      <c r="AE123" s="92"/>
    </row>
    <row r="124" spans="1:31" x14ac:dyDescent="0.25">
      <c r="A124" s="95">
        <v>45640</v>
      </c>
      <c r="B124" s="72" t="s">
        <v>726</v>
      </c>
      <c r="C124" s="72" t="s">
        <v>8</v>
      </c>
      <c r="D124" s="72" t="s">
        <v>18</v>
      </c>
      <c r="E124" s="72" t="s">
        <v>82</v>
      </c>
      <c r="F124" s="72">
        <v>1</v>
      </c>
      <c r="G124" s="73">
        <f t="shared" si="23"/>
        <v>40</v>
      </c>
      <c r="H124" s="73">
        <f t="shared" si="15"/>
        <v>40</v>
      </c>
      <c r="I124" s="73">
        <f t="shared" si="16"/>
        <v>40</v>
      </c>
      <c r="J124" s="72" t="s">
        <v>79</v>
      </c>
      <c r="K124" s="74"/>
      <c r="M124" s="79"/>
      <c r="N124" s="76" t="e">
        <f t="shared" si="21"/>
        <v>#N/A</v>
      </c>
      <c r="O124" s="110"/>
      <c r="P124" s="112"/>
      <c r="Q124" s="106"/>
      <c r="R124" s="79"/>
      <c r="S124" s="76" t="e">
        <f t="shared" si="17"/>
        <v>#N/A</v>
      </c>
      <c r="T124" s="76"/>
      <c r="U124" s="112"/>
      <c r="AC124" s="91" t="s">
        <v>300</v>
      </c>
      <c r="AD124" s="92">
        <v>6</v>
      </c>
      <c r="AE124" s="92">
        <f>AD124*0.1</f>
        <v>0.60000000000000009</v>
      </c>
    </row>
    <row r="125" spans="1:31" x14ac:dyDescent="0.25">
      <c r="A125" s="95">
        <v>45640</v>
      </c>
      <c r="B125" s="72" t="s">
        <v>554</v>
      </c>
      <c r="C125" s="72" t="s">
        <v>8</v>
      </c>
      <c r="D125" s="72" t="s">
        <v>916</v>
      </c>
      <c r="E125" s="72" t="s">
        <v>82</v>
      </c>
      <c r="F125" s="72">
        <v>1</v>
      </c>
      <c r="G125" s="73">
        <f t="shared" si="23"/>
        <v>50</v>
      </c>
      <c r="H125" s="73">
        <f t="shared" si="15"/>
        <v>50</v>
      </c>
      <c r="I125" s="73">
        <f t="shared" si="16"/>
        <v>48.95</v>
      </c>
      <c r="J125" s="72" t="s">
        <v>866</v>
      </c>
      <c r="K125" s="74"/>
      <c r="M125" s="79"/>
      <c r="N125" s="76" t="e">
        <f t="shared" si="21"/>
        <v>#N/A</v>
      </c>
      <c r="O125" s="110"/>
      <c r="P125" s="112"/>
      <c r="R125" s="79"/>
      <c r="S125" s="76" t="e">
        <f t="shared" si="17"/>
        <v>#N/A</v>
      </c>
      <c r="T125" s="76"/>
      <c r="U125" s="112"/>
      <c r="AE125" s="92"/>
    </row>
    <row r="126" spans="1:31" x14ac:dyDescent="0.25">
      <c r="A126" s="95">
        <v>45640</v>
      </c>
      <c r="B126" s="72" t="s">
        <v>944</v>
      </c>
      <c r="C126" s="72" t="s">
        <v>8</v>
      </c>
      <c r="D126" s="72" t="s">
        <v>18</v>
      </c>
      <c r="E126" s="72" t="s">
        <v>82</v>
      </c>
      <c r="F126" s="72">
        <v>1</v>
      </c>
      <c r="G126" s="73">
        <f t="shared" si="23"/>
        <v>40</v>
      </c>
      <c r="H126" s="73">
        <f t="shared" si="15"/>
        <v>40</v>
      </c>
      <c r="I126" s="73">
        <f t="shared" si="16"/>
        <v>40</v>
      </c>
      <c r="J126" s="72" t="s">
        <v>83</v>
      </c>
      <c r="K126" s="74"/>
      <c r="M126" s="79"/>
      <c r="N126" s="76" t="e">
        <f t="shared" si="21"/>
        <v>#N/A</v>
      </c>
      <c r="O126" s="110"/>
      <c r="P126" s="112"/>
      <c r="R126" s="79"/>
      <c r="S126" s="76" t="e">
        <f t="shared" si="17"/>
        <v>#N/A</v>
      </c>
      <c r="T126" s="76"/>
      <c r="U126" s="112"/>
      <c r="AE126" s="92"/>
    </row>
    <row r="127" spans="1:31" x14ac:dyDescent="0.25">
      <c r="A127" s="95">
        <v>45640</v>
      </c>
      <c r="B127" s="72" t="s">
        <v>944</v>
      </c>
      <c r="C127" s="72" t="s">
        <v>8</v>
      </c>
      <c r="D127" s="72" t="s">
        <v>25</v>
      </c>
      <c r="E127" s="72" t="s">
        <v>82</v>
      </c>
      <c r="F127" s="72">
        <v>1</v>
      </c>
      <c r="G127" s="73">
        <f t="shared" si="23"/>
        <v>30</v>
      </c>
      <c r="H127" s="73">
        <f t="shared" si="15"/>
        <v>30</v>
      </c>
      <c r="I127" s="73">
        <f t="shared" si="16"/>
        <v>30</v>
      </c>
      <c r="J127" s="72" t="s">
        <v>83</v>
      </c>
      <c r="K127" s="74"/>
      <c r="M127" s="79"/>
      <c r="N127" s="76" t="e">
        <f t="shared" ref="N127:N158" si="24">VLOOKUP(M127,$W$3:$Y$72,3,0)</f>
        <v>#N/A</v>
      </c>
      <c r="O127" s="110"/>
      <c r="P127" s="112"/>
      <c r="R127" s="79"/>
      <c r="S127" s="76" t="e">
        <f t="shared" si="17"/>
        <v>#N/A</v>
      </c>
      <c r="T127" s="76"/>
      <c r="U127" s="112"/>
      <c r="AE127" s="92"/>
    </row>
    <row r="128" spans="1:31" x14ac:dyDescent="0.25">
      <c r="A128" s="95">
        <v>45640</v>
      </c>
      <c r="B128" s="72"/>
      <c r="C128" s="72" t="s">
        <v>10</v>
      </c>
      <c r="D128" s="72" t="s">
        <v>18</v>
      </c>
      <c r="E128" s="72" t="s">
        <v>913</v>
      </c>
      <c r="F128" s="72">
        <v>1</v>
      </c>
      <c r="G128" s="73">
        <f t="shared" si="23"/>
        <v>40</v>
      </c>
      <c r="H128" s="73">
        <f t="shared" si="15"/>
        <v>40</v>
      </c>
      <c r="I128" s="73">
        <f t="shared" si="16"/>
        <v>40</v>
      </c>
      <c r="J128" s="72" t="s">
        <v>83</v>
      </c>
      <c r="K128" s="74"/>
      <c r="M128" s="79"/>
      <c r="N128" s="76" t="e">
        <f t="shared" si="24"/>
        <v>#N/A</v>
      </c>
      <c r="O128" s="110"/>
      <c r="P128" s="112"/>
      <c r="Q128" s="106"/>
      <c r="R128" s="79" t="s">
        <v>18</v>
      </c>
      <c r="S128" s="76">
        <f t="shared" si="17"/>
        <v>16</v>
      </c>
      <c r="T128" s="76">
        <f>S128*F129</f>
        <v>16</v>
      </c>
      <c r="U128" s="112"/>
      <c r="AE128" s="92"/>
    </row>
    <row r="129" spans="1:31" x14ac:dyDescent="0.25">
      <c r="A129" s="95">
        <v>45643</v>
      </c>
      <c r="B129" s="72" t="s">
        <v>204</v>
      </c>
      <c r="C129" s="72" t="s">
        <v>8</v>
      </c>
      <c r="D129" s="72" t="s">
        <v>916</v>
      </c>
      <c r="E129" s="72" t="s">
        <v>56</v>
      </c>
      <c r="F129" s="72">
        <v>1</v>
      </c>
      <c r="G129" s="73">
        <f t="shared" si="23"/>
        <v>50</v>
      </c>
      <c r="H129" s="73">
        <f t="shared" si="15"/>
        <v>50</v>
      </c>
      <c r="I129" s="73">
        <f t="shared" si="16"/>
        <v>50</v>
      </c>
      <c r="J129" s="72" t="s">
        <v>79</v>
      </c>
      <c r="K129" s="74"/>
      <c r="M129" s="79" t="s">
        <v>916</v>
      </c>
      <c r="N129" s="76">
        <f t="shared" si="24"/>
        <v>20</v>
      </c>
      <c r="O129" s="110">
        <f>N129*F129</f>
        <v>20</v>
      </c>
      <c r="P129" s="112" t="s">
        <v>56</v>
      </c>
      <c r="Q129" s="106"/>
      <c r="R129" s="79"/>
      <c r="S129" s="76" t="e">
        <f t="shared" si="17"/>
        <v>#N/A</v>
      </c>
      <c r="T129" s="76"/>
      <c r="U129" s="112"/>
      <c r="AE129" s="92"/>
    </row>
    <row r="130" spans="1:31" x14ac:dyDescent="0.25">
      <c r="A130" s="95">
        <v>45643</v>
      </c>
      <c r="B130" s="72" t="s">
        <v>591</v>
      </c>
      <c r="C130" s="72" t="s">
        <v>8</v>
      </c>
      <c r="D130" s="72" t="s">
        <v>916</v>
      </c>
      <c r="E130" s="72" t="s">
        <v>82</v>
      </c>
      <c r="F130" s="72">
        <v>1</v>
      </c>
      <c r="G130" s="73">
        <f t="shared" si="23"/>
        <v>50</v>
      </c>
      <c r="H130" s="73">
        <f t="shared" si="15"/>
        <v>50</v>
      </c>
      <c r="I130" s="73">
        <f t="shared" si="16"/>
        <v>50</v>
      </c>
      <c r="J130" s="72" t="s">
        <v>79</v>
      </c>
      <c r="K130" s="74"/>
      <c r="M130" s="79"/>
      <c r="N130" s="76" t="e">
        <f t="shared" si="24"/>
        <v>#N/A</v>
      </c>
      <c r="O130" s="110"/>
      <c r="P130" s="112"/>
      <c r="R130" s="79"/>
      <c r="S130" s="76" t="e">
        <f t="shared" si="17"/>
        <v>#N/A</v>
      </c>
      <c r="T130" s="76"/>
      <c r="U130" s="112"/>
      <c r="AE130" s="92"/>
    </row>
    <row r="131" spans="1:31" x14ac:dyDescent="0.25">
      <c r="A131" s="95">
        <v>45643</v>
      </c>
      <c r="B131" s="72" t="s">
        <v>511</v>
      </c>
      <c r="C131" s="72" t="s">
        <v>8</v>
      </c>
      <c r="D131" s="72" t="s">
        <v>18</v>
      </c>
      <c r="E131" s="72" t="s">
        <v>82</v>
      </c>
      <c r="F131" s="72">
        <v>1</v>
      </c>
      <c r="G131" s="73">
        <f t="shared" si="23"/>
        <v>40</v>
      </c>
      <c r="H131" s="73">
        <f t="shared" ref="H131:H194" si="25">F131*G131</f>
        <v>40</v>
      </c>
      <c r="I131" s="73">
        <f t="shared" ref="I131:I194" si="26">IF(J131="Master Debito",H131-(H131*$AG$5),IF(J131="Master Credito",H131-(H131*$AG$6), IF(J131="Visa Debito",H131-(H131*$AG$7), IF(J131="Visa Credito", H131-(H131*$AG$8), IF(J131="Elo Debito", H131-(H131*$AG$9), IF(J131="Elo Credito", H131-(H131*$AG$10), IF(J131="Pix", H131-(H131*$AG$11), IF(J131="Dinheiro (R$)", H131-(H131*$AG$12)))))))))</f>
        <v>40</v>
      </c>
      <c r="J131" s="72" t="s">
        <v>83</v>
      </c>
      <c r="K131" s="74"/>
      <c r="M131" s="79"/>
      <c r="N131" s="76" t="e">
        <f t="shared" si="24"/>
        <v>#N/A</v>
      </c>
      <c r="O131" s="110"/>
      <c r="P131" s="112"/>
      <c r="R131" s="79"/>
      <c r="S131" s="76" t="e">
        <f t="shared" ref="S131:S194" si="27">VLOOKUP(R131,$W$3:$Y$72,3,0)</f>
        <v>#N/A</v>
      </c>
      <c r="T131" s="76"/>
      <c r="U131" s="112"/>
      <c r="AE131" s="92"/>
    </row>
    <row r="132" spans="1:31" x14ac:dyDescent="0.25">
      <c r="A132" s="95">
        <v>45643</v>
      </c>
      <c r="B132" s="72" t="s">
        <v>485</v>
      </c>
      <c r="C132" s="72" t="s">
        <v>8</v>
      </c>
      <c r="D132" s="72" t="s">
        <v>18</v>
      </c>
      <c r="E132" s="72" t="s">
        <v>82</v>
      </c>
      <c r="F132" s="72">
        <v>1</v>
      </c>
      <c r="G132" s="73">
        <f t="shared" si="23"/>
        <v>40</v>
      </c>
      <c r="H132" s="73">
        <f t="shared" si="25"/>
        <v>40</v>
      </c>
      <c r="I132" s="73">
        <f t="shared" si="26"/>
        <v>38</v>
      </c>
      <c r="J132" s="72" t="s">
        <v>867</v>
      </c>
      <c r="K132" s="74"/>
      <c r="M132" s="79"/>
      <c r="N132" s="76" t="e">
        <f t="shared" si="24"/>
        <v>#N/A</v>
      </c>
      <c r="O132" s="110"/>
      <c r="P132" s="112"/>
      <c r="R132" s="79"/>
      <c r="S132" s="76" t="e">
        <f t="shared" si="27"/>
        <v>#N/A</v>
      </c>
      <c r="T132" s="76"/>
      <c r="U132" s="112"/>
      <c r="AE132" s="92"/>
    </row>
    <row r="133" spans="1:31" x14ac:dyDescent="0.25">
      <c r="A133" s="95">
        <v>45643</v>
      </c>
      <c r="B133" s="72" t="s">
        <v>522</v>
      </c>
      <c r="C133" s="72" t="s">
        <v>8</v>
      </c>
      <c r="D133" s="72" t="s">
        <v>22</v>
      </c>
      <c r="E133" s="72" t="s">
        <v>82</v>
      </c>
      <c r="F133" s="72">
        <v>1</v>
      </c>
      <c r="G133" s="73">
        <f t="shared" si="23"/>
        <v>30</v>
      </c>
      <c r="H133" s="73">
        <f t="shared" si="25"/>
        <v>30</v>
      </c>
      <c r="I133" s="73">
        <f t="shared" si="26"/>
        <v>29.37</v>
      </c>
      <c r="J133" s="72" t="s">
        <v>866</v>
      </c>
      <c r="K133" s="74"/>
      <c r="M133" s="79"/>
      <c r="N133" s="76" t="e">
        <f t="shared" si="24"/>
        <v>#N/A</v>
      </c>
      <c r="O133" s="110"/>
      <c r="P133" s="112"/>
      <c r="R133" s="79"/>
      <c r="S133" s="76" t="e">
        <f t="shared" si="27"/>
        <v>#N/A</v>
      </c>
      <c r="T133" s="76"/>
      <c r="U133" s="112"/>
      <c r="AE133" s="92"/>
    </row>
    <row r="134" spans="1:31" x14ac:dyDescent="0.25">
      <c r="A134" s="95">
        <v>45643</v>
      </c>
      <c r="B134" s="72" t="s">
        <v>522</v>
      </c>
      <c r="C134" s="72" t="s">
        <v>8</v>
      </c>
      <c r="D134" s="72" t="s">
        <v>13</v>
      </c>
      <c r="E134" s="72" t="s">
        <v>82</v>
      </c>
      <c r="F134" s="72">
        <v>1</v>
      </c>
      <c r="G134" s="73">
        <f t="shared" si="23"/>
        <v>30</v>
      </c>
      <c r="H134" s="73">
        <f t="shared" si="25"/>
        <v>30</v>
      </c>
      <c r="I134" s="73">
        <f t="shared" si="26"/>
        <v>29.37</v>
      </c>
      <c r="J134" s="72" t="s">
        <v>866</v>
      </c>
      <c r="K134" s="74"/>
      <c r="M134" s="79"/>
      <c r="N134" s="76" t="e">
        <f t="shared" si="24"/>
        <v>#N/A</v>
      </c>
      <c r="O134" s="110"/>
      <c r="P134" s="112"/>
      <c r="R134" s="79"/>
      <c r="S134" s="76" t="e">
        <f t="shared" si="27"/>
        <v>#N/A</v>
      </c>
      <c r="T134" s="76"/>
      <c r="U134" s="112"/>
      <c r="AE134" s="92"/>
    </row>
    <row r="135" spans="1:31" x14ac:dyDescent="0.25">
      <c r="A135" s="95">
        <v>45643</v>
      </c>
      <c r="B135" s="72" t="s">
        <v>945</v>
      </c>
      <c r="C135" s="72" t="s">
        <v>10</v>
      </c>
      <c r="D135" s="72" t="s">
        <v>18</v>
      </c>
      <c r="E135" s="72" t="s">
        <v>913</v>
      </c>
      <c r="F135" s="72">
        <v>1</v>
      </c>
      <c r="G135" s="73">
        <f t="shared" si="23"/>
        <v>40</v>
      </c>
      <c r="H135" s="73">
        <f t="shared" si="25"/>
        <v>40</v>
      </c>
      <c r="I135" s="73">
        <f t="shared" si="26"/>
        <v>39.04</v>
      </c>
      <c r="J135" s="72" t="s">
        <v>869</v>
      </c>
      <c r="K135" s="74"/>
      <c r="M135" s="79"/>
      <c r="N135" s="76" t="e">
        <f t="shared" si="24"/>
        <v>#N/A</v>
      </c>
      <c r="O135" s="110"/>
      <c r="P135" s="112"/>
      <c r="R135" s="79" t="s">
        <v>18</v>
      </c>
      <c r="S135" s="76">
        <f t="shared" si="27"/>
        <v>16</v>
      </c>
      <c r="T135" s="76">
        <f>S135*F136</f>
        <v>16</v>
      </c>
      <c r="U135" s="112"/>
      <c r="AE135" s="92"/>
    </row>
    <row r="136" spans="1:31" x14ac:dyDescent="0.25">
      <c r="A136" s="95">
        <v>45643</v>
      </c>
      <c r="B136" s="72" t="s">
        <v>574</v>
      </c>
      <c r="C136" s="72" t="s">
        <v>8</v>
      </c>
      <c r="D136" s="72" t="s">
        <v>916</v>
      </c>
      <c r="E136" s="72" t="s">
        <v>82</v>
      </c>
      <c r="F136" s="72">
        <v>1</v>
      </c>
      <c r="G136" s="73">
        <f t="shared" si="23"/>
        <v>50</v>
      </c>
      <c r="H136" s="73">
        <f t="shared" si="25"/>
        <v>50</v>
      </c>
      <c r="I136" s="73">
        <f t="shared" si="26"/>
        <v>50</v>
      </c>
      <c r="J136" s="72" t="s">
        <v>83</v>
      </c>
      <c r="K136" s="74"/>
      <c r="M136" s="79"/>
      <c r="N136" s="76" t="e">
        <f t="shared" si="24"/>
        <v>#N/A</v>
      </c>
      <c r="O136" s="110"/>
      <c r="P136" s="112"/>
      <c r="R136" s="79"/>
      <c r="S136" s="76" t="e">
        <f t="shared" si="27"/>
        <v>#N/A</v>
      </c>
      <c r="T136" s="76"/>
      <c r="U136" s="112"/>
      <c r="AE136" s="92"/>
    </row>
    <row r="137" spans="1:31" x14ac:dyDescent="0.25">
      <c r="A137" s="95">
        <v>45643</v>
      </c>
      <c r="B137" s="72" t="s">
        <v>574</v>
      </c>
      <c r="C137" s="72" t="s">
        <v>8</v>
      </c>
      <c r="D137" s="72" t="s">
        <v>23</v>
      </c>
      <c r="E137" s="72" t="s">
        <v>82</v>
      </c>
      <c r="F137" s="72">
        <v>1</v>
      </c>
      <c r="G137" s="73">
        <f t="shared" si="23"/>
        <v>5</v>
      </c>
      <c r="H137" s="73">
        <f t="shared" si="25"/>
        <v>5</v>
      </c>
      <c r="I137" s="73">
        <f t="shared" si="26"/>
        <v>5</v>
      </c>
      <c r="J137" s="72" t="s">
        <v>83</v>
      </c>
      <c r="K137" s="74"/>
      <c r="M137" s="79"/>
      <c r="N137" s="76" t="e">
        <f t="shared" si="24"/>
        <v>#N/A</v>
      </c>
      <c r="O137" s="110"/>
      <c r="P137" s="112"/>
      <c r="R137" s="79"/>
      <c r="S137" s="76" t="e">
        <f t="shared" si="27"/>
        <v>#N/A</v>
      </c>
      <c r="T137" s="76"/>
      <c r="U137" s="112"/>
      <c r="AE137" s="92"/>
    </row>
    <row r="138" spans="1:31" x14ac:dyDescent="0.25">
      <c r="A138" s="95">
        <v>45643</v>
      </c>
      <c r="B138" s="72" t="s">
        <v>946</v>
      </c>
      <c r="C138" s="72" t="s">
        <v>9</v>
      </c>
      <c r="D138" s="72" t="s">
        <v>917</v>
      </c>
      <c r="E138" s="72" t="s">
        <v>56</v>
      </c>
      <c r="F138" s="72">
        <v>1</v>
      </c>
      <c r="G138" s="73">
        <f t="shared" si="23"/>
        <v>140</v>
      </c>
      <c r="H138" s="73">
        <f t="shared" si="25"/>
        <v>140</v>
      </c>
      <c r="I138" s="73">
        <f t="shared" si="26"/>
        <v>137.06</v>
      </c>
      <c r="J138" s="72" t="s">
        <v>866</v>
      </c>
      <c r="K138" s="74"/>
      <c r="M138" s="79" t="s">
        <v>917</v>
      </c>
      <c r="N138" s="76">
        <f t="shared" si="24"/>
        <v>56</v>
      </c>
      <c r="O138" s="110">
        <f>N138*F138</f>
        <v>56</v>
      </c>
      <c r="P138" s="112" t="s">
        <v>56</v>
      </c>
      <c r="R138" s="79"/>
      <c r="S138" s="76" t="e">
        <f t="shared" si="27"/>
        <v>#N/A</v>
      </c>
      <c r="T138" s="76"/>
      <c r="U138" s="112"/>
      <c r="AE138" s="92"/>
    </row>
    <row r="139" spans="1:31" x14ac:dyDescent="0.25">
      <c r="A139" s="95">
        <v>45643</v>
      </c>
      <c r="B139" s="72" t="s">
        <v>915</v>
      </c>
      <c r="C139" s="72" t="s">
        <v>8</v>
      </c>
      <c r="D139" s="72" t="s">
        <v>18</v>
      </c>
      <c r="E139" s="72" t="s">
        <v>56</v>
      </c>
      <c r="F139" s="72">
        <v>1</v>
      </c>
      <c r="G139" s="73">
        <f t="shared" si="23"/>
        <v>40</v>
      </c>
      <c r="H139" s="73">
        <f t="shared" si="25"/>
        <v>40</v>
      </c>
      <c r="I139" s="73">
        <f t="shared" si="26"/>
        <v>39.164999999999999</v>
      </c>
      <c r="J139" s="72" t="s">
        <v>868</v>
      </c>
      <c r="K139" s="74"/>
      <c r="M139" s="79" t="s">
        <v>18</v>
      </c>
      <c r="N139" s="76">
        <f t="shared" si="24"/>
        <v>16</v>
      </c>
      <c r="O139" s="110">
        <f>N139*F139</f>
        <v>16</v>
      </c>
      <c r="P139" s="112" t="s">
        <v>56</v>
      </c>
      <c r="R139" s="79"/>
      <c r="S139" s="76" t="e">
        <f t="shared" si="27"/>
        <v>#N/A</v>
      </c>
      <c r="T139" s="76"/>
      <c r="U139" s="112"/>
      <c r="AE139" s="92"/>
    </row>
    <row r="140" spans="1:31" x14ac:dyDescent="0.25">
      <c r="A140" s="95">
        <v>45643</v>
      </c>
      <c r="B140" s="72" t="s">
        <v>915</v>
      </c>
      <c r="C140" s="72" t="s">
        <v>8</v>
      </c>
      <c r="D140" s="72" t="s">
        <v>63</v>
      </c>
      <c r="E140" s="72" t="s">
        <v>56</v>
      </c>
      <c r="F140" s="72">
        <v>1</v>
      </c>
      <c r="G140" s="73">
        <f t="shared" si="23"/>
        <v>20</v>
      </c>
      <c r="H140" s="73">
        <f t="shared" si="25"/>
        <v>20</v>
      </c>
      <c r="I140" s="73">
        <f t="shared" si="26"/>
        <v>19.5825</v>
      </c>
      <c r="J140" s="72" t="s">
        <v>868</v>
      </c>
      <c r="K140" s="74"/>
      <c r="M140" s="79" t="s">
        <v>63</v>
      </c>
      <c r="N140" s="76">
        <f t="shared" si="24"/>
        <v>2</v>
      </c>
      <c r="O140" s="110">
        <f>N140*F140</f>
        <v>2</v>
      </c>
      <c r="P140" s="112" t="s">
        <v>56</v>
      </c>
      <c r="R140" s="79"/>
      <c r="S140" s="76" t="e">
        <f t="shared" si="27"/>
        <v>#N/A</v>
      </c>
      <c r="T140" s="76"/>
      <c r="U140" s="112"/>
      <c r="AE140" s="92"/>
    </row>
    <row r="141" spans="1:31" x14ac:dyDescent="0.25">
      <c r="A141" s="95">
        <v>45643</v>
      </c>
      <c r="B141" s="72" t="s">
        <v>383</v>
      </c>
      <c r="C141" s="72" t="s">
        <v>10</v>
      </c>
      <c r="D141" s="72" t="s">
        <v>18</v>
      </c>
      <c r="E141" s="72" t="s">
        <v>56</v>
      </c>
      <c r="F141" s="72">
        <v>1</v>
      </c>
      <c r="G141" s="73">
        <f t="shared" si="23"/>
        <v>40</v>
      </c>
      <c r="H141" s="73">
        <f t="shared" si="25"/>
        <v>40</v>
      </c>
      <c r="I141" s="73">
        <f t="shared" si="26"/>
        <v>40</v>
      </c>
      <c r="J141" s="72" t="s">
        <v>83</v>
      </c>
      <c r="K141" s="74"/>
      <c r="M141" s="79" t="s">
        <v>18</v>
      </c>
      <c r="N141" s="76">
        <f t="shared" si="24"/>
        <v>16</v>
      </c>
      <c r="O141" s="110">
        <f>N141*F141</f>
        <v>16</v>
      </c>
      <c r="P141" s="112" t="s">
        <v>56</v>
      </c>
      <c r="R141" s="79"/>
      <c r="S141" s="76" t="e">
        <f t="shared" si="27"/>
        <v>#N/A</v>
      </c>
      <c r="T141" s="76"/>
      <c r="U141" s="112"/>
      <c r="AE141" s="92"/>
    </row>
    <row r="142" spans="1:31" x14ac:dyDescent="0.25">
      <c r="A142" s="95">
        <v>45643</v>
      </c>
      <c r="B142" s="72" t="s">
        <v>947</v>
      </c>
      <c r="C142" s="72" t="s">
        <v>10</v>
      </c>
      <c r="D142" s="72" t="s">
        <v>18</v>
      </c>
      <c r="E142" s="72" t="s">
        <v>56</v>
      </c>
      <c r="F142" s="72">
        <v>1</v>
      </c>
      <c r="G142" s="73">
        <f t="shared" si="23"/>
        <v>40</v>
      </c>
      <c r="H142" s="73">
        <f t="shared" si="25"/>
        <v>40</v>
      </c>
      <c r="I142" s="73">
        <f t="shared" si="26"/>
        <v>39.159999999999997</v>
      </c>
      <c r="J142" s="72" t="s">
        <v>866</v>
      </c>
      <c r="K142" s="74"/>
      <c r="M142" s="79" t="s">
        <v>18</v>
      </c>
      <c r="N142" s="76">
        <f t="shared" si="24"/>
        <v>16</v>
      </c>
      <c r="O142" s="110">
        <f>N142*F142</f>
        <v>16</v>
      </c>
      <c r="P142" s="112" t="s">
        <v>56</v>
      </c>
      <c r="R142" s="79"/>
      <c r="S142" s="76" t="e">
        <f t="shared" si="27"/>
        <v>#N/A</v>
      </c>
      <c r="T142" s="76"/>
      <c r="U142" s="112"/>
      <c r="AE142" s="92"/>
    </row>
    <row r="143" spans="1:31" x14ac:dyDescent="0.25">
      <c r="A143" s="95">
        <v>45643</v>
      </c>
      <c r="B143" s="72" t="s">
        <v>610</v>
      </c>
      <c r="C143" s="72" t="s">
        <v>8</v>
      </c>
      <c r="D143" s="72" t="s">
        <v>18</v>
      </c>
      <c r="E143" s="72" t="s">
        <v>82</v>
      </c>
      <c r="F143" s="72">
        <v>1</v>
      </c>
      <c r="G143" s="73">
        <f t="shared" si="23"/>
        <v>40</v>
      </c>
      <c r="H143" s="73">
        <f t="shared" si="25"/>
        <v>40</v>
      </c>
      <c r="I143" s="73">
        <f t="shared" si="26"/>
        <v>40</v>
      </c>
      <c r="J143" s="72" t="s">
        <v>83</v>
      </c>
      <c r="K143" s="74"/>
      <c r="M143" s="79"/>
      <c r="N143" s="76" t="e">
        <f t="shared" si="24"/>
        <v>#N/A</v>
      </c>
      <c r="O143" s="110"/>
      <c r="P143" s="112"/>
      <c r="R143" s="79"/>
      <c r="S143" s="76" t="e">
        <f t="shared" si="27"/>
        <v>#N/A</v>
      </c>
      <c r="T143" s="76"/>
      <c r="U143" s="112"/>
      <c r="AE143" s="92"/>
    </row>
    <row r="144" spans="1:31" x14ac:dyDescent="0.25">
      <c r="A144" s="95">
        <v>45643</v>
      </c>
      <c r="B144" s="72" t="s">
        <v>884</v>
      </c>
      <c r="C144" s="72" t="s">
        <v>8</v>
      </c>
      <c r="D144" s="72" t="s">
        <v>40</v>
      </c>
      <c r="E144" s="72" t="s">
        <v>82</v>
      </c>
      <c r="F144" s="72">
        <v>2</v>
      </c>
      <c r="G144" s="73">
        <f t="shared" si="23"/>
        <v>45</v>
      </c>
      <c r="H144" s="73">
        <f t="shared" si="25"/>
        <v>90</v>
      </c>
      <c r="I144" s="73">
        <f t="shared" si="26"/>
        <v>90</v>
      </c>
      <c r="J144" s="72" t="s">
        <v>83</v>
      </c>
      <c r="K144" s="74"/>
      <c r="M144" s="79"/>
      <c r="N144" s="76" t="e">
        <f t="shared" si="24"/>
        <v>#N/A</v>
      </c>
      <c r="O144" s="110"/>
      <c r="P144" s="112"/>
      <c r="R144" s="79"/>
      <c r="S144" s="76" t="e">
        <f t="shared" si="27"/>
        <v>#N/A</v>
      </c>
      <c r="T144" s="76"/>
      <c r="U144" s="112"/>
      <c r="AE144" s="92"/>
    </row>
    <row r="145" spans="1:31" x14ac:dyDescent="0.25">
      <c r="A145" s="95">
        <v>45643</v>
      </c>
      <c r="B145" s="72" t="s">
        <v>294</v>
      </c>
      <c r="C145" s="72" t="s">
        <v>8</v>
      </c>
      <c r="D145" s="72" t="s">
        <v>183</v>
      </c>
      <c r="E145" s="72" t="s">
        <v>82</v>
      </c>
      <c r="F145" s="72">
        <v>1</v>
      </c>
      <c r="G145" s="73">
        <v>5</v>
      </c>
      <c r="H145" s="73">
        <f t="shared" si="25"/>
        <v>5</v>
      </c>
      <c r="I145" s="73">
        <f t="shared" si="26"/>
        <v>5</v>
      </c>
      <c r="J145" s="72" t="s">
        <v>83</v>
      </c>
      <c r="K145" s="74"/>
      <c r="M145" s="79"/>
      <c r="N145" s="76" t="e">
        <f t="shared" si="24"/>
        <v>#N/A</v>
      </c>
      <c r="O145" s="110"/>
      <c r="P145" s="112"/>
      <c r="R145" s="79"/>
      <c r="S145" s="76" t="e">
        <f t="shared" si="27"/>
        <v>#N/A</v>
      </c>
      <c r="T145" s="76"/>
      <c r="U145" s="112"/>
      <c r="AE145" s="92"/>
    </row>
    <row r="146" spans="1:31" x14ac:dyDescent="0.25">
      <c r="A146" s="95">
        <v>45644</v>
      </c>
      <c r="B146" s="72" t="s">
        <v>928</v>
      </c>
      <c r="C146" s="72" t="s">
        <v>8</v>
      </c>
      <c r="D146" s="72" t="s">
        <v>13</v>
      </c>
      <c r="E146" s="72" t="s">
        <v>56</v>
      </c>
      <c r="F146" s="72">
        <v>1</v>
      </c>
      <c r="G146" s="73">
        <f t="shared" ref="G146:G156" si="28">VLOOKUP(D146,$W$3:$X$72,2,0)</f>
        <v>30</v>
      </c>
      <c r="H146" s="73">
        <f t="shared" si="25"/>
        <v>30</v>
      </c>
      <c r="I146" s="73">
        <f t="shared" si="26"/>
        <v>30</v>
      </c>
      <c r="J146" s="72" t="s">
        <v>83</v>
      </c>
      <c r="K146" s="74"/>
      <c r="M146" s="79" t="s">
        <v>13</v>
      </c>
      <c r="N146" s="76">
        <f t="shared" si="24"/>
        <v>12</v>
      </c>
      <c r="O146" s="110">
        <f>N146*F146</f>
        <v>12</v>
      </c>
      <c r="P146" s="112"/>
      <c r="Q146" s="106"/>
      <c r="R146" s="79"/>
      <c r="S146" s="76" t="e">
        <f t="shared" si="27"/>
        <v>#N/A</v>
      </c>
      <c r="T146" s="76"/>
      <c r="U146" s="112"/>
      <c r="AE146" s="92"/>
    </row>
    <row r="147" spans="1:31" x14ac:dyDescent="0.25">
      <c r="A147" s="95">
        <v>45644</v>
      </c>
      <c r="B147" s="72" t="s">
        <v>570</v>
      </c>
      <c r="C147" s="72" t="s">
        <v>8</v>
      </c>
      <c r="D147" s="72" t="s">
        <v>916</v>
      </c>
      <c r="E147" s="72" t="s">
        <v>82</v>
      </c>
      <c r="F147" s="72">
        <v>1</v>
      </c>
      <c r="G147" s="73">
        <f t="shared" si="28"/>
        <v>50</v>
      </c>
      <c r="H147" s="73">
        <f t="shared" si="25"/>
        <v>50</v>
      </c>
      <c r="I147" s="73">
        <f t="shared" si="26"/>
        <v>50</v>
      </c>
      <c r="J147" s="72" t="s">
        <v>83</v>
      </c>
      <c r="K147" s="74"/>
      <c r="M147" s="79"/>
      <c r="N147" s="76" t="e">
        <f t="shared" si="24"/>
        <v>#N/A</v>
      </c>
      <c r="O147" s="110"/>
      <c r="P147" s="112"/>
      <c r="R147" s="79"/>
      <c r="S147" s="76" t="e">
        <f t="shared" si="27"/>
        <v>#N/A</v>
      </c>
      <c r="T147" s="76"/>
      <c r="U147" s="112"/>
      <c r="AC147" s="91" t="s">
        <v>309</v>
      </c>
      <c r="AD147" s="92">
        <v>6.8327</v>
      </c>
      <c r="AE147" s="92">
        <f t="shared" ref="AE147:AE183" si="29">AD147*0.1</f>
        <v>0.68327000000000004</v>
      </c>
    </row>
    <row r="148" spans="1:31" x14ac:dyDescent="0.25">
      <c r="A148" s="95">
        <v>45644</v>
      </c>
      <c r="B148" s="72" t="s">
        <v>570</v>
      </c>
      <c r="C148" s="72" t="s">
        <v>8</v>
      </c>
      <c r="D148" s="72" t="s">
        <v>934</v>
      </c>
      <c r="E148" s="72" t="s">
        <v>82</v>
      </c>
      <c r="F148" s="72">
        <v>1</v>
      </c>
      <c r="G148" s="73">
        <f t="shared" si="28"/>
        <v>35</v>
      </c>
      <c r="H148" s="73">
        <f t="shared" si="25"/>
        <v>35</v>
      </c>
      <c r="I148" s="73">
        <f t="shared" si="26"/>
        <v>35</v>
      </c>
      <c r="J148" s="72" t="s">
        <v>83</v>
      </c>
      <c r="K148" s="74"/>
      <c r="M148" s="79"/>
      <c r="N148" s="76" t="e">
        <f t="shared" si="24"/>
        <v>#N/A</v>
      </c>
      <c r="O148" s="110"/>
      <c r="P148" s="112"/>
      <c r="R148" s="79"/>
      <c r="S148" s="76" t="e">
        <f t="shared" si="27"/>
        <v>#N/A</v>
      </c>
      <c r="T148" s="76"/>
      <c r="U148" s="112"/>
      <c r="AC148" s="91" t="s">
        <v>311</v>
      </c>
      <c r="AD148" s="92">
        <v>6.6506999999999996</v>
      </c>
      <c r="AE148" s="92">
        <f t="shared" si="29"/>
        <v>0.66507000000000005</v>
      </c>
    </row>
    <row r="149" spans="1:31" x14ac:dyDescent="0.25">
      <c r="A149" s="95">
        <v>45644</v>
      </c>
      <c r="B149" s="72" t="s">
        <v>948</v>
      </c>
      <c r="C149" s="72" t="s">
        <v>8</v>
      </c>
      <c r="D149" s="72" t="s">
        <v>18</v>
      </c>
      <c r="E149" s="72" t="s">
        <v>82</v>
      </c>
      <c r="F149" s="72">
        <v>1</v>
      </c>
      <c r="G149" s="73">
        <f t="shared" si="28"/>
        <v>40</v>
      </c>
      <c r="H149" s="73">
        <f t="shared" si="25"/>
        <v>40</v>
      </c>
      <c r="I149" s="73">
        <f t="shared" si="26"/>
        <v>40</v>
      </c>
      <c r="J149" s="72" t="s">
        <v>79</v>
      </c>
      <c r="K149" s="74"/>
      <c r="M149" s="79"/>
      <c r="N149" s="76" t="e">
        <f t="shared" si="24"/>
        <v>#N/A</v>
      </c>
      <c r="O149" s="110"/>
      <c r="P149" s="112"/>
      <c r="Q149" s="106"/>
      <c r="R149" s="79"/>
      <c r="S149" s="76" t="e">
        <f t="shared" si="27"/>
        <v>#N/A</v>
      </c>
      <c r="T149" s="76"/>
      <c r="U149" s="112"/>
      <c r="AC149" s="91" t="s">
        <v>313</v>
      </c>
      <c r="AD149" s="92">
        <v>5</v>
      </c>
      <c r="AE149" s="92">
        <f t="shared" si="29"/>
        <v>0.5</v>
      </c>
    </row>
    <row r="150" spans="1:31" x14ac:dyDescent="0.25">
      <c r="A150" s="95">
        <v>45644</v>
      </c>
      <c r="B150" s="72" t="s">
        <v>204</v>
      </c>
      <c r="C150" s="72" t="s">
        <v>10</v>
      </c>
      <c r="D150" s="72" t="s">
        <v>18</v>
      </c>
      <c r="E150" s="72" t="s">
        <v>56</v>
      </c>
      <c r="F150" s="72">
        <v>1</v>
      </c>
      <c r="G150" s="73">
        <f t="shared" si="28"/>
        <v>40</v>
      </c>
      <c r="H150" s="73">
        <f t="shared" si="25"/>
        <v>40</v>
      </c>
      <c r="I150" s="73">
        <f t="shared" si="26"/>
        <v>40</v>
      </c>
      <c r="J150" s="72" t="s">
        <v>79</v>
      </c>
      <c r="K150" s="74"/>
      <c r="M150" s="79" t="s">
        <v>18</v>
      </c>
      <c r="N150" s="76">
        <f t="shared" si="24"/>
        <v>16</v>
      </c>
      <c r="O150" s="110">
        <f>N150*F150</f>
        <v>16</v>
      </c>
      <c r="P150" s="112"/>
      <c r="R150" s="79"/>
      <c r="S150" s="76" t="e">
        <f t="shared" si="27"/>
        <v>#N/A</v>
      </c>
      <c r="T150" s="76"/>
      <c r="U150" s="112"/>
      <c r="AC150" s="91" t="s">
        <v>316</v>
      </c>
      <c r="AD150" s="92">
        <v>5</v>
      </c>
      <c r="AE150" s="92">
        <f t="shared" si="29"/>
        <v>0.5</v>
      </c>
    </row>
    <row r="151" spans="1:31" x14ac:dyDescent="0.25">
      <c r="A151" s="95">
        <v>45644</v>
      </c>
      <c r="B151" s="72" t="s">
        <v>649</v>
      </c>
      <c r="C151" s="72" t="s">
        <v>8</v>
      </c>
      <c r="D151" s="72" t="s">
        <v>18</v>
      </c>
      <c r="E151" s="72" t="s">
        <v>82</v>
      </c>
      <c r="F151" s="72">
        <v>1</v>
      </c>
      <c r="G151" s="73">
        <f t="shared" si="28"/>
        <v>40</v>
      </c>
      <c r="H151" s="73">
        <f t="shared" si="25"/>
        <v>40</v>
      </c>
      <c r="I151" s="73">
        <f t="shared" si="26"/>
        <v>40</v>
      </c>
      <c r="J151" s="72" t="s">
        <v>83</v>
      </c>
      <c r="K151" s="74"/>
      <c r="M151" s="79"/>
      <c r="N151" s="76" t="e">
        <f t="shared" si="24"/>
        <v>#N/A</v>
      </c>
      <c r="O151" s="110"/>
      <c r="P151" s="112"/>
      <c r="R151" s="79"/>
      <c r="S151" s="76" t="e">
        <f t="shared" si="27"/>
        <v>#N/A</v>
      </c>
      <c r="T151" s="76"/>
      <c r="U151" s="112"/>
      <c r="AC151" s="91" t="s">
        <v>318</v>
      </c>
      <c r="AD151" s="92">
        <v>4.8804999999999996</v>
      </c>
      <c r="AE151" s="92">
        <f t="shared" si="29"/>
        <v>0.48804999999999998</v>
      </c>
    </row>
    <row r="152" spans="1:31" x14ac:dyDescent="0.25">
      <c r="A152" s="95">
        <v>45644</v>
      </c>
      <c r="B152" s="72" t="s">
        <v>591</v>
      </c>
      <c r="C152" s="72" t="s">
        <v>8</v>
      </c>
      <c r="D152" s="72" t="s">
        <v>18</v>
      </c>
      <c r="E152" s="72" t="s">
        <v>82</v>
      </c>
      <c r="F152" s="72">
        <v>1</v>
      </c>
      <c r="G152" s="73">
        <f t="shared" si="28"/>
        <v>40</v>
      </c>
      <c r="H152" s="73">
        <f t="shared" si="25"/>
        <v>40</v>
      </c>
      <c r="I152" s="73">
        <f t="shared" si="26"/>
        <v>40</v>
      </c>
      <c r="J152" s="72" t="s">
        <v>83</v>
      </c>
      <c r="K152" s="74"/>
      <c r="M152" s="79"/>
      <c r="N152" s="76" t="e">
        <f t="shared" si="24"/>
        <v>#N/A</v>
      </c>
      <c r="O152" s="110"/>
      <c r="P152" s="112"/>
      <c r="R152" s="79"/>
      <c r="S152" s="76" t="e">
        <f t="shared" si="27"/>
        <v>#N/A</v>
      </c>
      <c r="T152" s="76"/>
      <c r="U152" s="112"/>
      <c r="AC152" s="91" t="s">
        <v>320</v>
      </c>
      <c r="AD152" s="92">
        <v>4.7504999999999997</v>
      </c>
      <c r="AE152" s="92">
        <f t="shared" si="29"/>
        <v>0.47504999999999997</v>
      </c>
    </row>
    <row r="153" spans="1:31" x14ac:dyDescent="0.25">
      <c r="A153" s="95">
        <v>45644</v>
      </c>
      <c r="B153" s="72" t="s">
        <v>612</v>
      </c>
      <c r="C153" s="72" t="s">
        <v>8</v>
      </c>
      <c r="D153" s="72" t="s">
        <v>13</v>
      </c>
      <c r="E153" s="72" t="s">
        <v>56</v>
      </c>
      <c r="F153" s="72">
        <v>1</v>
      </c>
      <c r="G153" s="73">
        <f t="shared" si="28"/>
        <v>30</v>
      </c>
      <c r="H153" s="73">
        <f t="shared" si="25"/>
        <v>30</v>
      </c>
      <c r="I153" s="73">
        <f t="shared" si="26"/>
        <v>29.37</v>
      </c>
      <c r="J153" s="72" t="s">
        <v>866</v>
      </c>
      <c r="K153" s="74"/>
      <c r="M153" s="79" t="s">
        <v>13</v>
      </c>
      <c r="N153" s="76">
        <f t="shared" si="24"/>
        <v>12</v>
      </c>
      <c r="O153" s="110">
        <f>N153*F153</f>
        <v>12</v>
      </c>
      <c r="P153" s="112"/>
      <c r="R153" s="79"/>
      <c r="S153" s="76" t="e">
        <f t="shared" si="27"/>
        <v>#N/A</v>
      </c>
      <c r="T153" s="76"/>
      <c r="U153" s="112"/>
      <c r="AC153" s="91" t="s">
        <v>321</v>
      </c>
      <c r="AD153" s="92">
        <v>10</v>
      </c>
      <c r="AE153" s="92">
        <f t="shared" si="29"/>
        <v>1</v>
      </c>
    </row>
    <row r="154" spans="1:31" x14ac:dyDescent="0.25">
      <c r="A154" s="95">
        <v>45644</v>
      </c>
      <c r="B154" s="72" t="s">
        <v>497</v>
      </c>
      <c r="C154" s="72" t="s">
        <v>8</v>
      </c>
      <c r="D154" s="72" t="s">
        <v>18</v>
      </c>
      <c r="E154" s="72" t="s">
        <v>82</v>
      </c>
      <c r="F154" s="72">
        <v>1</v>
      </c>
      <c r="G154" s="73">
        <f t="shared" si="28"/>
        <v>40</v>
      </c>
      <c r="H154" s="73">
        <f t="shared" si="25"/>
        <v>40</v>
      </c>
      <c r="I154" s="73">
        <f t="shared" si="26"/>
        <v>38</v>
      </c>
      <c r="J154" s="72" t="s">
        <v>867</v>
      </c>
      <c r="K154" s="74"/>
      <c r="M154" s="79"/>
      <c r="N154" s="76" t="e">
        <f t="shared" si="24"/>
        <v>#N/A</v>
      </c>
      <c r="O154" s="110"/>
      <c r="P154" s="112"/>
      <c r="R154" s="79"/>
      <c r="S154" s="76" t="e">
        <f t="shared" si="27"/>
        <v>#N/A</v>
      </c>
      <c r="T154" s="76"/>
      <c r="U154" s="112"/>
      <c r="AC154" s="91" t="s">
        <v>323</v>
      </c>
      <c r="AD154" s="92">
        <v>10</v>
      </c>
      <c r="AE154" s="92">
        <f t="shared" si="29"/>
        <v>1</v>
      </c>
    </row>
    <row r="155" spans="1:31" x14ac:dyDescent="0.25">
      <c r="A155" s="95">
        <v>45644</v>
      </c>
      <c r="B155" s="72" t="s">
        <v>491</v>
      </c>
      <c r="C155" s="72" t="s">
        <v>8</v>
      </c>
      <c r="D155" s="72" t="s">
        <v>15</v>
      </c>
      <c r="E155" s="72" t="s">
        <v>82</v>
      </c>
      <c r="F155" s="72">
        <v>1</v>
      </c>
      <c r="G155" s="73">
        <f t="shared" si="28"/>
        <v>70</v>
      </c>
      <c r="H155" s="73">
        <f t="shared" si="25"/>
        <v>70</v>
      </c>
      <c r="I155" s="73">
        <f t="shared" si="26"/>
        <v>68.538749999999993</v>
      </c>
      <c r="J155" s="72" t="s">
        <v>868</v>
      </c>
      <c r="K155" s="74"/>
      <c r="M155" s="79"/>
      <c r="N155" s="76" t="e">
        <f t="shared" si="24"/>
        <v>#N/A</v>
      </c>
      <c r="O155" s="110"/>
      <c r="P155" s="112"/>
      <c r="R155" s="79"/>
      <c r="S155" s="76" t="e">
        <f t="shared" si="27"/>
        <v>#N/A</v>
      </c>
      <c r="T155" s="76"/>
      <c r="U155" s="112"/>
      <c r="AC155" s="91" t="s">
        <v>325</v>
      </c>
      <c r="AD155" s="92">
        <v>9.7609999999999992</v>
      </c>
      <c r="AE155" s="92">
        <f t="shared" si="29"/>
        <v>0.97609999999999997</v>
      </c>
    </row>
    <row r="156" spans="1:31" x14ac:dyDescent="0.25">
      <c r="A156" s="95">
        <v>45644</v>
      </c>
      <c r="B156" s="72" t="s">
        <v>854</v>
      </c>
      <c r="C156" s="72" t="s">
        <v>8</v>
      </c>
      <c r="D156" s="72" t="s">
        <v>13</v>
      </c>
      <c r="E156" s="72" t="s">
        <v>56</v>
      </c>
      <c r="F156" s="72">
        <v>1</v>
      </c>
      <c r="G156" s="73">
        <f t="shared" si="28"/>
        <v>30</v>
      </c>
      <c r="H156" s="73">
        <f t="shared" si="25"/>
        <v>30</v>
      </c>
      <c r="I156" s="73">
        <f t="shared" si="26"/>
        <v>30</v>
      </c>
      <c r="J156" s="72" t="s">
        <v>83</v>
      </c>
      <c r="K156" s="74"/>
      <c r="M156" s="79" t="s">
        <v>13</v>
      </c>
      <c r="N156" s="76">
        <f t="shared" si="24"/>
        <v>12</v>
      </c>
      <c r="O156" s="110">
        <f>N156*F156</f>
        <v>12</v>
      </c>
      <c r="P156" s="112"/>
      <c r="R156" s="79"/>
      <c r="S156" s="76" t="e">
        <f t="shared" si="27"/>
        <v>#N/A</v>
      </c>
      <c r="T156" s="76"/>
      <c r="U156" s="112"/>
      <c r="AC156" s="91" t="s">
        <v>326</v>
      </c>
      <c r="AD156" s="92">
        <v>9.5009999999999994</v>
      </c>
      <c r="AE156" s="92">
        <f t="shared" si="29"/>
        <v>0.95009999999999994</v>
      </c>
    </row>
    <row r="157" spans="1:31" x14ac:dyDescent="0.25">
      <c r="A157" s="95">
        <v>45644</v>
      </c>
      <c r="B157" s="72" t="s">
        <v>142</v>
      </c>
      <c r="C157" s="72" t="s">
        <v>8</v>
      </c>
      <c r="D157" s="72" t="s">
        <v>19</v>
      </c>
      <c r="E157" s="72" t="s">
        <v>56</v>
      </c>
      <c r="F157" s="72">
        <v>1</v>
      </c>
      <c r="G157" s="73">
        <v>0</v>
      </c>
      <c r="H157" s="73">
        <f t="shared" si="25"/>
        <v>0</v>
      </c>
      <c r="I157" s="73">
        <f t="shared" si="26"/>
        <v>0</v>
      </c>
      <c r="J157" s="72" t="s">
        <v>83</v>
      </c>
      <c r="K157" s="74"/>
      <c r="M157" s="79" t="s">
        <v>19</v>
      </c>
      <c r="N157" s="76">
        <f t="shared" si="24"/>
        <v>16</v>
      </c>
      <c r="O157" s="110">
        <f>N157*F157</f>
        <v>16</v>
      </c>
      <c r="P157" s="112"/>
      <c r="Q157" s="106"/>
      <c r="R157" s="79"/>
      <c r="S157" s="76" t="e">
        <f t="shared" si="27"/>
        <v>#N/A</v>
      </c>
      <c r="T157" s="76"/>
      <c r="U157" s="112"/>
      <c r="AC157" s="91" t="s">
        <v>327</v>
      </c>
      <c r="AD157" s="92">
        <v>5</v>
      </c>
      <c r="AE157" s="92">
        <f t="shared" si="29"/>
        <v>0.5</v>
      </c>
    </row>
    <row r="158" spans="1:31" x14ac:dyDescent="0.25">
      <c r="A158" s="95">
        <v>45644</v>
      </c>
      <c r="B158" s="72" t="s">
        <v>414</v>
      </c>
      <c r="C158" s="72" t="s">
        <v>8</v>
      </c>
      <c r="D158" s="72" t="s">
        <v>916</v>
      </c>
      <c r="E158" s="72" t="s">
        <v>56</v>
      </c>
      <c r="F158" s="72">
        <v>1</v>
      </c>
      <c r="G158" s="73">
        <f t="shared" ref="G158:G173" si="30">VLOOKUP(D158,$W$3:$X$72,2,0)</f>
        <v>50</v>
      </c>
      <c r="H158" s="73">
        <f t="shared" si="25"/>
        <v>50</v>
      </c>
      <c r="I158" s="73">
        <f t="shared" si="26"/>
        <v>50</v>
      </c>
      <c r="J158" s="72" t="s">
        <v>83</v>
      </c>
      <c r="K158" s="74"/>
      <c r="M158" s="79" t="s">
        <v>916</v>
      </c>
      <c r="N158" s="76">
        <f t="shared" si="24"/>
        <v>20</v>
      </c>
      <c r="O158" s="110">
        <f>N158*F158</f>
        <v>20</v>
      </c>
      <c r="P158" s="112"/>
      <c r="R158" s="79"/>
      <c r="S158" s="76" t="e">
        <f t="shared" si="27"/>
        <v>#N/A</v>
      </c>
      <c r="T158" s="76"/>
      <c r="U158" s="112"/>
      <c r="AC158" s="91" t="s">
        <v>329</v>
      </c>
      <c r="AD158" s="92">
        <v>5</v>
      </c>
      <c r="AE158" s="92">
        <f t="shared" si="29"/>
        <v>0.5</v>
      </c>
    </row>
    <row r="159" spans="1:31" x14ac:dyDescent="0.25">
      <c r="A159" s="95">
        <v>45644</v>
      </c>
      <c r="B159" s="72" t="s">
        <v>517</v>
      </c>
      <c r="C159" s="72" t="s">
        <v>8</v>
      </c>
      <c r="D159" s="72" t="s">
        <v>18</v>
      </c>
      <c r="E159" s="72" t="s">
        <v>82</v>
      </c>
      <c r="F159" s="72">
        <v>1</v>
      </c>
      <c r="G159" s="73">
        <f t="shared" si="30"/>
        <v>40</v>
      </c>
      <c r="H159" s="73">
        <f t="shared" si="25"/>
        <v>40</v>
      </c>
      <c r="I159" s="73">
        <f t="shared" si="26"/>
        <v>40</v>
      </c>
      <c r="J159" s="72" t="s">
        <v>79</v>
      </c>
      <c r="K159" s="74"/>
      <c r="M159" s="79"/>
      <c r="N159" s="76" t="e">
        <f t="shared" ref="N159:N190" si="31">VLOOKUP(M159,$W$3:$Y$72,3,0)</f>
        <v>#N/A</v>
      </c>
      <c r="O159" s="110"/>
      <c r="P159" s="112"/>
      <c r="R159" s="79"/>
      <c r="S159" s="76" t="e">
        <f t="shared" si="27"/>
        <v>#N/A</v>
      </c>
      <c r="T159" s="76"/>
      <c r="U159" s="112"/>
      <c r="AC159" s="91" t="s">
        <v>330</v>
      </c>
      <c r="AD159" s="92">
        <v>4.8804999999999996</v>
      </c>
      <c r="AE159" s="92">
        <f t="shared" si="29"/>
        <v>0.48804999999999998</v>
      </c>
    </row>
    <row r="160" spans="1:31" x14ac:dyDescent="0.25">
      <c r="A160" s="95">
        <v>45644</v>
      </c>
      <c r="B160" s="72" t="s">
        <v>511</v>
      </c>
      <c r="C160" s="72" t="s">
        <v>8</v>
      </c>
      <c r="D160" s="72" t="s">
        <v>916</v>
      </c>
      <c r="E160" s="72" t="s">
        <v>82</v>
      </c>
      <c r="F160" s="72">
        <v>1</v>
      </c>
      <c r="G160" s="73">
        <f t="shared" si="30"/>
        <v>50</v>
      </c>
      <c r="H160" s="73">
        <f t="shared" si="25"/>
        <v>50</v>
      </c>
      <c r="I160" s="73">
        <f t="shared" si="26"/>
        <v>47.5</v>
      </c>
      <c r="J160" s="72" t="s">
        <v>867</v>
      </c>
      <c r="K160" s="74"/>
      <c r="M160" s="79"/>
      <c r="N160" s="76" t="e">
        <f t="shared" si="31"/>
        <v>#N/A</v>
      </c>
      <c r="O160" s="110"/>
      <c r="P160" s="112"/>
      <c r="R160" s="79"/>
      <c r="S160" s="76" t="e">
        <f t="shared" si="27"/>
        <v>#N/A</v>
      </c>
      <c r="T160" s="76"/>
      <c r="U160" s="112"/>
      <c r="AC160" s="91" t="s">
        <v>331</v>
      </c>
      <c r="AD160" s="92">
        <v>4.7504999999999997</v>
      </c>
      <c r="AE160" s="92">
        <f t="shared" si="29"/>
        <v>0.47504999999999997</v>
      </c>
    </row>
    <row r="161" spans="1:32" x14ac:dyDescent="0.25">
      <c r="A161" s="95">
        <v>45644</v>
      </c>
      <c r="B161" s="72" t="s">
        <v>533</v>
      </c>
      <c r="C161" s="72" t="s">
        <v>8</v>
      </c>
      <c r="D161" s="72" t="s">
        <v>18</v>
      </c>
      <c r="E161" s="72" t="s">
        <v>82</v>
      </c>
      <c r="F161" s="72">
        <v>1</v>
      </c>
      <c r="G161" s="73">
        <f t="shared" si="30"/>
        <v>40</v>
      </c>
      <c r="H161" s="73">
        <f t="shared" si="25"/>
        <v>40</v>
      </c>
      <c r="I161" s="73">
        <f t="shared" si="26"/>
        <v>40</v>
      </c>
      <c r="J161" s="72" t="s">
        <v>83</v>
      </c>
      <c r="K161" s="74"/>
      <c r="M161" s="79"/>
      <c r="N161" s="76" t="e">
        <f t="shared" si="31"/>
        <v>#N/A</v>
      </c>
      <c r="O161" s="110"/>
      <c r="P161" s="112"/>
      <c r="R161" s="79"/>
      <c r="S161" s="76" t="e">
        <f t="shared" si="27"/>
        <v>#N/A</v>
      </c>
      <c r="T161" s="76"/>
      <c r="U161" s="112"/>
      <c r="AC161" s="91" t="s">
        <v>334</v>
      </c>
      <c r="AD161" s="92">
        <v>7</v>
      </c>
      <c r="AE161" s="92">
        <f t="shared" si="29"/>
        <v>0.70000000000000007</v>
      </c>
    </row>
    <row r="162" spans="1:32" x14ac:dyDescent="0.25">
      <c r="A162" s="95">
        <v>45644</v>
      </c>
      <c r="B162" s="72" t="s">
        <v>712</v>
      </c>
      <c r="C162" s="72" t="s">
        <v>8</v>
      </c>
      <c r="D162" s="72" t="s">
        <v>37</v>
      </c>
      <c r="E162" s="72" t="s">
        <v>82</v>
      </c>
      <c r="F162" s="72">
        <v>1</v>
      </c>
      <c r="G162" s="73">
        <f t="shared" si="30"/>
        <v>7</v>
      </c>
      <c r="H162" s="73">
        <f t="shared" si="25"/>
        <v>7</v>
      </c>
      <c r="I162" s="73">
        <f t="shared" si="26"/>
        <v>7</v>
      </c>
      <c r="J162" s="72" t="s">
        <v>83</v>
      </c>
      <c r="K162" s="74"/>
      <c r="M162" s="79"/>
      <c r="N162" s="76" t="e">
        <f t="shared" si="31"/>
        <v>#N/A</v>
      </c>
      <c r="O162" s="110"/>
      <c r="P162" s="112"/>
      <c r="R162" s="79"/>
      <c r="S162" s="76" t="e">
        <f t="shared" si="27"/>
        <v>#N/A</v>
      </c>
      <c r="T162" s="76"/>
      <c r="U162" s="112"/>
      <c r="AC162" s="91" t="s">
        <v>335</v>
      </c>
      <c r="AD162" s="92">
        <v>7</v>
      </c>
      <c r="AE162" s="92">
        <f t="shared" si="29"/>
        <v>0.70000000000000007</v>
      </c>
    </row>
    <row r="163" spans="1:32" x14ac:dyDescent="0.25">
      <c r="A163" s="95">
        <v>45644</v>
      </c>
      <c r="B163" s="72" t="s">
        <v>949</v>
      </c>
      <c r="C163" s="72" t="s">
        <v>8</v>
      </c>
      <c r="D163" s="72" t="s">
        <v>778</v>
      </c>
      <c r="E163" s="72" t="s">
        <v>82</v>
      </c>
      <c r="F163" s="72">
        <v>1</v>
      </c>
      <c r="G163" s="73">
        <f t="shared" si="30"/>
        <v>2.5</v>
      </c>
      <c r="H163" s="73">
        <f t="shared" si="25"/>
        <v>2.5</v>
      </c>
      <c r="I163" s="73">
        <f t="shared" si="26"/>
        <v>2.5</v>
      </c>
      <c r="J163" s="72" t="s">
        <v>83</v>
      </c>
      <c r="K163" s="74"/>
      <c r="M163" s="79"/>
      <c r="N163" s="76" t="e">
        <f t="shared" si="31"/>
        <v>#N/A</v>
      </c>
      <c r="O163" s="110"/>
      <c r="P163" s="112"/>
      <c r="R163" s="79"/>
      <c r="S163" s="76" t="e">
        <f t="shared" si="27"/>
        <v>#N/A</v>
      </c>
      <c r="T163" s="76"/>
      <c r="U163" s="112"/>
      <c r="AC163" s="91" t="s">
        <v>337</v>
      </c>
      <c r="AD163" s="92">
        <v>6.8327</v>
      </c>
      <c r="AE163" s="92">
        <f t="shared" si="29"/>
        <v>0.68327000000000004</v>
      </c>
    </row>
    <row r="164" spans="1:32" x14ac:dyDescent="0.25">
      <c r="A164" s="95">
        <v>45644</v>
      </c>
      <c r="B164" s="72"/>
      <c r="C164" s="72" t="s">
        <v>10</v>
      </c>
      <c r="D164" s="72" t="s">
        <v>18</v>
      </c>
      <c r="E164" s="72" t="s">
        <v>913</v>
      </c>
      <c r="F164" s="72">
        <v>2</v>
      </c>
      <c r="G164" s="73">
        <f t="shared" si="30"/>
        <v>40</v>
      </c>
      <c r="H164" s="73">
        <f t="shared" si="25"/>
        <v>80</v>
      </c>
      <c r="I164" s="73">
        <f t="shared" si="26"/>
        <v>80</v>
      </c>
      <c r="J164" s="72" t="s">
        <v>83</v>
      </c>
      <c r="K164" s="74"/>
      <c r="M164" s="79"/>
      <c r="N164" s="76" t="e">
        <f t="shared" si="31"/>
        <v>#N/A</v>
      </c>
      <c r="O164" s="110"/>
      <c r="P164" s="112"/>
      <c r="R164" s="79" t="s">
        <v>18</v>
      </c>
      <c r="S164" s="76">
        <f t="shared" si="27"/>
        <v>16</v>
      </c>
      <c r="T164" s="76">
        <f>S164*F164</f>
        <v>32</v>
      </c>
      <c r="U164" s="112"/>
      <c r="AC164" s="91" t="s">
        <v>339</v>
      </c>
      <c r="AD164" s="92">
        <v>6.6506999999999996</v>
      </c>
      <c r="AE164" s="92">
        <f t="shared" si="29"/>
        <v>0.66507000000000005</v>
      </c>
    </row>
    <row r="165" spans="1:32" x14ac:dyDescent="0.25">
      <c r="A165" s="95">
        <v>45645</v>
      </c>
      <c r="B165" s="72" t="s">
        <v>397</v>
      </c>
      <c r="C165" s="72" t="s">
        <v>8</v>
      </c>
      <c r="D165" s="72" t="s">
        <v>18</v>
      </c>
      <c r="E165" s="72" t="s">
        <v>56</v>
      </c>
      <c r="F165" s="72">
        <v>1</v>
      </c>
      <c r="G165" s="73">
        <f t="shared" si="30"/>
        <v>40</v>
      </c>
      <c r="H165" s="73">
        <f t="shared" si="25"/>
        <v>40</v>
      </c>
      <c r="I165" s="73">
        <f t="shared" si="26"/>
        <v>40</v>
      </c>
      <c r="J165" s="72" t="s">
        <v>79</v>
      </c>
      <c r="K165" s="74"/>
      <c r="M165" s="79" t="s">
        <v>18</v>
      </c>
      <c r="N165" s="76">
        <f t="shared" si="31"/>
        <v>16</v>
      </c>
      <c r="O165" s="110">
        <f>N165*F165</f>
        <v>16</v>
      </c>
      <c r="P165" s="112"/>
      <c r="R165" s="79"/>
      <c r="S165" s="76" t="e">
        <f t="shared" si="27"/>
        <v>#N/A</v>
      </c>
      <c r="T165" s="76"/>
      <c r="U165" s="112"/>
      <c r="AC165" s="91" t="s">
        <v>341</v>
      </c>
      <c r="AD165" s="92">
        <v>3.5</v>
      </c>
      <c r="AE165" s="92">
        <f t="shared" si="29"/>
        <v>0.35000000000000003</v>
      </c>
    </row>
    <row r="166" spans="1:32" x14ac:dyDescent="0.25">
      <c r="A166" s="95">
        <v>45645</v>
      </c>
      <c r="B166" s="72" t="s">
        <v>950</v>
      </c>
      <c r="C166" s="72" t="s">
        <v>8</v>
      </c>
      <c r="D166" s="72" t="s">
        <v>18</v>
      </c>
      <c r="E166" s="72" t="s">
        <v>82</v>
      </c>
      <c r="F166" s="72">
        <v>1</v>
      </c>
      <c r="G166" s="73">
        <f t="shared" si="30"/>
        <v>40</v>
      </c>
      <c r="H166" s="73">
        <f t="shared" si="25"/>
        <v>40</v>
      </c>
      <c r="I166" s="73">
        <f t="shared" si="26"/>
        <v>38.14</v>
      </c>
      <c r="J166" s="72" t="s">
        <v>865</v>
      </c>
      <c r="K166" s="74"/>
      <c r="M166" s="79"/>
      <c r="N166" s="76" t="e">
        <f t="shared" si="31"/>
        <v>#N/A</v>
      </c>
      <c r="O166" s="110"/>
      <c r="P166" s="112"/>
      <c r="R166" s="79"/>
      <c r="S166" s="76" t="e">
        <f t="shared" si="27"/>
        <v>#N/A</v>
      </c>
      <c r="T166" s="76"/>
      <c r="U166" s="112"/>
      <c r="AC166" s="91" t="s">
        <v>343</v>
      </c>
      <c r="AD166" s="92">
        <v>3.5</v>
      </c>
      <c r="AE166" s="92">
        <f t="shared" si="29"/>
        <v>0.35000000000000003</v>
      </c>
    </row>
    <row r="167" spans="1:32" x14ac:dyDescent="0.25">
      <c r="A167" s="95">
        <v>45645</v>
      </c>
      <c r="B167" s="72" t="s">
        <v>950</v>
      </c>
      <c r="C167" s="72" t="s">
        <v>8</v>
      </c>
      <c r="D167" s="72" t="s">
        <v>18</v>
      </c>
      <c r="E167" s="72" t="s">
        <v>56</v>
      </c>
      <c r="F167" s="72">
        <v>1</v>
      </c>
      <c r="G167" s="73">
        <f t="shared" si="30"/>
        <v>40</v>
      </c>
      <c r="H167" s="73">
        <f t="shared" si="25"/>
        <v>40</v>
      </c>
      <c r="I167" s="73">
        <f t="shared" si="26"/>
        <v>38</v>
      </c>
      <c r="J167" s="72" t="s">
        <v>867</v>
      </c>
      <c r="K167" s="74"/>
      <c r="M167" s="79" t="s">
        <v>18</v>
      </c>
      <c r="N167" s="76">
        <f t="shared" si="31"/>
        <v>16</v>
      </c>
      <c r="O167" s="110">
        <f>N167*F167</f>
        <v>16</v>
      </c>
      <c r="P167" s="112"/>
      <c r="R167" s="79"/>
      <c r="S167" s="76" t="e">
        <f t="shared" si="27"/>
        <v>#N/A</v>
      </c>
      <c r="T167" s="76"/>
      <c r="U167" s="112"/>
      <c r="AC167" s="91" t="s">
        <v>345</v>
      </c>
      <c r="AD167" s="92">
        <v>3.41635</v>
      </c>
      <c r="AE167" s="92">
        <f t="shared" si="29"/>
        <v>0.34163500000000002</v>
      </c>
    </row>
    <row r="168" spans="1:32" x14ac:dyDescent="0.25">
      <c r="A168" s="95">
        <v>45645</v>
      </c>
      <c r="B168" s="72" t="s">
        <v>476</v>
      </c>
      <c r="C168" s="72" t="s">
        <v>8</v>
      </c>
      <c r="D168" s="72" t="s">
        <v>916</v>
      </c>
      <c r="E168" s="72" t="s">
        <v>82</v>
      </c>
      <c r="F168" s="72">
        <v>1</v>
      </c>
      <c r="G168" s="73">
        <f t="shared" si="30"/>
        <v>50</v>
      </c>
      <c r="H168" s="73">
        <f t="shared" si="25"/>
        <v>50</v>
      </c>
      <c r="I168" s="73">
        <f t="shared" si="26"/>
        <v>50</v>
      </c>
      <c r="J168" s="72" t="s">
        <v>83</v>
      </c>
      <c r="K168" s="74"/>
      <c r="M168" s="79"/>
      <c r="N168" s="76" t="e">
        <f t="shared" si="31"/>
        <v>#N/A</v>
      </c>
      <c r="O168" s="110"/>
      <c r="P168" s="112"/>
      <c r="R168" s="79"/>
      <c r="S168" s="76" t="e">
        <f t="shared" si="27"/>
        <v>#N/A</v>
      </c>
      <c r="T168" s="76"/>
      <c r="U168" s="112"/>
      <c r="AC168" s="91" t="s">
        <v>347</v>
      </c>
      <c r="AD168" s="92">
        <v>3.3253499999999998</v>
      </c>
      <c r="AE168" s="92">
        <f t="shared" si="29"/>
        <v>0.33253500000000003</v>
      </c>
    </row>
    <row r="169" spans="1:32" x14ac:dyDescent="0.25">
      <c r="A169" s="95">
        <v>45645</v>
      </c>
      <c r="B169" s="72" t="s">
        <v>662</v>
      </c>
      <c r="C169" s="72" t="s">
        <v>8</v>
      </c>
      <c r="D169" s="72" t="s">
        <v>15</v>
      </c>
      <c r="E169" s="72" t="s">
        <v>82</v>
      </c>
      <c r="F169" s="72">
        <v>1</v>
      </c>
      <c r="G169" s="73">
        <f t="shared" si="30"/>
        <v>70</v>
      </c>
      <c r="H169" s="73">
        <f t="shared" si="25"/>
        <v>70</v>
      </c>
      <c r="I169" s="73">
        <f t="shared" si="26"/>
        <v>70</v>
      </c>
      <c r="J169" s="72" t="s">
        <v>83</v>
      </c>
      <c r="K169" s="74"/>
      <c r="M169" s="79"/>
      <c r="N169" s="76" t="e">
        <f t="shared" si="31"/>
        <v>#N/A</v>
      </c>
      <c r="O169" s="110"/>
      <c r="P169" s="112"/>
      <c r="R169" s="79"/>
      <c r="S169" s="76" t="e">
        <f t="shared" si="27"/>
        <v>#N/A</v>
      </c>
      <c r="T169" s="76"/>
      <c r="U169" s="112"/>
      <c r="AC169" s="91" t="s">
        <v>348</v>
      </c>
      <c r="AD169" s="92">
        <v>5</v>
      </c>
      <c r="AE169" s="92">
        <f t="shared" si="29"/>
        <v>0.5</v>
      </c>
    </row>
    <row r="170" spans="1:32" x14ac:dyDescent="0.25">
      <c r="A170" s="95">
        <v>45645</v>
      </c>
      <c r="B170" s="72" t="s">
        <v>702</v>
      </c>
      <c r="C170" s="72" t="s">
        <v>8</v>
      </c>
      <c r="D170" s="72" t="s">
        <v>916</v>
      </c>
      <c r="E170" s="72" t="s">
        <v>56</v>
      </c>
      <c r="F170" s="72">
        <v>1</v>
      </c>
      <c r="G170" s="73">
        <f t="shared" si="30"/>
        <v>50</v>
      </c>
      <c r="H170" s="73">
        <f t="shared" si="25"/>
        <v>50</v>
      </c>
      <c r="I170" s="73">
        <f t="shared" si="26"/>
        <v>50</v>
      </c>
      <c r="J170" s="72" t="s">
        <v>79</v>
      </c>
      <c r="K170" s="74"/>
      <c r="M170" s="79" t="s">
        <v>916</v>
      </c>
      <c r="N170" s="76">
        <f t="shared" si="31"/>
        <v>20</v>
      </c>
      <c r="O170" s="110">
        <f>N170*F170</f>
        <v>20</v>
      </c>
      <c r="P170" s="112"/>
      <c r="R170" s="79"/>
      <c r="S170" s="76" t="e">
        <f t="shared" si="27"/>
        <v>#N/A</v>
      </c>
      <c r="T170" s="76"/>
      <c r="U170" s="112"/>
      <c r="AC170" s="91" t="s">
        <v>349</v>
      </c>
      <c r="AD170" s="92">
        <v>5</v>
      </c>
      <c r="AE170" s="92">
        <f t="shared" si="29"/>
        <v>0.5</v>
      </c>
    </row>
    <row r="171" spans="1:32" x14ac:dyDescent="0.25">
      <c r="A171" s="95">
        <v>45645</v>
      </c>
      <c r="B171" s="72" t="s">
        <v>509</v>
      </c>
      <c r="C171" s="72" t="s">
        <v>10</v>
      </c>
      <c r="D171" s="72" t="s">
        <v>13</v>
      </c>
      <c r="E171" s="72" t="s">
        <v>56</v>
      </c>
      <c r="F171" s="72">
        <v>1</v>
      </c>
      <c r="G171" s="73">
        <f t="shared" si="30"/>
        <v>30</v>
      </c>
      <c r="H171" s="73">
        <f t="shared" si="25"/>
        <v>30</v>
      </c>
      <c r="I171" s="73">
        <f t="shared" si="26"/>
        <v>29.37</v>
      </c>
      <c r="J171" s="72" t="s">
        <v>866</v>
      </c>
      <c r="K171" s="74"/>
      <c r="M171" s="79" t="s">
        <v>13</v>
      </c>
      <c r="N171" s="76">
        <f t="shared" si="31"/>
        <v>12</v>
      </c>
      <c r="O171" s="110">
        <f>N171*F171</f>
        <v>12</v>
      </c>
      <c r="P171" s="112"/>
      <c r="R171" s="79"/>
      <c r="S171" s="76" t="e">
        <f t="shared" si="27"/>
        <v>#N/A</v>
      </c>
      <c r="T171" s="76"/>
      <c r="U171" s="112"/>
      <c r="AC171" s="91" t="s">
        <v>351</v>
      </c>
      <c r="AD171" s="92">
        <v>4.8804999999999996</v>
      </c>
      <c r="AE171" s="92">
        <f t="shared" si="29"/>
        <v>0.48804999999999998</v>
      </c>
    </row>
    <row r="172" spans="1:32" x14ac:dyDescent="0.25">
      <c r="A172" s="95">
        <v>45645</v>
      </c>
      <c r="B172" s="72" t="s">
        <v>532</v>
      </c>
      <c r="C172" s="72" t="s">
        <v>10</v>
      </c>
      <c r="D172" s="72" t="s">
        <v>18</v>
      </c>
      <c r="E172" s="72" t="s">
        <v>56</v>
      </c>
      <c r="F172" s="72">
        <v>1</v>
      </c>
      <c r="G172" s="73">
        <f t="shared" si="30"/>
        <v>40</v>
      </c>
      <c r="H172" s="73">
        <f t="shared" si="25"/>
        <v>40</v>
      </c>
      <c r="I172" s="73">
        <f t="shared" si="26"/>
        <v>39.159999999999997</v>
      </c>
      <c r="J172" s="72" t="s">
        <v>866</v>
      </c>
      <c r="K172" s="74"/>
      <c r="M172" s="79" t="s">
        <v>18</v>
      </c>
      <c r="N172" s="76">
        <f t="shared" si="31"/>
        <v>16</v>
      </c>
      <c r="O172" s="110">
        <f>N172*F172</f>
        <v>16</v>
      </c>
      <c r="P172" s="112"/>
      <c r="R172" s="79"/>
      <c r="S172" s="76" t="e">
        <f t="shared" si="27"/>
        <v>#N/A</v>
      </c>
      <c r="T172" s="76"/>
      <c r="U172" s="112"/>
      <c r="AC172" s="91" t="s">
        <v>352</v>
      </c>
      <c r="AD172" s="92">
        <v>4.7504999999999997</v>
      </c>
      <c r="AE172" s="92">
        <f t="shared" si="29"/>
        <v>0.47504999999999997</v>
      </c>
    </row>
    <row r="173" spans="1:32" x14ac:dyDescent="0.25">
      <c r="A173" s="95">
        <v>45645</v>
      </c>
      <c r="B173" s="72" t="s">
        <v>289</v>
      </c>
      <c r="C173" s="72" t="s">
        <v>8</v>
      </c>
      <c r="D173" s="72" t="s">
        <v>15</v>
      </c>
      <c r="E173" s="72" t="s">
        <v>82</v>
      </c>
      <c r="F173" s="72">
        <v>1</v>
      </c>
      <c r="G173" s="73">
        <f t="shared" si="30"/>
        <v>70</v>
      </c>
      <c r="H173" s="73">
        <f t="shared" si="25"/>
        <v>70</v>
      </c>
      <c r="I173" s="73">
        <f t="shared" si="26"/>
        <v>68.538749999999993</v>
      </c>
      <c r="J173" s="72" t="s">
        <v>868</v>
      </c>
      <c r="K173" s="74"/>
      <c r="M173" s="79"/>
      <c r="N173" s="76" t="e">
        <f t="shared" si="31"/>
        <v>#N/A</v>
      </c>
      <c r="O173" s="110"/>
      <c r="P173" s="112"/>
      <c r="R173" s="79"/>
      <c r="S173" s="76" t="e">
        <f t="shared" si="27"/>
        <v>#N/A</v>
      </c>
      <c r="T173" s="76"/>
      <c r="U173" s="112"/>
      <c r="AC173" s="91" t="s">
        <v>353</v>
      </c>
      <c r="AD173" s="92">
        <v>7</v>
      </c>
      <c r="AE173" s="92">
        <f t="shared" si="29"/>
        <v>0.70000000000000007</v>
      </c>
    </row>
    <row r="174" spans="1:32" x14ac:dyDescent="0.25">
      <c r="A174" s="95">
        <v>45645</v>
      </c>
      <c r="B174" s="72" t="s">
        <v>289</v>
      </c>
      <c r="C174" s="72" t="s">
        <v>8</v>
      </c>
      <c r="D174" s="72" t="s">
        <v>121</v>
      </c>
      <c r="E174" s="72" t="s">
        <v>82</v>
      </c>
      <c r="F174" s="72">
        <v>1</v>
      </c>
      <c r="G174" s="73">
        <v>200</v>
      </c>
      <c r="H174" s="73">
        <f t="shared" si="25"/>
        <v>200</v>
      </c>
      <c r="I174" s="73">
        <f t="shared" si="26"/>
        <v>195.82499999999999</v>
      </c>
      <c r="J174" s="72" t="s">
        <v>868</v>
      </c>
      <c r="K174" s="74"/>
      <c r="M174" s="79"/>
      <c r="N174" s="76" t="e">
        <f t="shared" si="31"/>
        <v>#N/A</v>
      </c>
      <c r="O174" s="110"/>
      <c r="P174" s="112"/>
      <c r="R174" s="79"/>
      <c r="S174" s="76" t="e">
        <f t="shared" si="27"/>
        <v>#N/A</v>
      </c>
      <c r="T174" s="76"/>
      <c r="U174" s="112"/>
      <c r="AC174" s="91" t="s">
        <v>355</v>
      </c>
      <c r="AD174" s="92">
        <v>7</v>
      </c>
      <c r="AE174" s="92">
        <f t="shared" si="29"/>
        <v>0.70000000000000007</v>
      </c>
    </row>
    <row r="175" spans="1:32" x14ac:dyDescent="0.25">
      <c r="A175" s="95">
        <v>45645</v>
      </c>
      <c r="B175" s="72" t="s">
        <v>670</v>
      </c>
      <c r="C175" s="72" t="s">
        <v>8</v>
      </c>
      <c r="D175" s="72" t="s">
        <v>13</v>
      </c>
      <c r="E175" s="72" t="s">
        <v>82</v>
      </c>
      <c r="F175" s="72">
        <v>1</v>
      </c>
      <c r="G175" s="73">
        <f>VLOOKUP(D175,$W$3:$X$72,2,0)</f>
        <v>30</v>
      </c>
      <c r="H175" s="73">
        <f t="shared" si="25"/>
        <v>30</v>
      </c>
      <c r="I175" s="73">
        <f t="shared" si="26"/>
        <v>30</v>
      </c>
      <c r="J175" s="72" t="s">
        <v>83</v>
      </c>
      <c r="K175" s="74"/>
      <c r="M175" s="72"/>
      <c r="N175" s="76" t="e">
        <f t="shared" si="31"/>
        <v>#N/A</v>
      </c>
      <c r="O175" s="110"/>
      <c r="P175" s="112"/>
      <c r="Q175" s="106"/>
      <c r="R175" s="72"/>
      <c r="S175" s="76" t="e">
        <f t="shared" si="27"/>
        <v>#N/A</v>
      </c>
      <c r="T175" s="76"/>
      <c r="U175" s="112"/>
      <c r="AC175" s="91" t="s">
        <v>357</v>
      </c>
      <c r="AD175" s="92">
        <v>6.8327</v>
      </c>
      <c r="AE175" s="92">
        <f t="shared" si="29"/>
        <v>0.68327000000000004</v>
      </c>
    </row>
    <row r="176" spans="1:32" x14ac:dyDescent="0.25">
      <c r="A176" s="95">
        <v>45645</v>
      </c>
      <c r="B176" s="72" t="s">
        <v>670</v>
      </c>
      <c r="C176" s="72" t="s">
        <v>8</v>
      </c>
      <c r="D176" s="72" t="s">
        <v>60</v>
      </c>
      <c r="E176" s="72" t="s">
        <v>82</v>
      </c>
      <c r="F176" s="72">
        <v>1</v>
      </c>
      <c r="G176" s="73">
        <v>100</v>
      </c>
      <c r="H176" s="73">
        <f t="shared" si="25"/>
        <v>100</v>
      </c>
      <c r="I176" s="73">
        <f t="shared" si="26"/>
        <v>100</v>
      </c>
      <c r="J176" s="72" t="s">
        <v>83</v>
      </c>
      <c r="K176" s="74"/>
      <c r="M176" s="79"/>
      <c r="N176" s="76" t="e">
        <f t="shared" si="31"/>
        <v>#N/A</v>
      </c>
      <c r="O176" s="110"/>
      <c r="P176" s="112"/>
      <c r="R176" s="79"/>
      <c r="S176" s="76" t="e">
        <f t="shared" si="27"/>
        <v>#N/A</v>
      </c>
      <c r="T176" s="76"/>
      <c r="U176" s="112"/>
      <c r="AC176" s="91" t="s">
        <v>368</v>
      </c>
      <c r="AD176" s="92">
        <v>3.5</v>
      </c>
      <c r="AE176" s="92">
        <f t="shared" si="29"/>
        <v>0.35000000000000003</v>
      </c>
      <c r="AF176" s="92"/>
    </row>
    <row r="177" spans="1:31" x14ac:dyDescent="0.25">
      <c r="A177" s="95">
        <v>45645</v>
      </c>
      <c r="B177" s="72" t="s">
        <v>670</v>
      </c>
      <c r="C177" s="72" t="s">
        <v>8</v>
      </c>
      <c r="D177" s="72" t="s">
        <v>36</v>
      </c>
      <c r="E177" s="72" t="s">
        <v>82</v>
      </c>
      <c r="F177" s="72">
        <v>1</v>
      </c>
      <c r="G177" s="73">
        <f t="shared" ref="G177:G194" si="32">VLOOKUP(D177,$W$3:$X$72,2,0)</f>
        <v>30</v>
      </c>
      <c r="H177" s="73">
        <f t="shared" si="25"/>
        <v>30</v>
      </c>
      <c r="I177" s="73">
        <f t="shared" si="26"/>
        <v>30</v>
      </c>
      <c r="J177" s="72" t="s">
        <v>83</v>
      </c>
      <c r="K177" s="74"/>
      <c r="M177" s="79"/>
      <c r="N177" s="76" t="e">
        <f t="shared" si="31"/>
        <v>#N/A</v>
      </c>
      <c r="O177" s="110"/>
      <c r="P177" s="112"/>
      <c r="R177" s="79"/>
      <c r="S177" s="76" t="e">
        <f t="shared" si="27"/>
        <v>#N/A</v>
      </c>
      <c r="T177" s="76"/>
      <c r="U177" s="112"/>
      <c r="AC177" s="91" t="s">
        <v>370</v>
      </c>
      <c r="AD177" s="92">
        <v>3.5</v>
      </c>
      <c r="AE177" s="92">
        <f t="shared" si="29"/>
        <v>0.35000000000000003</v>
      </c>
    </row>
    <row r="178" spans="1:31" x14ac:dyDescent="0.25">
      <c r="A178" s="95">
        <v>45645</v>
      </c>
      <c r="B178" s="72" t="s">
        <v>951</v>
      </c>
      <c r="C178" s="72" t="s">
        <v>10</v>
      </c>
      <c r="D178" s="72" t="s">
        <v>18</v>
      </c>
      <c r="E178" s="72" t="s">
        <v>913</v>
      </c>
      <c r="F178" s="72">
        <v>1</v>
      </c>
      <c r="G178" s="73">
        <f t="shared" si="32"/>
        <v>40</v>
      </c>
      <c r="H178" s="73">
        <f t="shared" si="25"/>
        <v>40</v>
      </c>
      <c r="I178" s="73">
        <f t="shared" si="26"/>
        <v>39.164999999999999</v>
      </c>
      <c r="J178" s="72" t="s">
        <v>868</v>
      </c>
      <c r="K178" s="74"/>
      <c r="M178" s="79"/>
      <c r="N178" s="76" t="e">
        <f t="shared" si="31"/>
        <v>#N/A</v>
      </c>
      <c r="O178" s="110"/>
      <c r="P178" s="112"/>
      <c r="R178" s="79" t="s">
        <v>18</v>
      </c>
      <c r="S178" s="76">
        <f t="shared" si="27"/>
        <v>16</v>
      </c>
      <c r="T178" s="76">
        <f>S178*F178</f>
        <v>16</v>
      </c>
      <c r="U178" s="112"/>
      <c r="AC178" s="91" t="s">
        <v>372</v>
      </c>
      <c r="AD178" s="92">
        <v>3.41635</v>
      </c>
      <c r="AE178" s="92">
        <f t="shared" si="29"/>
        <v>0.34163500000000002</v>
      </c>
    </row>
    <row r="179" spans="1:31" x14ac:dyDescent="0.25">
      <c r="A179" s="95">
        <v>45645</v>
      </c>
      <c r="B179" s="72" t="s">
        <v>511</v>
      </c>
      <c r="C179" s="72" t="s">
        <v>8</v>
      </c>
      <c r="D179" s="72" t="s">
        <v>13</v>
      </c>
      <c r="E179" s="72" t="s">
        <v>56</v>
      </c>
      <c r="F179" s="72">
        <v>1</v>
      </c>
      <c r="G179" s="73">
        <f t="shared" si="32"/>
        <v>30</v>
      </c>
      <c r="H179" s="73">
        <f t="shared" si="25"/>
        <v>30</v>
      </c>
      <c r="I179" s="73">
        <f t="shared" si="26"/>
        <v>30</v>
      </c>
      <c r="J179" s="72" t="s">
        <v>79</v>
      </c>
      <c r="K179" s="74"/>
      <c r="M179" s="79" t="s">
        <v>13</v>
      </c>
      <c r="N179" s="76">
        <f t="shared" si="31"/>
        <v>12</v>
      </c>
      <c r="O179" s="110">
        <f>N179*F179</f>
        <v>12</v>
      </c>
      <c r="P179" s="112"/>
      <c r="R179" s="79"/>
      <c r="S179" s="76" t="e">
        <f t="shared" si="27"/>
        <v>#N/A</v>
      </c>
      <c r="T179" s="76"/>
      <c r="U179" s="112"/>
      <c r="AC179" s="91" t="s">
        <v>374</v>
      </c>
      <c r="AD179" s="92">
        <v>3.3253499999999998</v>
      </c>
      <c r="AE179" s="92">
        <f t="shared" si="29"/>
        <v>0.33253500000000003</v>
      </c>
    </row>
    <row r="180" spans="1:31" x14ac:dyDescent="0.25">
      <c r="A180" s="95">
        <v>45645</v>
      </c>
      <c r="B180" s="72" t="s">
        <v>854</v>
      </c>
      <c r="C180" s="72" t="s">
        <v>8</v>
      </c>
      <c r="D180" s="72" t="s">
        <v>15</v>
      </c>
      <c r="E180" s="72" t="s">
        <v>56</v>
      </c>
      <c r="F180" s="72">
        <v>1</v>
      </c>
      <c r="G180" s="73">
        <f t="shared" si="32"/>
        <v>70</v>
      </c>
      <c r="H180" s="73">
        <f t="shared" si="25"/>
        <v>70</v>
      </c>
      <c r="I180" s="73">
        <f t="shared" si="26"/>
        <v>70</v>
      </c>
      <c r="J180" s="72" t="s">
        <v>83</v>
      </c>
      <c r="K180" s="74"/>
      <c r="M180" s="79" t="s">
        <v>15</v>
      </c>
      <c r="N180" s="76">
        <f t="shared" si="31"/>
        <v>28</v>
      </c>
      <c r="O180" s="110">
        <f>N180*F180</f>
        <v>28</v>
      </c>
      <c r="P180" s="112"/>
      <c r="R180" s="79"/>
      <c r="S180" s="76" t="e">
        <f t="shared" si="27"/>
        <v>#N/A</v>
      </c>
      <c r="T180" s="76"/>
      <c r="U180" s="112"/>
      <c r="AC180" s="91" t="s">
        <v>375</v>
      </c>
      <c r="AD180" s="92">
        <v>3.5</v>
      </c>
      <c r="AE180" s="92">
        <f t="shared" si="29"/>
        <v>0.35000000000000003</v>
      </c>
    </row>
    <row r="181" spans="1:31" x14ac:dyDescent="0.25">
      <c r="A181" s="95">
        <v>45645</v>
      </c>
      <c r="B181" s="72" t="s">
        <v>498</v>
      </c>
      <c r="C181" s="72" t="s">
        <v>8</v>
      </c>
      <c r="D181" s="72" t="s">
        <v>934</v>
      </c>
      <c r="E181" s="72" t="s">
        <v>56</v>
      </c>
      <c r="F181" s="72">
        <v>1</v>
      </c>
      <c r="G181" s="73">
        <f t="shared" si="32"/>
        <v>35</v>
      </c>
      <c r="H181" s="73">
        <f t="shared" si="25"/>
        <v>35</v>
      </c>
      <c r="I181" s="73">
        <f t="shared" si="26"/>
        <v>35</v>
      </c>
      <c r="J181" s="72" t="s">
        <v>83</v>
      </c>
      <c r="K181" s="74"/>
      <c r="M181" s="79" t="s">
        <v>934</v>
      </c>
      <c r="N181" s="76">
        <f t="shared" si="31"/>
        <v>3.5</v>
      </c>
      <c r="O181" s="110">
        <f>N181*F181</f>
        <v>3.5</v>
      </c>
      <c r="P181" s="112"/>
      <c r="R181" s="79"/>
      <c r="S181" s="76" t="e">
        <f t="shared" si="27"/>
        <v>#N/A</v>
      </c>
      <c r="T181" s="76"/>
      <c r="U181" s="112"/>
      <c r="AC181" s="91" t="s">
        <v>376</v>
      </c>
      <c r="AD181" s="92">
        <v>3.5</v>
      </c>
      <c r="AE181" s="92">
        <f t="shared" si="29"/>
        <v>0.35000000000000003</v>
      </c>
    </row>
    <row r="182" spans="1:31" x14ac:dyDescent="0.25">
      <c r="A182" s="95">
        <v>45646</v>
      </c>
      <c r="B182" s="72" t="s">
        <v>952</v>
      </c>
      <c r="C182" s="72" t="s">
        <v>10</v>
      </c>
      <c r="D182" s="72" t="s">
        <v>13</v>
      </c>
      <c r="E182" s="72" t="s">
        <v>913</v>
      </c>
      <c r="F182" s="72">
        <v>1</v>
      </c>
      <c r="G182" s="73">
        <f t="shared" si="32"/>
        <v>30</v>
      </c>
      <c r="H182" s="73">
        <f t="shared" si="25"/>
        <v>30</v>
      </c>
      <c r="I182" s="73">
        <f t="shared" si="26"/>
        <v>30</v>
      </c>
      <c r="J182" s="72" t="s">
        <v>83</v>
      </c>
      <c r="K182" s="74"/>
      <c r="M182" s="79"/>
      <c r="N182" s="76" t="e">
        <f t="shared" si="31"/>
        <v>#N/A</v>
      </c>
      <c r="O182" s="110"/>
      <c r="P182" s="112"/>
      <c r="R182" s="79" t="s">
        <v>13</v>
      </c>
      <c r="S182" s="76">
        <f t="shared" si="27"/>
        <v>12</v>
      </c>
      <c r="T182" s="76">
        <f>S182*F182</f>
        <v>12</v>
      </c>
      <c r="U182" s="112"/>
      <c r="AC182" s="91" t="s">
        <v>378</v>
      </c>
      <c r="AD182" s="92">
        <v>3.41635</v>
      </c>
      <c r="AE182" s="92">
        <f t="shared" si="29"/>
        <v>0.34163500000000002</v>
      </c>
    </row>
    <row r="183" spans="1:31" x14ac:dyDescent="0.25">
      <c r="A183" s="95">
        <v>45646</v>
      </c>
      <c r="B183" s="72" t="s">
        <v>289</v>
      </c>
      <c r="C183" s="72" t="s">
        <v>10</v>
      </c>
      <c r="D183" s="72" t="s">
        <v>19</v>
      </c>
      <c r="E183" s="72" t="s">
        <v>913</v>
      </c>
      <c r="F183" s="72">
        <v>1</v>
      </c>
      <c r="G183" s="73">
        <f t="shared" si="32"/>
        <v>40</v>
      </c>
      <c r="H183" s="73">
        <f t="shared" si="25"/>
        <v>40</v>
      </c>
      <c r="I183" s="73">
        <f t="shared" si="26"/>
        <v>39.159999999999997</v>
      </c>
      <c r="J183" s="72" t="s">
        <v>866</v>
      </c>
      <c r="K183" s="74"/>
      <c r="M183" s="79"/>
      <c r="N183" s="76" t="e">
        <f t="shared" si="31"/>
        <v>#N/A</v>
      </c>
      <c r="O183" s="110"/>
      <c r="P183" s="112"/>
      <c r="R183" s="79" t="s">
        <v>19</v>
      </c>
      <c r="S183" s="76">
        <f t="shared" si="27"/>
        <v>16</v>
      </c>
      <c r="T183" s="76">
        <f>S183*F183</f>
        <v>16</v>
      </c>
      <c r="U183" s="112"/>
      <c r="AC183" s="91" t="s">
        <v>380</v>
      </c>
      <c r="AD183" s="92">
        <v>3.3253499999999998</v>
      </c>
      <c r="AE183" s="92">
        <f t="shared" si="29"/>
        <v>0.33253500000000003</v>
      </c>
    </row>
    <row r="184" spans="1:31" x14ac:dyDescent="0.25">
      <c r="A184" s="95">
        <v>45646</v>
      </c>
      <c r="B184" s="72" t="s">
        <v>247</v>
      </c>
      <c r="C184" s="72" t="s">
        <v>8</v>
      </c>
      <c r="D184" s="72" t="s">
        <v>13</v>
      </c>
      <c r="E184" s="72" t="s">
        <v>82</v>
      </c>
      <c r="F184" s="72">
        <v>1</v>
      </c>
      <c r="G184" s="73">
        <f t="shared" si="32"/>
        <v>30</v>
      </c>
      <c r="H184" s="73">
        <f t="shared" si="25"/>
        <v>30</v>
      </c>
      <c r="I184" s="73">
        <f t="shared" si="26"/>
        <v>30</v>
      </c>
      <c r="J184" s="72" t="s">
        <v>83</v>
      </c>
      <c r="K184" s="74"/>
      <c r="M184" s="79"/>
      <c r="N184" s="76" t="e">
        <f t="shared" si="31"/>
        <v>#N/A</v>
      </c>
      <c r="O184" s="110"/>
      <c r="P184" s="112"/>
      <c r="R184" s="79"/>
      <c r="S184" s="76" t="e">
        <f t="shared" si="27"/>
        <v>#N/A</v>
      </c>
      <c r="T184" s="76"/>
      <c r="U184" s="112"/>
    </row>
    <row r="185" spans="1:31" x14ac:dyDescent="0.25">
      <c r="A185" s="95">
        <v>45646</v>
      </c>
      <c r="B185" s="72" t="s">
        <v>204</v>
      </c>
      <c r="C185" s="72" t="s">
        <v>8</v>
      </c>
      <c r="D185" s="72" t="s">
        <v>920</v>
      </c>
      <c r="E185" s="72" t="s">
        <v>82</v>
      </c>
      <c r="F185" s="72">
        <v>1</v>
      </c>
      <c r="G185" s="73">
        <f t="shared" si="32"/>
        <v>80</v>
      </c>
      <c r="H185" s="73">
        <f t="shared" si="25"/>
        <v>80</v>
      </c>
      <c r="I185" s="73">
        <f t="shared" si="26"/>
        <v>80</v>
      </c>
      <c r="J185" s="72" t="s">
        <v>83</v>
      </c>
      <c r="K185" s="74"/>
      <c r="M185" s="79"/>
      <c r="N185" s="76" t="e">
        <f t="shared" si="31"/>
        <v>#N/A</v>
      </c>
      <c r="O185" s="110"/>
      <c r="P185" s="112"/>
      <c r="R185" s="79"/>
      <c r="S185" s="76" t="e">
        <f t="shared" si="27"/>
        <v>#N/A</v>
      </c>
      <c r="T185" s="76"/>
      <c r="U185" s="112"/>
    </row>
    <row r="186" spans="1:31" x14ac:dyDescent="0.25">
      <c r="A186" s="95">
        <v>45646</v>
      </c>
      <c r="B186" s="72" t="s">
        <v>775</v>
      </c>
      <c r="C186" s="72" t="s">
        <v>8</v>
      </c>
      <c r="D186" s="72" t="s">
        <v>21</v>
      </c>
      <c r="E186" s="72" t="s">
        <v>82</v>
      </c>
      <c r="F186" s="72">
        <v>1</v>
      </c>
      <c r="G186" s="73">
        <f t="shared" si="32"/>
        <v>10</v>
      </c>
      <c r="H186" s="73">
        <f t="shared" si="25"/>
        <v>10</v>
      </c>
      <c r="I186" s="73">
        <f t="shared" si="26"/>
        <v>10</v>
      </c>
      <c r="J186" s="72" t="s">
        <v>83</v>
      </c>
      <c r="K186" s="74"/>
      <c r="M186" s="79"/>
      <c r="N186" s="76" t="e">
        <f t="shared" si="31"/>
        <v>#N/A</v>
      </c>
      <c r="O186" s="110"/>
      <c r="P186" s="112"/>
      <c r="R186" s="79"/>
      <c r="S186" s="76" t="e">
        <f t="shared" si="27"/>
        <v>#N/A</v>
      </c>
      <c r="T186" s="76"/>
      <c r="U186" s="112"/>
    </row>
    <row r="187" spans="1:31" x14ac:dyDescent="0.25">
      <c r="A187" s="95">
        <v>45646</v>
      </c>
      <c r="B187" s="72" t="s">
        <v>262</v>
      </c>
      <c r="C187" s="72" t="s">
        <v>10</v>
      </c>
      <c r="D187" s="72" t="s">
        <v>22</v>
      </c>
      <c r="E187" s="72" t="s">
        <v>56</v>
      </c>
      <c r="F187" s="72">
        <v>1</v>
      </c>
      <c r="G187" s="73">
        <f t="shared" si="32"/>
        <v>30</v>
      </c>
      <c r="H187" s="73">
        <f t="shared" si="25"/>
        <v>30</v>
      </c>
      <c r="I187" s="73">
        <f t="shared" si="26"/>
        <v>29.37</v>
      </c>
      <c r="J187" s="72" t="s">
        <v>866</v>
      </c>
      <c r="K187" s="74"/>
      <c r="M187" s="79" t="s">
        <v>22</v>
      </c>
      <c r="N187" s="76">
        <f t="shared" si="31"/>
        <v>12</v>
      </c>
      <c r="O187" s="110">
        <f>N187*F187</f>
        <v>12</v>
      </c>
      <c r="P187" s="112"/>
      <c r="R187" s="79"/>
      <c r="S187" s="76" t="e">
        <f t="shared" si="27"/>
        <v>#N/A</v>
      </c>
      <c r="T187" s="76"/>
      <c r="U187" s="112"/>
    </row>
    <row r="188" spans="1:31" x14ac:dyDescent="0.25">
      <c r="A188" s="95">
        <v>45646</v>
      </c>
      <c r="B188" s="72" t="s">
        <v>262</v>
      </c>
      <c r="C188" s="72" t="s">
        <v>10</v>
      </c>
      <c r="D188" s="72" t="s">
        <v>13</v>
      </c>
      <c r="E188" s="72" t="s">
        <v>56</v>
      </c>
      <c r="F188" s="72">
        <v>1</v>
      </c>
      <c r="G188" s="73">
        <f t="shared" si="32"/>
        <v>30</v>
      </c>
      <c r="H188" s="73">
        <f t="shared" si="25"/>
        <v>30</v>
      </c>
      <c r="I188" s="73">
        <f t="shared" si="26"/>
        <v>29.37</v>
      </c>
      <c r="J188" s="72" t="s">
        <v>866</v>
      </c>
      <c r="K188" s="74"/>
      <c r="M188" s="79" t="s">
        <v>13</v>
      </c>
      <c r="N188" s="76">
        <f t="shared" si="31"/>
        <v>12</v>
      </c>
      <c r="O188" s="110">
        <f>N188*F188</f>
        <v>12</v>
      </c>
      <c r="P188" s="112"/>
      <c r="R188" s="79"/>
      <c r="S188" s="76" t="e">
        <f t="shared" si="27"/>
        <v>#N/A</v>
      </c>
      <c r="T188" s="76"/>
      <c r="U188" s="112"/>
    </row>
    <row r="189" spans="1:31" x14ac:dyDescent="0.25">
      <c r="A189" s="95">
        <v>45646</v>
      </c>
      <c r="B189" s="72" t="s">
        <v>262</v>
      </c>
      <c r="C189" s="72" t="s">
        <v>10</v>
      </c>
      <c r="D189" s="72" t="s">
        <v>914</v>
      </c>
      <c r="E189" s="72" t="s">
        <v>56</v>
      </c>
      <c r="F189" s="72">
        <v>1</v>
      </c>
      <c r="G189" s="73">
        <f t="shared" si="32"/>
        <v>10</v>
      </c>
      <c r="H189" s="73">
        <f t="shared" si="25"/>
        <v>10</v>
      </c>
      <c r="I189" s="73">
        <f t="shared" si="26"/>
        <v>9.7899999999999991</v>
      </c>
      <c r="J189" s="72" t="s">
        <v>866</v>
      </c>
      <c r="K189" s="74"/>
      <c r="M189" s="79" t="s">
        <v>914</v>
      </c>
      <c r="N189" s="76">
        <f t="shared" si="31"/>
        <v>4</v>
      </c>
      <c r="O189" s="110">
        <f>N189*F189</f>
        <v>4</v>
      </c>
      <c r="P189" s="112"/>
      <c r="R189" s="79"/>
      <c r="S189" s="76" t="e">
        <f t="shared" si="27"/>
        <v>#N/A</v>
      </c>
      <c r="T189" s="76"/>
      <c r="U189" s="112"/>
    </row>
    <row r="190" spans="1:31" x14ac:dyDescent="0.25">
      <c r="A190" s="95">
        <v>45646</v>
      </c>
      <c r="B190" s="72" t="s">
        <v>210</v>
      </c>
      <c r="C190" s="72" t="s">
        <v>8</v>
      </c>
      <c r="D190" s="72" t="s">
        <v>916</v>
      </c>
      <c r="E190" s="72" t="s">
        <v>56</v>
      </c>
      <c r="F190" s="72">
        <v>1</v>
      </c>
      <c r="G190" s="73">
        <f t="shared" si="32"/>
        <v>50</v>
      </c>
      <c r="H190" s="73">
        <f t="shared" si="25"/>
        <v>50</v>
      </c>
      <c r="I190" s="73">
        <f t="shared" si="26"/>
        <v>50</v>
      </c>
      <c r="J190" s="72" t="s">
        <v>79</v>
      </c>
      <c r="K190" s="74"/>
      <c r="M190" s="79" t="s">
        <v>916</v>
      </c>
      <c r="N190" s="76">
        <f t="shared" si="31"/>
        <v>20</v>
      </c>
      <c r="O190" s="110">
        <f>N190*F190</f>
        <v>20</v>
      </c>
      <c r="P190" s="112"/>
      <c r="R190" s="79"/>
      <c r="S190" s="76" t="e">
        <f t="shared" si="27"/>
        <v>#N/A</v>
      </c>
      <c r="T190" s="76"/>
      <c r="U190" s="112"/>
    </row>
    <row r="191" spans="1:31" x14ac:dyDescent="0.25">
      <c r="A191" s="95">
        <v>45646</v>
      </c>
      <c r="B191" s="72" t="s">
        <v>953</v>
      </c>
      <c r="C191" s="72" t="s">
        <v>10</v>
      </c>
      <c r="D191" s="72" t="s">
        <v>40</v>
      </c>
      <c r="E191" s="72" t="s">
        <v>913</v>
      </c>
      <c r="F191" s="72">
        <v>1</v>
      </c>
      <c r="G191" s="73">
        <f t="shared" si="32"/>
        <v>45</v>
      </c>
      <c r="H191" s="73">
        <f t="shared" si="25"/>
        <v>45</v>
      </c>
      <c r="I191" s="73">
        <f t="shared" si="26"/>
        <v>45</v>
      </c>
      <c r="J191" s="72" t="s">
        <v>79</v>
      </c>
      <c r="K191" s="74"/>
      <c r="M191" s="79"/>
      <c r="N191" s="76" t="e">
        <f t="shared" ref="N191:N222" si="33">VLOOKUP(M191,$W$3:$Y$72,3,0)</f>
        <v>#N/A</v>
      </c>
      <c r="O191" s="110"/>
      <c r="P191" s="112"/>
      <c r="R191" s="79" t="s">
        <v>40</v>
      </c>
      <c r="S191" s="76">
        <f t="shared" si="27"/>
        <v>18</v>
      </c>
      <c r="T191" s="76">
        <f>S191*F191</f>
        <v>18</v>
      </c>
      <c r="U191" s="112"/>
    </row>
    <row r="192" spans="1:31" x14ac:dyDescent="0.25">
      <c r="A192" s="95">
        <v>45646</v>
      </c>
      <c r="B192" s="72" t="s">
        <v>516</v>
      </c>
      <c r="C192" s="72" t="s">
        <v>8</v>
      </c>
      <c r="D192" s="72" t="s">
        <v>916</v>
      </c>
      <c r="E192" s="72" t="s">
        <v>82</v>
      </c>
      <c r="F192" s="72">
        <v>1</v>
      </c>
      <c r="G192" s="73">
        <f t="shared" si="32"/>
        <v>50</v>
      </c>
      <c r="H192" s="73">
        <f t="shared" si="25"/>
        <v>50</v>
      </c>
      <c r="I192" s="73">
        <f t="shared" si="26"/>
        <v>50</v>
      </c>
      <c r="J192" s="72" t="s">
        <v>79</v>
      </c>
      <c r="K192" s="74"/>
      <c r="M192" s="79"/>
      <c r="N192" s="76" t="e">
        <f t="shared" si="33"/>
        <v>#N/A</v>
      </c>
      <c r="O192" s="110"/>
      <c r="P192" s="112"/>
      <c r="R192" s="79"/>
      <c r="S192" s="76" t="e">
        <f t="shared" si="27"/>
        <v>#N/A</v>
      </c>
      <c r="T192" s="76"/>
      <c r="U192" s="112"/>
    </row>
    <row r="193" spans="1:21" x14ac:dyDescent="0.25">
      <c r="A193" s="95">
        <v>45646</v>
      </c>
      <c r="B193" s="72" t="s">
        <v>516</v>
      </c>
      <c r="C193" s="72" t="s">
        <v>8</v>
      </c>
      <c r="D193" s="72" t="s">
        <v>916</v>
      </c>
      <c r="E193" s="72" t="s">
        <v>82</v>
      </c>
      <c r="F193" s="72">
        <v>1</v>
      </c>
      <c r="G193" s="73">
        <f t="shared" si="32"/>
        <v>50</v>
      </c>
      <c r="H193" s="73">
        <f t="shared" si="25"/>
        <v>50</v>
      </c>
      <c r="I193" s="73">
        <f t="shared" si="26"/>
        <v>50</v>
      </c>
      <c r="J193" s="72" t="s">
        <v>79</v>
      </c>
      <c r="K193" s="74"/>
      <c r="M193" s="79"/>
      <c r="N193" s="76" t="e">
        <f t="shared" si="33"/>
        <v>#N/A</v>
      </c>
      <c r="O193" s="110"/>
      <c r="P193" s="112"/>
      <c r="R193" s="79"/>
      <c r="S193" s="76" t="e">
        <f t="shared" si="27"/>
        <v>#N/A</v>
      </c>
      <c r="T193" s="76"/>
      <c r="U193" s="112"/>
    </row>
    <row r="194" spans="1:21" x14ac:dyDescent="0.25">
      <c r="A194" s="95">
        <v>45646</v>
      </c>
      <c r="B194" s="72" t="s">
        <v>479</v>
      </c>
      <c r="C194" s="72" t="s">
        <v>8</v>
      </c>
      <c r="D194" s="72" t="s">
        <v>916</v>
      </c>
      <c r="E194" s="72" t="s">
        <v>82</v>
      </c>
      <c r="F194" s="72">
        <v>1</v>
      </c>
      <c r="G194" s="73">
        <f t="shared" si="32"/>
        <v>50</v>
      </c>
      <c r="H194" s="73">
        <f t="shared" si="25"/>
        <v>50</v>
      </c>
      <c r="I194" s="73">
        <f t="shared" si="26"/>
        <v>48.95</v>
      </c>
      <c r="J194" s="72" t="s">
        <v>866</v>
      </c>
      <c r="K194" s="74"/>
      <c r="M194" s="79"/>
      <c r="N194" s="76" t="e">
        <f t="shared" si="33"/>
        <v>#N/A</v>
      </c>
      <c r="O194" s="110"/>
      <c r="P194" s="112"/>
      <c r="R194" s="79"/>
      <c r="S194" s="76" t="e">
        <f t="shared" si="27"/>
        <v>#N/A</v>
      </c>
      <c r="T194" s="76"/>
      <c r="U194" s="112"/>
    </row>
    <row r="195" spans="1:21" x14ac:dyDescent="0.25">
      <c r="A195" s="95">
        <v>45646</v>
      </c>
      <c r="B195" s="72" t="s">
        <v>482</v>
      </c>
      <c r="C195" s="72" t="s">
        <v>8</v>
      </c>
      <c r="D195" s="72" t="s">
        <v>60</v>
      </c>
      <c r="E195" s="72" t="s">
        <v>82</v>
      </c>
      <c r="F195" s="72">
        <v>1</v>
      </c>
      <c r="G195" s="73">
        <v>150</v>
      </c>
      <c r="H195" s="73">
        <f t="shared" ref="H195:H258" si="34">F195*G195</f>
        <v>150</v>
      </c>
      <c r="I195" s="73">
        <f t="shared" ref="I195:I258" si="35">IF(J195="Master Debito",H195-(H195*$AG$5),IF(J195="Master Credito",H195-(H195*$AG$6), IF(J195="Visa Debito",H195-(H195*$AG$7), IF(J195="Visa Credito", H195-(H195*$AG$8), IF(J195="Elo Debito", H195-(H195*$AG$9), IF(J195="Elo Credito", H195-(H195*$AG$10), IF(J195="Pix", H195-(H195*$AG$11), IF(J195="Dinheiro (R$)", H195-(H195*$AG$12)))))))))</f>
        <v>150</v>
      </c>
      <c r="J195" s="72" t="s">
        <v>83</v>
      </c>
      <c r="K195" s="74"/>
      <c r="M195" s="79"/>
      <c r="N195" s="76" t="e">
        <f t="shared" si="33"/>
        <v>#N/A</v>
      </c>
      <c r="O195" s="110"/>
      <c r="P195" s="112"/>
      <c r="Q195" s="106"/>
      <c r="R195" s="79"/>
      <c r="S195" s="76" t="e">
        <f t="shared" ref="S195:S258" si="36">VLOOKUP(R195,$W$3:$Y$72,3,0)</f>
        <v>#N/A</v>
      </c>
      <c r="T195" s="76"/>
      <c r="U195" s="112"/>
    </row>
    <row r="196" spans="1:21" x14ac:dyDescent="0.25">
      <c r="A196" s="95">
        <v>45646</v>
      </c>
      <c r="B196" s="72" t="s">
        <v>899</v>
      </c>
      <c r="C196" s="72" t="s">
        <v>8</v>
      </c>
      <c r="D196" s="72" t="s">
        <v>916</v>
      </c>
      <c r="E196" s="72" t="s">
        <v>82</v>
      </c>
      <c r="F196" s="72">
        <v>1</v>
      </c>
      <c r="G196" s="73">
        <f>VLOOKUP(D196,$W$3:$X$72,2,0)</f>
        <v>50</v>
      </c>
      <c r="H196" s="73">
        <f t="shared" si="34"/>
        <v>50</v>
      </c>
      <c r="I196" s="73">
        <f t="shared" si="35"/>
        <v>50</v>
      </c>
      <c r="J196" s="72" t="s">
        <v>83</v>
      </c>
      <c r="K196" s="74"/>
      <c r="M196" s="79"/>
      <c r="N196" s="76" t="e">
        <f t="shared" si="33"/>
        <v>#N/A</v>
      </c>
      <c r="O196" s="110"/>
      <c r="P196" s="112"/>
      <c r="R196" s="79"/>
      <c r="S196" s="76" t="e">
        <f t="shared" si="36"/>
        <v>#N/A</v>
      </c>
      <c r="T196" s="76"/>
      <c r="U196" s="112"/>
    </row>
    <row r="197" spans="1:21" x14ac:dyDescent="0.25">
      <c r="A197" s="95">
        <v>45646</v>
      </c>
      <c r="B197" s="72" t="s">
        <v>819</v>
      </c>
      <c r="C197" s="72" t="s">
        <v>8</v>
      </c>
      <c r="D197" s="72" t="s">
        <v>18</v>
      </c>
      <c r="E197" s="72" t="s">
        <v>82</v>
      </c>
      <c r="F197" s="72">
        <v>1</v>
      </c>
      <c r="G197" s="73">
        <v>35</v>
      </c>
      <c r="H197" s="73">
        <f t="shared" si="34"/>
        <v>35</v>
      </c>
      <c r="I197" s="73">
        <f t="shared" si="35"/>
        <v>35</v>
      </c>
      <c r="J197" s="72" t="s">
        <v>83</v>
      </c>
      <c r="K197" s="74"/>
      <c r="M197" s="79"/>
      <c r="N197" s="76" t="e">
        <f t="shared" si="33"/>
        <v>#N/A</v>
      </c>
      <c r="O197" s="110"/>
      <c r="P197" s="112"/>
      <c r="R197" s="79"/>
      <c r="S197" s="76" t="e">
        <f t="shared" si="36"/>
        <v>#N/A</v>
      </c>
      <c r="T197" s="76"/>
      <c r="U197" s="112"/>
    </row>
    <row r="198" spans="1:21" x14ac:dyDescent="0.25">
      <c r="A198" s="95">
        <v>45646</v>
      </c>
      <c r="B198" s="72" t="s">
        <v>954</v>
      </c>
      <c r="C198" s="72" t="s">
        <v>10</v>
      </c>
      <c r="D198" s="72" t="s">
        <v>18</v>
      </c>
      <c r="E198" s="72" t="s">
        <v>913</v>
      </c>
      <c r="F198" s="72">
        <v>1</v>
      </c>
      <c r="G198" s="73">
        <f t="shared" ref="G198:G204" si="37">VLOOKUP(D198,$W$3:$X$72,2,0)</f>
        <v>40</v>
      </c>
      <c r="H198" s="73">
        <f t="shared" si="34"/>
        <v>40</v>
      </c>
      <c r="I198" s="73">
        <f t="shared" si="35"/>
        <v>40</v>
      </c>
      <c r="J198" s="72" t="s">
        <v>83</v>
      </c>
      <c r="K198" s="74"/>
      <c r="M198" s="79"/>
      <c r="N198" s="76" t="e">
        <f t="shared" si="33"/>
        <v>#N/A</v>
      </c>
      <c r="O198" s="110"/>
      <c r="P198" s="112"/>
      <c r="R198" s="79" t="s">
        <v>18</v>
      </c>
      <c r="S198" s="76">
        <f t="shared" si="36"/>
        <v>16</v>
      </c>
      <c r="T198" s="76">
        <f>S198*F198</f>
        <v>16</v>
      </c>
      <c r="U198" s="112"/>
    </row>
    <row r="199" spans="1:21" x14ac:dyDescent="0.25">
      <c r="A199" s="95">
        <v>45646</v>
      </c>
      <c r="B199" s="72" t="s">
        <v>109</v>
      </c>
      <c r="C199" s="72" t="s">
        <v>8</v>
      </c>
      <c r="D199" s="72" t="s">
        <v>18</v>
      </c>
      <c r="E199" s="72" t="s">
        <v>56</v>
      </c>
      <c r="F199" s="72">
        <v>1</v>
      </c>
      <c r="G199" s="73">
        <f t="shared" si="37"/>
        <v>40</v>
      </c>
      <c r="H199" s="73">
        <f t="shared" si="34"/>
        <v>40</v>
      </c>
      <c r="I199" s="73">
        <f t="shared" si="35"/>
        <v>40</v>
      </c>
      <c r="J199" s="72" t="s">
        <v>83</v>
      </c>
      <c r="K199" s="74"/>
      <c r="M199" s="79" t="s">
        <v>18</v>
      </c>
      <c r="N199" s="76">
        <f t="shared" si="33"/>
        <v>16</v>
      </c>
      <c r="O199" s="110">
        <f>N199*F199</f>
        <v>16</v>
      </c>
      <c r="P199" s="112"/>
      <c r="R199" s="79"/>
      <c r="S199" s="76" t="e">
        <f t="shared" si="36"/>
        <v>#N/A</v>
      </c>
      <c r="T199" s="76"/>
      <c r="U199" s="112"/>
    </row>
    <row r="200" spans="1:21" x14ac:dyDescent="0.25">
      <c r="A200" s="95">
        <v>45646</v>
      </c>
      <c r="B200" s="72" t="s">
        <v>734</v>
      </c>
      <c r="C200" s="72" t="s">
        <v>8</v>
      </c>
      <c r="D200" s="72" t="s">
        <v>18</v>
      </c>
      <c r="E200" s="72" t="s">
        <v>56</v>
      </c>
      <c r="F200" s="72">
        <v>1</v>
      </c>
      <c r="G200" s="73">
        <f t="shared" si="37"/>
        <v>40</v>
      </c>
      <c r="H200" s="73">
        <f t="shared" si="34"/>
        <v>40</v>
      </c>
      <c r="I200" s="73">
        <f t="shared" si="35"/>
        <v>40</v>
      </c>
      <c r="J200" s="72" t="s">
        <v>83</v>
      </c>
      <c r="K200" s="74"/>
      <c r="M200" s="79" t="s">
        <v>18</v>
      </c>
      <c r="N200" s="76">
        <f t="shared" si="33"/>
        <v>16</v>
      </c>
      <c r="O200" s="110">
        <f>N200*F200</f>
        <v>16</v>
      </c>
      <c r="P200" s="112"/>
      <c r="Q200" s="106"/>
      <c r="R200" s="79"/>
      <c r="S200" s="76" t="e">
        <f t="shared" si="36"/>
        <v>#N/A</v>
      </c>
      <c r="T200" s="76"/>
      <c r="U200" s="112"/>
    </row>
    <row r="201" spans="1:21" x14ac:dyDescent="0.25">
      <c r="A201" s="95">
        <v>45646</v>
      </c>
      <c r="B201" s="72" t="s">
        <v>734</v>
      </c>
      <c r="C201" s="72" t="s">
        <v>8</v>
      </c>
      <c r="D201" s="72" t="s">
        <v>936</v>
      </c>
      <c r="E201" s="72" t="s">
        <v>56</v>
      </c>
      <c r="F201" s="72">
        <v>1</v>
      </c>
      <c r="G201" s="73">
        <f t="shared" si="37"/>
        <v>25</v>
      </c>
      <c r="H201" s="73">
        <f t="shared" si="34"/>
        <v>25</v>
      </c>
      <c r="I201" s="73">
        <f t="shared" si="35"/>
        <v>25</v>
      </c>
      <c r="J201" s="72" t="s">
        <v>83</v>
      </c>
      <c r="K201" s="74"/>
      <c r="M201" s="79" t="s">
        <v>936</v>
      </c>
      <c r="N201" s="76">
        <f t="shared" si="33"/>
        <v>2.5</v>
      </c>
      <c r="O201" s="110">
        <f>N201*F201</f>
        <v>2.5</v>
      </c>
      <c r="P201" s="112"/>
      <c r="R201" s="79"/>
      <c r="S201" s="76" t="e">
        <f t="shared" si="36"/>
        <v>#N/A</v>
      </c>
      <c r="T201" s="76"/>
      <c r="U201" s="112"/>
    </row>
    <row r="202" spans="1:21" x14ac:dyDescent="0.25">
      <c r="A202" s="95">
        <v>45646</v>
      </c>
      <c r="B202" s="72" t="s">
        <v>772</v>
      </c>
      <c r="C202" s="72" t="s">
        <v>8</v>
      </c>
      <c r="D202" s="72" t="s">
        <v>916</v>
      </c>
      <c r="E202" s="72" t="s">
        <v>82</v>
      </c>
      <c r="F202" s="72">
        <v>1</v>
      </c>
      <c r="G202" s="73">
        <f t="shared" si="37"/>
        <v>50</v>
      </c>
      <c r="H202" s="73">
        <f t="shared" si="34"/>
        <v>50</v>
      </c>
      <c r="I202" s="73">
        <f t="shared" si="35"/>
        <v>50</v>
      </c>
      <c r="J202" s="72" t="s">
        <v>83</v>
      </c>
      <c r="K202" s="74"/>
      <c r="M202" s="79"/>
      <c r="N202" s="76" t="e">
        <f t="shared" si="33"/>
        <v>#N/A</v>
      </c>
      <c r="O202" s="76"/>
      <c r="P202" s="112"/>
      <c r="R202" s="79"/>
      <c r="S202" s="76" t="e">
        <f t="shared" si="36"/>
        <v>#N/A</v>
      </c>
      <c r="T202" s="76"/>
      <c r="U202" s="112"/>
    </row>
    <row r="203" spans="1:21" x14ac:dyDescent="0.25">
      <c r="A203" s="95">
        <v>45646</v>
      </c>
      <c r="B203" s="72" t="s">
        <v>247</v>
      </c>
      <c r="C203" s="72" t="s">
        <v>8</v>
      </c>
      <c r="D203" s="72" t="s">
        <v>15</v>
      </c>
      <c r="E203" s="72" t="s">
        <v>82</v>
      </c>
      <c r="F203" s="72">
        <v>1</v>
      </c>
      <c r="G203" s="73">
        <f t="shared" si="37"/>
        <v>70</v>
      </c>
      <c r="H203" s="73">
        <f t="shared" si="34"/>
        <v>70</v>
      </c>
      <c r="I203" s="73">
        <f t="shared" si="35"/>
        <v>70</v>
      </c>
      <c r="J203" s="72" t="s">
        <v>83</v>
      </c>
      <c r="K203" s="74"/>
      <c r="M203" s="79"/>
      <c r="N203" s="76" t="e">
        <f t="shared" si="33"/>
        <v>#N/A</v>
      </c>
      <c r="O203" s="76"/>
      <c r="P203" s="112"/>
      <c r="R203" s="79"/>
      <c r="S203" s="76" t="e">
        <f t="shared" si="36"/>
        <v>#N/A</v>
      </c>
      <c r="T203" s="76"/>
      <c r="U203" s="112"/>
    </row>
    <row r="204" spans="1:21" x14ac:dyDescent="0.25">
      <c r="A204" s="95">
        <v>45646</v>
      </c>
      <c r="B204" s="72" t="s">
        <v>577</v>
      </c>
      <c r="C204" s="72" t="s">
        <v>8</v>
      </c>
      <c r="D204" s="72" t="s">
        <v>15</v>
      </c>
      <c r="E204" s="72" t="s">
        <v>82</v>
      </c>
      <c r="F204" s="72">
        <v>1</v>
      </c>
      <c r="G204" s="73">
        <f t="shared" si="37"/>
        <v>70</v>
      </c>
      <c r="H204" s="73">
        <f t="shared" si="34"/>
        <v>70</v>
      </c>
      <c r="I204" s="73">
        <f t="shared" si="35"/>
        <v>70</v>
      </c>
      <c r="J204" s="72" t="s">
        <v>83</v>
      </c>
      <c r="K204" s="74"/>
      <c r="M204" s="79"/>
      <c r="N204" s="76" t="e">
        <f t="shared" si="33"/>
        <v>#N/A</v>
      </c>
      <c r="O204" s="76"/>
      <c r="P204" s="112"/>
      <c r="R204" s="79"/>
      <c r="S204" s="76" t="e">
        <f t="shared" si="36"/>
        <v>#N/A</v>
      </c>
      <c r="T204" s="76"/>
      <c r="U204" s="112"/>
    </row>
    <row r="205" spans="1:21" x14ac:dyDescent="0.25">
      <c r="A205" s="95">
        <v>45646</v>
      </c>
      <c r="B205" s="72" t="s">
        <v>577</v>
      </c>
      <c r="C205" s="72" t="s">
        <v>8</v>
      </c>
      <c r="D205" s="72" t="s">
        <v>778</v>
      </c>
      <c r="E205" s="72" t="s">
        <v>82</v>
      </c>
      <c r="F205" s="72">
        <v>1</v>
      </c>
      <c r="G205" s="73">
        <v>4.5</v>
      </c>
      <c r="H205" s="73">
        <f t="shared" si="34"/>
        <v>4.5</v>
      </c>
      <c r="I205" s="73">
        <f t="shared" si="35"/>
        <v>4.5</v>
      </c>
      <c r="J205" s="72" t="s">
        <v>83</v>
      </c>
      <c r="K205" s="74"/>
      <c r="M205" s="79"/>
      <c r="N205" s="76" t="e">
        <f t="shared" si="33"/>
        <v>#N/A</v>
      </c>
      <c r="O205" s="76"/>
      <c r="P205" s="112"/>
      <c r="R205" s="79"/>
      <c r="S205" s="76" t="e">
        <f t="shared" si="36"/>
        <v>#N/A</v>
      </c>
      <c r="T205" s="76"/>
      <c r="U205" s="112"/>
    </row>
    <row r="206" spans="1:21" x14ac:dyDescent="0.25">
      <c r="A206" s="95">
        <v>45647</v>
      </c>
      <c r="B206" s="72" t="s">
        <v>414</v>
      </c>
      <c r="C206" s="72" t="s">
        <v>8</v>
      </c>
      <c r="D206" s="72" t="s">
        <v>916</v>
      </c>
      <c r="E206" s="72" t="s">
        <v>56</v>
      </c>
      <c r="F206" s="72">
        <v>1</v>
      </c>
      <c r="G206" s="73">
        <f t="shared" ref="G206:G212" si="38">VLOOKUP(D206,$W$3:$X$72,2,0)</f>
        <v>50</v>
      </c>
      <c r="H206" s="73">
        <f t="shared" si="34"/>
        <v>50</v>
      </c>
      <c r="I206" s="73">
        <f t="shared" si="35"/>
        <v>48.95</v>
      </c>
      <c r="J206" s="72" t="s">
        <v>866</v>
      </c>
      <c r="K206" s="74"/>
      <c r="M206" s="79" t="s">
        <v>916</v>
      </c>
      <c r="N206" s="76">
        <f t="shared" si="33"/>
        <v>20</v>
      </c>
      <c r="O206" s="76">
        <f>N206*F206</f>
        <v>20</v>
      </c>
      <c r="P206" s="112"/>
      <c r="R206" s="79"/>
      <c r="S206" s="76" t="e">
        <f t="shared" si="36"/>
        <v>#N/A</v>
      </c>
      <c r="T206" s="76"/>
      <c r="U206" s="112"/>
    </row>
    <row r="207" spans="1:21" x14ac:dyDescent="0.25">
      <c r="A207" s="95">
        <v>45647</v>
      </c>
      <c r="B207" s="72" t="s">
        <v>955</v>
      </c>
      <c r="C207" s="72" t="s">
        <v>10</v>
      </c>
      <c r="D207" s="72" t="s">
        <v>15</v>
      </c>
      <c r="E207" s="72" t="s">
        <v>913</v>
      </c>
      <c r="F207" s="72">
        <v>1</v>
      </c>
      <c r="G207" s="73">
        <f t="shared" si="38"/>
        <v>70</v>
      </c>
      <c r="H207" s="73">
        <f t="shared" si="34"/>
        <v>70</v>
      </c>
      <c r="I207" s="73">
        <f t="shared" si="35"/>
        <v>70</v>
      </c>
      <c r="J207" s="72" t="s">
        <v>83</v>
      </c>
      <c r="K207" s="74"/>
      <c r="M207" s="79"/>
      <c r="N207" s="76" t="e">
        <f t="shared" si="33"/>
        <v>#N/A</v>
      </c>
      <c r="O207" s="76"/>
      <c r="P207" s="112"/>
      <c r="R207" s="79" t="s">
        <v>15</v>
      </c>
      <c r="S207" s="76">
        <f t="shared" si="36"/>
        <v>28</v>
      </c>
      <c r="T207" s="76">
        <f>S207*F207</f>
        <v>28</v>
      </c>
      <c r="U207" s="112"/>
    </row>
    <row r="208" spans="1:21" x14ac:dyDescent="0.25">
      <c r="A208" s="95">
        <v>45647</v>
      </c>
      <c r="B208" s="72" t="s">
        <v>483</v>
      </c>
      <c r="C208" s="72" t="s">
        <v>8</v>
      </c>
      <c r="D208" s="72" t="s">
        <v>18</v>
      </c>
      <c r="E208" s="72" t="s">
        <v>56</v>
      </c>
      <c r="F208" s="72">
        <v>1</v>
      </c>
      <c r="G208" s="73">
        <f t="shared" si="38"/>
        <v>40</v>
      </c>
      <c r="H208" s="73">
        <f t="shared" si="34"/>
        <v>40</v>
      </c>
      <c r="I208" s="73">
        <f t="shared" si="35"/>
        <v>40</v>
      </c>
      <c r="J208" s="72" t="s">
        <v>83</v>
      </c>
      <c r="K208" s="74"/>
      <c r="M208" s="79" t="s">
        <v>18</v>
      </c>
      <c r="N208" s="76">
        <f t="shared" si="33"/>
        <v>16</v>
      </c>
      <c r="O208" s="76">
        <f>N208*F208</f>
        <v>16</v>
      </c>
      <c r="P208" s="112"/>
      <c r="R208" s="79"/>
      <c r="S208" s="76" t="e">
        <f t="shared" si="36"/>
        <v>#N/A</v>
      </c>
      <c r="T208" s="76"/>
      <c r="U208" s="112"/>
    </row>
    <row r="209" spans="1:21" x14ac:dyDescent="0.25">
      <c r="A209" s="95">
        <v>45647</v>
      </c>
      <c r="B209" s="72" t="s">
        <v>956</v>
      </c>
      <c r="C209" s="72" t="s">
        <v>8</v>
      </c>
      <c r="D209" s="72" t="s">
        <v>18</v>
      </c>
      <c r="E209" s="72" t="s">
        <v>56</v>
      </c>
      <c r="F209" s="72">
        <v>1</v>
      </c>
      <c r="G209" s="73">
        <f t="shared" si="38"/>
        <v>40</v>
      </c>
      <c r="H209" s="73">
        <f t="shared" si="34"/>
        <v>40</v>
      </c>
      <c r="I209" s="73">
        <f t="shared" si="35"/>
        <v>39.159999999999997</v>
      </c>
      <c r="J209" s="72" t="s">
        <v>866</v>
      </c>
      <c r="K209" s="74"/>
      <c r="M209" s="79" t="s">
        <v>18</v>
      </c>
      <c r="N209" s="76">
        <f t="shared" si="33"/>
        <v>16</v>
      </c>
      <c r="O209" s="76">
        <f>N209*F209</f>
        <v>16</v>
      </c>
      <c r="P209" s="112"/>
      <c r="R209" s="79"/>
      <c r="S209" s="76" t="e">
        <f t="shared" si="36"/>
        <v>#N/A</v>
      </c>
      <c r="T209" s="76"/>
      <c r="U209" s="112"/>
    </row>
    <row r="210" spans="1:21" x14ac:dyDescent="0.25">
      <c r="A210" s="95">
        <v>45647</v>
      </c>
      <c r="B210" s="72" t="s">
        <v>957</v>
      </c>
      <c r="C210" s="72" t="s">
        <v>8</v>
      </c>
      <c r="D210" s="72" t="s">
        <v>920</v>
      </c>
      <c r="E210" s="72" t="s">
        <v>82</v>
      </c>
      <c r="F210" s="72">
        <v>1</v>
      </c>
      <c r="G210" s="73">
        <f t="shared" si="38"/>
        <v>80</v>
      </c>
      <c r="H210" s="73">
        <f t="shared" si="34"/>
        <v>80</v>
      </c>
      <c r="I210" s="73">
        <f t="shared" si="35"/>
        <v>80</v>
      </c>
      <c r="J210" s="72" t="s">
        <v>83</v>
      </c>
      <c r="K210" s="74"/>
      <c r="M210" s="79"/>
      <c r="N210" s="76" t="e">
        <f t="shared" si="33"/>
        <v>#N/A</v>
      </c>
      <c r="O210" s="76"/>
      <c r="P210" s="112"/>
      <c r="R210" s="79"/>
      <c r="S210" s="76" t="e">
        <f t="shared" si="36"/>
        <v>#N/A</v>
      </c>
      <c r="T210" s="76"/>
      <c r="U210" s="112"/>
    </row>
    <row r="211" spans="1:21" x14ac:dyDescent="0.25">
      <c r="A211" s="95">
        <v>45647</v>
      </c>
      <c r="B211" s="72" t="s">
        <v>783</v>
      </c>
      <c r="C211" s="72" t="s">
        <v>8</v>
      </c>
      <c r="D211" s="72" t="s">
        <v>18</v>
      </c>
      <c r="E211" s="72" t="s">
        <v>82</v>
      </c>
      <c r="F211" s="72">
        <v>1</v>
      </c>
      <c r="G211" s="73">
        <f t="shared" si="38"/>
        <v>40</v>
      </c>
      <c r="H211" s="73">
        <f t="shared" si="34"/>
        <v>40</v>
      </c>
      <c r="I211" s="73">
        <f t="shared" si="35"/>
        <v>39.04</v>
      </c>
      <c r="J211" s="72" t="s">
        <v>869</v>
      </c>
      <c r="K211" s="74"/>
      <c r="M211" s="72"/>
      <c r="N211" s="76" t="e">
        <f t="shared" si="33"/>
        <v>#N/A</v>
      </c>
      <c r="O211" s="76"/>
      <c r="P211" s="112"/>
      <c r="R211" s="72"/>
      <c r="S211" s="76" t="e">
        <f t="shared" si="36"/>
        <v>#N/A</v>
      </c>
      <c r="T211" s="76"/>
      <c r="U211" s="112"/>
    </row>
    <row r="212" spans="1:21" x14ac:dyDescent="0.25">
      <c r="A212" s="95">
        <v>45647</v>
      </c>
      <c r="B212" s="72" t="s">
        <v>481</v>
      </c>
      <c r="C212" s="72" t="s">
        <v>8</v>
      </c>
      <c r="D212" s="72" t="s">
        <v>916</v>
      </c>
      <c r="E212" s="72" t="s">
        <v>82</v>
      </c>
      <c r="F212" s="72">
        <v>1</v>
      </c>
      <c r="G212" s="73">
        <f t="shared" si="38"/>
        <v>50</v>
      </c>
      <c r="H212" s="73">
        <f t="shared" si="34"/>
        <v>50</v>
      </c>
      <c r="I212" s="73">
        <f t="shared" si="35"/>
        <v>48.956249999999997</v>
      </c>
      <c r="J212" s="72" t="s">
        <v>868</v>
      </c>
      <c r="K212" s="74"/>
      <c r="M212" s="79"/>
      <c r="N212" s="76" t="e">
        <f t="shared" si="33"/>
        <v>#N/A</v>
      </c>
      <c r="O212" s="76"/>
      <c r="P212" s="112"/>
      <c r="R212" s="79"/>
      <c r="S212" s="76" t="e">
        <f t="shared" si="36"/>
        <v>#N/A</v>
      </c>
      <c r="T212" s="76"/>
      <c r="U212" s="112"/>
    </row>
    <row r="213" spans="1:21" x14ac:dyDescent="0.25">
      <c r="A213" s="95">
        <v>45647</v>
      </c>
      <c r="B213" s="72" t="s">
        <v>481</v>
      </c>
      <c r="C213" s="72" t="s">
        <v>8</v>
      </c>
      <c r="D213" s="72" t="s">
        <v>34</v>
      </c>
      <c r="E213" s="72" t="s">
        <v>82</v>
      </c>
      <c r="F213" s="72">
        <v>1</v>
      </c>
      <c r="G213" s="73">
        <v>15</v>
      </c>
      <c r="H213" s="73">
        <f t="shared" si="34"/>
        <v>15</v>
      </c>
      <c r="I213" s="73">
        <f t="shared" si="35"/>
        <v>14.686875000000001</v>
      </c>
      <c r="J213" s="72" t="s">
        <v>868</v>
      </c>
      <c r="K213" s="74"/>
      <c r="M213" s="79"/>
      <c r="N213" s="76" t="e">
        <f t="shared" si="33"/>
        <v>#N/A</v>
      </c>
      <c r="O213" s="76"/>
      <c r="P213" s="112"/>
      <c r="R213" s="79"/>
      <c r="S213" s="76" t="e">
        <f t="shared" si="36"/>
        <v>#N/A</v>
      </c>
      <c r="T213" s="76"/>
      <c r="U213" s="112"/>
    </row>
    <row r="214" spans="1:21" x14ac:dyDescent="0.25">
      <c r="A214" s="95">
        <v>45647</v>
      </c>
      <c r="B214" s="72" t="s">
        <v>281</v>
      </c>
      <c r="C214" s="72" t="s">
        <v>8</v>
      </c>
      <c r="D214" s="72" t="s">
        <v>916</v>
      </c>
      <c r="E214" s="72" t="s">
        <v>82</v>
      </c>
      <c r="F214" s="72">
        <v>1</v>
      </c>
      <c r="G214" s="73">
        <f t="shared" ref="G214:G221" si="39">VLOOKUP(D214,$W$3:$X$72,2,0)</f>
        <v>50</v>
      </c>
      <c r="H214" s="73">
        <f t="shared" si="34"/>
        <v>50</v>
      </c>
      <c r="I214" s="73">
        <f t="shared" si="35"/>
        <v>48.95</v>
      </c>
      <c r="J214" s="72" t="s">
        <v>866</v>
      </c>
      <c r="K214" s="74"/>
      <c r="M214" s="72"/>
      <c r="N214" s="76" t="e">
        <f t="shared" si="33"/>
        <v>#N/A</v>
      </c>
      <c r="O214" s="76"/>
      <c r="P214" s="112"/>
      <c r="R214" s="72"/>
      <c r="S214" s="76" t="e">
        <f t="shared" si="36"/>
        <v>#N/A</v>
      </c>
      <c r="T214" s="76"/>
      <c r="U214" s="112"/>
    </row>
    <row r="215" spans="1:21" x14ac:dyDescent="0.25">
      <c r="A215" s="95">
        <v>45647</v>
      </c>
      <c r="B215" s="72" t="s">
        <v>593</v>
      </c>
      <c r="C215" s="72" t="s">
        <v>8</v>
      </c>
      <c r="D215" s="72" t="s">
        <v>18</v>
      </c>
      <c r="E215" s="72" t="s">
        <v>82</v>
      </c>
      <c r="F215" s="72">
        <v>1</v>
      </c>
      <c r="G215" s="73">
        <f t="shared" si="39"/>
        <v>40</v>
      </c>
      <c r="H215" s="73">
        <f t="shared" si="34"/>
        <v>40</v>
      </c>
      <c r="I215" s="73">
        <f t="shared" si="35"/>
        <v>40</v>
      </c>
      <c r="J215" s="72" t="s">
        <v>83</v>
      </c>
      <c r="K215" s="74"/>
      <c r="M215" s="72"/>
      <c r="N215" s="76" t="e">
        <f t="shared" si="33"/>
        <v>#N/A</v>
      </c>
      <c r="O215" s="76"/>
      <c r="P215" s="112"/>
      <c r="Q215" s="106"/>
      <c r="R215" s="72"/>
      <c r="S215" s="76" t="e">
        <f t="shared" si="36"/>
        <v>#N/A</v>
      </c>
      <c r="T215" s="76"/>
      <c r="U215" s="112"/>
    </row>
    <row r="216" spans="1:21" x14ac:dyDescent="0.25">
      <c r="A216" s="95">
        <v>45647</v>
      </c>
      <c r="B216" s="72" t="s">
        <v>540</v>
      </c>
      <c r="C216" s="72" t="s">
        <v>8</v>
      </c>
      <c r="D216" s="72" t="s">
        <v>18</v>
      </c>
      <c r="E216" s="72" t="s">
        <v>56</v>
      </c>
      <c r="F216" s="72">
        <v>1</v>
      </c>
      <c r="G216" s="73">
        <f t="shared" si="39"/>
        <v>40</v>
      </c>
      <c r="H216" s="73">
        <f t="shared" si="34"/>
        <v>40</v>
      </c>
      <c r="I216" s="73">
        <f t="shared" si="35"/>
        <v>39.159999999999997</v>
      </c>
      <c r="J216" s="72" t="s">
        <v>866</v>
      </c>
      <c r="K216" s="74"/>
      <c r="M216" s="79" t="s">
        <v>18</v>
      </c>
      <c r="N216" s="76">
        <f t="shared" si="33"/>
        <v>16</v>
      </c>
      <c r="O216" s="76">
        <f>N216*F216</f>
        <v>16</v>
      </c>
      <c r="P216" s="112"/>
      <c r="R216" s="79"/>
      <c r="S216" s="76" t="e">
        <f t="shared" si="36"/>
        <v>#N/A</v>
      </c>
      <c r="T216" s="76"/>
      <c r="U216" s="112"/>
    </row>
    <row r="217" spans="1:21" x14ac:dyDescent="0.25">
      <c r="A217" s="95">
        <v>45647</v>
      </c>
      <c r="B217" s="72" t="s">
        <v>588</v>
      </c>
      <c r="C217" s="72" t="s">
        <v>10</v>
      </c>
      <c r="D217" s="72" t="s">
        <v>916</v>
      </c>
      <c r="E217" s="72" t="s">
        <v>56</v>
      </c>
      <c r="F217" s="72">
        <v>1</v>
      </c>
      <c r="G217" s="73">
        <f t="shared" si="39"/>
        <v>50</v>
      </c>
      <c r="H217" s="73">
        <f t="shared" si="34"/>
        <v>50</v>
      </c>
      <c r="I217" s="73">
        <f t="shared" si="35"/>
        <v>48.8</v>
      </c>
      <c r="J217" s="72" t="s">
        <v>869</v>
      </c>
      <c r="K217" s="74"/>
      <c r="M217" s="79" t="s">
        <v>916</v>
      </c>
      <c r="N217" s="76">
        <f t="shared" si="33"/>
        <v>20</v>
      </c>
      <c r="O217" s="76">
        <f>N217*F217</f>
        <v>20</v>
      </c>
      <c r="P217" s="112"/>
      <c r="R217" s="79"/>
      <c r="S217" s="76" t="e">
        <f t="shared" si="36"/>
        <v>#N/A</v>
      </c>
      <c r="T217" s="76"/>
      <c r="U217" s="112"/>
    </row>
    <row r="218" spans="1:21" x14ac:dyDescent="0.25">
      <c r="A218" s="95">
        <v>45647</v>
      </c>
      <c r="B218" s="72" t="s">
        <v>839</v>
      </c>
      <c r="C218" s="72" t="s">
        <v>8</v>
      </c>
      <c r="D218" s="72" t="s">
        <v>15</v>
      </c>
      <c r="E218" s="72" t="s">
        <v>82</v>
      </c>
      <c r="F218" s="72">
        <v>1</v>
      </c>
      <c r="G218" s="73">
        <f t="shared" si="39"/>
        <v>70</v>
      </c>
      <c r="H218" s="73">
        <f t="shared" si="34"/>
        <v>70</v>
      </c>
      <c r="I218" s="73">
        <f t="shared" si="35"/>
        <v>66.5</v>
      </c>
      <c r="J218" s="72" t="s">
        <v>867</v>
      </c>
      <c r="K218" s="74"/>
      <c r="M218" s="79"/>
      <c r="N218" s="76" t="e">
        <f t="shared" si="33"/>
        <v>#N/A</v>
      </c>
      <c r="O218" s="76"/>
      <c r="P218" s="112"/>
      <c r="R218" s="79"/>
      <c r="S218" s="76" t="e">
        <f t="shared" si="36"/>
        <v>#N/A</v>
      </c>
      <c r="T218" s="76"/>
      <c r="U218" s="112"/>
    </row>
    <row r="219" spans="1:21" x14ac:dyDescent="0.25">
      <c r="A219" s="95">
        <v>45647</v>
      </c>
      <c r="B219" s="72" t="s">
        <v>955</v>
      </c>
      <c r="C219" s="72" t="s">
        <v>10</v>
      </c>
      <c r="D219" s="72" t="s">
        <v>15</v>
      </c>
      <c r="E219" s="72" t="s">
        <v>913</v>
      </c>
      <c r="F219" s="72">
        <v>1</v>
      </c>
      <c r="G219" s="73">
        <f t="shared" si="39"/>
        <v>70</v>
      </c>
      <c r="H219" s="73">
        <f t="shared" si="34"/>
        <v>70</v>
      </c>
      <c r="I219" s="73">
        <f t="shared" si="35"/>
        <v>70</v>
      </c>
      <c r="J219" s="72" t="s">
        <v>83</v>
      </c>
      <c r="K219" s="74"/>
      <c r="M219" s="79"/>
      <c r="N219" s="76" t="e">
        <f t="shared" si="33"/>
        <v>#N/A</v>
      </c>
      <c r="O219" s="76"/>
      <c r="P219" s="112"/>
      <c r="R219" s="79" t="s">
        <v>18</v>
      </c>
      <c r="S219" s="76">
        <f t="shared" si="36"/>
        <v>16</v>
      </c>
      <c r="T219" s="76">
        <f>S219*F219</f>
        <v>16</v>
      </c>
      <c r="U219" s="112"/>
    </row>
    <row r="220" spans="1:21" x14ac:dyDescent="0.25">
      <c r="A220" s="95">
        <v>45647</v>
      </c>
      <c r="B220" s="72" t="s">
        <v>958</v>
      </c>
      <c r="C220" s="72" t="s">
        <v>10</v>
      </c>
      <c r="D220" s="72" t="s">
        <v>15</v>
      </c>
      <c r="E220" s="72" t="s">
        <v>913</v>
      </c>
      <c r="F220" s="72">
        <v>1</v>
      </c>
      <c r="G220" s="73">
        <f t="shared" si="39"/>
        <v>70</v>
      </c>
      <c r="H220" s="73">
        <f t="shared" si="34"/>
        <v>70</v>
      </c>
      <c r="I220" s="73">
        <f t="shared" si="35"/>
        <v>70</v>
      </c>
      <c r="J220" s="72" t="s">
        <v>83</v>
      </c>
      <c r="K220" s="74"/>
      <c r="M220" s="79"/>
      <c r="N220" s="76" t="e">
        <f t="shared" si="33"/>
        <v>#N/A</v>
      </c>
      <c r="O220" s="76"/>
      <c r="P220" s="112"/>
      <c r="Q220" s="106"/>
      <c r="R220" s="79" t="s">
        <v>15</v>
      </c>
      <c r="S220" s="76">
        <f t="shared" si="36"/>
        <v>28</v>
      </c>
      <c r="T220" s="76">
        <f>S220*F220</f>
        <v>28</v>
      </c>
      <c r="U220" s="112"/>
    </row>
    <row r="221" spans="1:21" x14ac:dyDescent="0.25">
      <c r="A221" s="95">
        <v>45647</v>
      </c>
      <c r="B221" s="72" t="s">
        <v>959</v>
      </c>
      <c r="C221" s="72" t="s">
        <v>10</v>
      </c>
      <c r="D221" s="72" t="s">
        <v>916</v>
      </c>
      <c r="E221" s="72" t="s">
        <v>913</v>
      </c>
      <c r="F221" s="72">
        <v>1</v>
      </c>
      <c r="G221" s="73">
        <f t="shared" si="39"/>
        <v>50</v>
      </c>
      <c r="H221" s="73">
        <f t="shared" si="34"/>
        <v>50</v>
      </c>
      <c r="I221" s="73">
        <f t="shared" si="35"/>
        <v>48.95</v>
      </c>
      <c r="J221" s="72" t="s">
        <v>866</v>
      </c>
      <c r="K221" s="74"/>
      <c r="M221" s="79"/>
      <c r="N221" s="76" t="e">
        <f t="shared" si="33"/>
        <v>#N/A</v>
      </c>
      <c r="O221" s="76"/>
      <c r="P221" s="112"/>
      <c r="R221" s="79" t="s">
        <v>916</v>
      </c>
      <c r="S221" s="76">
        <f t="shared" si="36"/>
        <v>20</v>
      </c>
      <c r="T221" s="76">
        <f>S221*F221</f>
        <v>20</v>
      </c>
      <c r="U221" s="112"/>
    </row>
    <row r="222" spans="1:21" x14ac:dyDescent="0.25">
      <c r="A222" s="95">
        <v>45647</v>
      </c>
      <c r="B222" s="72" t="s">
        <v>959</v>
      </c>
      <c r="C222" s="72" t="s">
        <v>10</v>
      </c>
      <c r="D222" s="72" t="s">
        <v>42</v>
      </c>
      <c r="E222" s="72" t="s">
        <v>913</v>
      </c>
      <c r="F222" s="72">
        <v>1</v>
      </c>
      <c r="G222" s="73">
        <v>15</v>
      </c>
      <c r="H222" s="73">
        <f t="shared" si="34"/>
        <v>15</v>
      </c>
      <c r="I222" s="73">
        <f t="shared" si="35"/>
        <v>14.685</v>
      </c>
      <c r="J222" s="72" t="s">
        <v>866</v>
      </c>
      <c r="K222" s="74"/>
      <c r="M222" s="79"/>
      <c r="N222" s="76" t="e">
        <f t="shared" si="33"/>
        <v>#N/A</v>
      </c>
      <c r="O222" s="76"/>
      <c r="P222" s="112"/>
      <c r="R222" s="79" t="s">
        <v>42</v>
      </c>
      <c r="S222" s="76">
        <f t="shared" si="36"/>
        <v>8</v>
      </c>
      <c r="T222" s="76">
        <f>S222*F222</f>
        <v>8</v>
      </c>
      <c r="U222" s="112"/>
    </row>
    <row r="223" spans="1:21" x14ac:dyDescent="0.25">
      <c r="A223" s="95">
        <v>45647</v>
      </c>
      <c r="B223" s="72" t="s">
        <v>960</v>
      </c>
      <c r="C223" s="72" t="s">
        <v>8</v>
      </c>
      <c r="D223" s="72" t="s">
        <v>18</v>
      </c>
      <c r="E223" s="72" t="s">
        <v>56</v>
      </c>
      <c r="F223" s="72">
        <v>1</v>
      </c>
      <c r="G223" s="73">
        <f t="shared" ref="G223:G229" si="40">VLOOKUP(D223,$W$3:$X$72,2,0)</f>
        <v>40</v>
      </c>
      <c r="H223" s="73">
        <f t="shared" si="34"/>
        <v>40</v>
      </c>
      <c r="I223" s="73">
        <f t="shared" si="35"/>
        <v>40</v>
      </c>
      <c r="J223" s="72" t="s">
        <v>83</v>
      </c>
      <c r="K223" s="74"/>
      <c r="M223" s="79" t="s">
        <v>18</v>
      </c>
      <c r="N223" s="76">
        <f t="shared" ref="N223:N254" si="41">VLOOKUP(M223,$W$3:$Y$72,3,0)</f>
        <v>16</v>
      </c>
      <c r="O223" s="76">
        <f>N223*F223</f>
        <v>16</v>
      </c>
      <c r="P223" s="112"/>
      <c r="R223" s="79"/>
      <c r="S223" s="76" t="e">
        <f t="shared" si="36"/>
        <v>#N/A</v>
      </c>
      <c r="T223" s="76"/>
      <c r="U223" s="112"/>
    </row>
    <row r="224" spans="1:21" x14ac:dyDescent="0.25">
      <c r="A224" s="95">
        <v>45647</v>
      </c>
      <c r="B224" s="72" t="s">
        <v>204</v>
      </c>
      <c r="C224" s="72" t="s">
        <v>8</v>
      </c>
      <c r="D224" s="72" t="s">
        <v>916</v>
      </c>
      <c r="E224" s="72" t="s">
        <v>56</v>
      </c>
      <c r="F224" s="72">
        <v>1</v>
      </c>
      <c r="G224" s="73">
        <f t="shared" si="40"/>
        <v>50</v>
      </c>
      <c r="H224" s="73">
        <f t="shared" si="34"/>
        <v>50</v>
      </c>
      <c r="I224" s="73">
        <f t="shared" si="35"/>
        <v>50</v>
      </c>
      <c r="J224" s="72" t="s">
        <v>83</v>
      </c>
      <c r="K224" s="74"/>
      <c r="M224" s="79" t="s">
        <v>916</v>
      </c>
      <c r="N224" s="76">
        <f t="shared" si="41"/>
        <v>20</v>
      </c>
      <c r="O224" s="76">
        <f>N224*F224</f>
        <v>20</v>
      </c>
      <c r="P224" s="112"/>
      <c r="R224" s="79"/>
      <c r="S224" s="76" t="e">
        <f t="shared" si="36"/>
        <v>#N/A</v>
      </c>
      <c r="T224" s="76"/>
      <c r="U224" s="112"/>
    </row>
    <row r="225" spans="1:21" x14ac:dyDescent="0.25">
      <c r="A225" s="95">
        <v>45647</v>
      </c>
      <c r="B225" s="72" t="s">
        <v>553</v>
      </c>
      <c r="C225" s="72" t="s">
        <v>8</v>
      </c>
      <c r="D225" s="72" t="s">
        <v>18</v>
      </c>
      <c r="E225" s="72" t="s">
        <v>56</v>
      </c>
      <c r="F225" s="72">
        <v>1</v>
      </c>
      <c r="G225" s="73">
        <f t="shared" si="40"/>
        <v>40</v>
      </c>
      <c r="H225" s="73">
        <f t="shared" si="34"/>
        <v>40</v>
      </c>
      <c r="I225" s="73">
        <f t="shared" si="35"/>
        <v>40</v>
      </c>
      <c r="J225" s="72" t="s">
        <v>83</v>
      </c>
      <c r="K225" s="74"/>
      <c r="M225" s="79" t="s">
        <v>18</v>
      </c>
      <c r="N225" s="76">
        <f t="shared" si="41"/>
        <v>16</v>
      </c>
      <c r="O225" s="76">
        <f>N225*F225</f>
        <v>16</v>
      </c>
      <c r="P225" s="112"/>
      <c r="R225" s="79"/>
      <c r="S225" s="76" t="e">
        <f t="shared" si="36"/>
        <v>#N/A</v>
      </c>
      <c r="T225" s="76"/>
      <c r="U225" s="112"/>
    </row>
    <row r="226" spans="1:21" x14ac:dyDescent="0.25">
      <c r="A226" s="95">
        <v>45647</v>
      </c>
      <c r="B226" s="72" t="s">
        <v>567</v>
      </c>
      <c r="C226" s="72" t="s">
        <v>8</v>
      </c>
      <c r="D226" s="72" t="s">
        <v>121</v>
      </c>
      <c r="E226" s="72" t="s">
        <v>82</v>
      </c>
      <c r="F226" s="72">
        <v>1</v>
      </c>
      <c r="G226" s="73">
        <f t="shared" si="40"/>
        <v>200</v>
      </c>
      <c r="H226" s="73">
        <f t="shared" si="34"/>
        <v>200</v>
      </c>
      <c r="I226" s="73">
        <f t="shared" si="35"/>
        <v>200</v>
      </c>
      <c r="J226" s="72" t="s">
        <v>83</v>
      </c>
      <c r="K226" s="74"/>
      <c r="M226" s="79"/>
      <c r="N226" s="76" t="e">
        <f t="shared" si="41"/>
        <v>#N/A</v>
      </c>
      <c r="O226" s="76"/>
      <c r="P226" s="112"/>
      <c r="R226" s="79"/>
      <c r="S226" s="76" t="e">
        <f t="shared" si="36"/>
        <v>#N/A</v>
      </c>
      <c r="T226" s="76"/>
      <c r="U226" s="112"/>
    </row>
    <row r="227" spans="1:21" x14ac:dyDescent="0.25">
      <c r="A227" s="95">
        <v>45647</v>
      </c>
      <c r="B227" s="72" t="s">
        <v>251</v>
      </c>
      <c r="C227" s="72" t="s">
        <v>8</v>
      </c>
      <c r="D227" s="72" t="s">
        <v>916</v>
      </c>
      <c r="E227" s="72" t="s">
        <v>82</v>
      </c>
      <c r="F227" s="72">
        <v>1</v>
      </c>
      <c r="G227" s="73">
        <f t="shared" si="40"/>
        <v>50</v>
      </c>
      <c r="H227" s="73">
        <f t="shared" si="34"/>
        <v>50</v>
      </c>
      <c r="I227" s="73">
        <f t="shared" si="35"/>
        <v>48.95</v>
      </c>
      <c r="J227" s="72" t="s">
        <v>866</v>
      </c>
      <c r="K227" s="74"/>
      <c r="M227" s="79"/>
      <c r="N227" s="76" t="e">
        <f t="shared" si="41"/>
        <v>#N/A</v>
      </c>
      <c r="O227" s="76"/>
      <c r="P227" s="112"/>
      <c r="R227" s="79"/>
      <c r="S227" s="76" t="e">
        <f t="shared" si="36"/>
        <v>#N/A</v>
      </c>
      <c r="T227" s="76"/>
      <c r="U227" s="112"/>
    </row>
    <row r="228" spans="1:21" x14ac:dyDescent="0.25">
      <c r="A228" s="95">
        <v>45647</v>
      </c>
      <c r="B228" s="72" t="s">
        <v>251</v>
      </c>
      <c r="C228" s="72" t="s">
        <v>8</v>
      </c>
      <c r="D228" s="72" t="s">
        <v>121</v>
      </c>
      <c r="E228" s="72" t="s">
        <v>82</v>
      </c>
      <c r="F228" s="72">
        <v>1</v>
      </c>
      <c r="G228" s="73">
        <f t="shared" si="40"/>
        <v>200</v>
      </c>
      <c r="H228" s="73">
        <f t="shared" si="34"/>
        <v>200</v>
      </c>
      <c r="I228" s="73">
        <f t="shared" si="35"/>
        <v>195.8</v>
      </c>
      <c r="J228" s="72" t="s">
        <v>866</v>
      </c>
      <c r="K228" s="74"/>
      <c r="M228" s="79"/>
      <c r="N228" s="76" t="e">
        <f t="shared" si="41"/>
        <v>#N/A</v>
      </c>
      <c r="O228" s="76"/>
      <c r="P228" s="112"/>
      <c r="R228" s="79"/>
      <c r="S228" s="76" t="e">
        <f t="shared" si="36"/>
        <v>#N/A</v>
      </c>
      <c r="T228" s="76"/>
      <c r="U228" s="112"/>
    </row>
    <row r="229" spans="1:21" x14ac:dyDescent="0.25">
      <c r="A229" s="95">
        <v>45647</v>
      </c>
      <c r="B229" s="72" t="s">
        <v>251</v>
      </c>
      <c r="C229" s="72" t="s">
        <v>8</v>
      </c>
      <c r="D229" s="72" t="s">
        <v>48</v>
      </c>
      <c r="E229" s="72" t="s">
        <v>82</v>
      </c>
      <c r="F229" s="72">
        <v>1</v>
      </c>
      <c r="G229" s="73">
        <f t="shared" si="40"/>
        <v>10</v>
      </c>
      <c r="H229" s="73">
        <f t="shared" si="34"/>
        <v>10</v>
      </c>
      <c r="I229" s="73">
        <f t="shared" si="35"/>
        <v>9.7899999999999991</v>
      </c>
      <c r="J229" s="72" t="s">
        <v>866</v>
      </c>
      <c r="K229" s="74"/>
      <c r="M229" s="79"/>
      <c r="N229" s="76" t="e">
        <f t="shared" si="41"/>
        <v>#N/A</v>
      </c>
      <c r="O229" s="76"/>
      <c r="P229" s="112"/>
      <c r="R229" s="79"/>
      <c r="S229" s="76" t="e">
        <f t="shared" si="36"/>
        <v>#N/A</v>
      </c>
      <c r="T229" s="76"/>
      <c r="U229" s="112"/>
    </row>
    <row r="230" spans="1:21" x14ac:dyDescent="0.25">
      <c r="A230" s="95">
        <v>45647</v>
      </c>
      <c r="B230" s="72" t="s">
        <v>251</v>
      </c>
      <c r="C230" s="72" t="s">
        <v>8</v>
      </c>
      <c r="D230" s="72" t="s">
        <v>34</v>
      </c>
      <c r="E230" s="72" t="s">
        <v>82</v>
      </c>
      <c r="F230" s="72">
        <v>1</v>
      </c>
      <c r="G230" s="73">
        <v>15</v>
      </c>
      <c r="H230" s="73">
        <f t="shared" si="34"/>
        <v>15</v>
      </c>
      <c r="I230" s="73">
        <f t="shared" si="35"/>
        <v>14.685</v>
      </c>
      <c r="J230" s="72" t="s">
        <v>866</v>
      </c>
      <c r="K230" s="74"/>
      <c r="M230" s="79"/>
      <c r="N230" s="76" t="e">
        <f t="shared" si="41"/>
        <v>#N/A</v>
      </c>
      <c r="O230" s="76"/>
      <c r="P230" s="112"/>
      <c r="R230" s="79"/>
      <c r="S230" s="76" t="e">
        <f t="shared" si="36"/>
        <v>#N/A</v>
      </c>
      <c r="T230" s="76"/>
      <c r="U230" s="112"/>
    </row>
    <row r="231" spans="1:21" x14ac:dyDescent="0.25">
      <c r="A231" s="95">
        <v>45647</v>
      </c>
      <c r="B231" s="72" t="s">
        <v>935</v>
      </c>
      <c r="C231" s="72" t="s">
        <v>8</v>
      </c>
      <c r="D231" s="72" t="s">
        <v>18</v>
      </c>
      <c r="E231" s="72" t="s">
        <v>82</v>
      </c>
      <c r="F231" s="72">
        <v>1</v>
      </c>
      <c r="G231" s="73">
        <f>VLOOKUP(D231,$W$3:$X$72,2,0)</f>
        <v>40</v>
      </c>
      <c r="H231" s="73">
        <f t="shared" si="34"/>
        <v>40</v>
      </c>
      <c r="I231" s="73">
        <f t="shared" si="35"/>
        <v>39.159999999999997</v>
      </c>
      <c r="J231" s="72" t="s">
        <v>866</v>
      </c>
      <c r="K231" s="74"/>
      <c r="M231" s="79"/>
      <c r="N231" s="76" t="e">
        <f t="shared" si="41"/>
        <v>#N/A</v>
      </c>
      <c r="O231" s="76"/>
      <c r="P231" s="112"/>
      <c r="R231" s="79"/>
      <c r="S231" s="76" t="e">
        <f t="shared" si="36"/>
        <v>#N/A</v>
      </c>
      <c r="T231" s="76"/>
      <c r="U231" s="112"/>
    </row>
    <row r="232" spans="1:21" x14ac:dyDescent="0.25">
      <c r="A232" s="95">
        <v>45647</v>
      </c>
      <c r="B232" s="72" t="s">
        <v>935</v>
      </c>
      <c r="C232" s="72" t="s">
        <v>8</v>
      </c>
      <c r="D232" s="72" t="s">
        <v>774</v>
      </c>
      <c r="E232" s="72" t="s">
        <v>82</v>
      </c>
      <c r="F232" s="72">
        <v>1</v>
      </c>
      <c r="G232" s="73">
        <v>3</v>
      </c>
      <c r="H232" s="73">
        <f t="shared" si="34"/>
        <v>3</v>
      </c>
      <c r="I232" s="73">
        <f t="shared" si="35"/>
        <v>2.9369999999999998</v>
      </c>
      <c r="J232" s="72" t="s">
        <v>866</v>
      </c>
      <c r="K232" s="74"/>
      <c r="M232" s="79"/>
      <c r="N232" s="76" t="e">
        <f t="shared" si="41"/>
        <v>#N/A</v>
      </c>
      <c r="O232" s="76"/>
      <c r="P232" s="112"/>
      <c r="R232" s="79"/>
      <c r="S232" s="76" t="e">
        <f t="shared" si="36"/>
        <v>#N/A</v>
      </c>
      <c r="T232" s="76"/>
      <c r="U232" s="112"/>
    </row>
    <row r="233" spans="1:21" x14ac:dyDescent="0.25">
      <c r="A233" s="95">
        <v>45647</v>
      </c>
      <c r="B233" s="72" t="s">
        <v>482</v>
      </c>
      <c r="C233" s="72" t="s">
        <v>8</v>
      </c>
      <c r="D233" s="72" t="s">
        <v>777</v>
      </c>
      <c r="E233" s="72" t="s">
        <v>82</v>
      </c>
      <c r="F233" s="72">
        <v>1</v>
      </c>
      <c r="G233" s="73">
        <f>VLOOKUP(D233,$W$3:$X$72,2,0)</f>
        <v>4</v>
      </c>
      <c r="H233" s="73">
        <f t="shared" si="34"/>
        <v>4</v>
      </c>
      <c r="I233" s="73">
        <f t="shared" si="35"/>
        <v>3.9159999999999999</v>
      </c>
      <c r="J233" s="72" t="s">
        <v>866</v>
      </c>
      <c r="K233" s="74"/>
      <c r="M233" s="79"/>
      <c r="N233" s="76" t="e">
        <f t="shared" si="41"/>
        <v>#N/A</v>
      </c>
      <c r="O233" s="76"/>
      <c r="P233" s="112"/>
      <c r="R233" s="79"/>
      <c r="S233" s="76" t="e">
        <f t="shared" si="36"/>
        <v>#N/A</v>
      </c>
      <c r="T233" s="76"/>
      <c r="U233" s="112"/>
    </row>
    <row r="234" spans="1:21" x14ac:dyDescent="0.25">
      <c r="A234" s="95">
        <v>45647</v>
      </c>
      <c r="B234" s="72" t="s">
        <v>482</v>
      </c>
      <c r="C234" s="72" t="s">
        <v>8</v>
      </c>
      <c r="D234" s="72" t="s">
        <v>183</v>
      </c>
      <c r="E234" s="72" t="s">
        <v>82</v>
      </c>
      <c r="F234" s="72">
        <v>1</v>
      </c>
      <c r="G234" s="73">
        <v>5</v>
      </c>
      <c r="H234" s="73">
        <f t="shared" si="34"/>
        <v>5</v>
      </c>
      <c r="I234" s="73">
        <f t="shared" si="35"/>
        <v>4.8949999999999996</v>
      </c>
      <c r="J234" s="72" t="s">
        <v>866</v>
      </c>
      <c r="K234" s="74"/>
      <c r="M234" s="79"/>
      <c r="N234" s="76" t="e">
        <f t="shared" si="41"/>
        <v>#N/A</v>
      </c>
      <c r="O234" s="76"/>
      <c r="P234" s="112"/>
      <c r="R234" s="79"/>
      <c r="S234" s="76" t="e">
        <f t="shared" si="36"/>
        <v>#N/A</v>
      </c>
      <c r="T234" s="76"/>
      <c r="U234" s="112"/>
    </row>
    <row r="235" spans="1:21" x14ac:dyDescent="0.25">
      <c r="A235" s="95">
        <v>45647</v>
      </c>
      <c r="B235" s="72" t="s">
        <v>952</v>
      </c>
      <c r="C235" s="72" t="s">
        <v>8</v>
      </c>
      <c r="D235" s="72" t="s">
        <v>60</v>
      </c>
      <c r="E235" s="72" t="s">
        <v>56</v>
      </c>
      <c r="F235" s="72">
        <v>1</v>
      </c>
      <c r="G235" s="73">
        <v>130</v>
      </c>
      <c r="H235" s="73">
        <f t="shared" si="34"/>
        <v>130</v>
      </c>
      <c r="I235" s="73">
        <f t="shared" si="35"/>
        <v>130</v>
      </c>
      <c r="J235" s="72" t="s">
        <v>83</v>
      </c>
      <c r="K235" s="74"/>
      <c r="M235" s="79" t="s">
        <v>60</v>
      </c>
      <c r="N235" s="76">
        <f t="shared" si="41"/>
        <v>52</v>
      </c>
      <c r="O235" s="76">
        <f t="shared" ref="O235:O240" si="42">N235*F235</f>
        <v>52</v>
      </c>
      <c r="P235" s="112"/>
      <c r="R235" s="79"/>
      <c r="S235" s="76" t="e">
        <f t="shared" si="36"/>
        <v>#N/A</v>
      </c>
      <c r="T235" s="76"/>
      <c r="U235" s="112"/>
    </row>
    <row r="236" spans="1:21" x14ac:dyDescent="0.25">
      <c r="A236" s="95">
        <v>45647</v>
      </c>
      <c r="B236" s="72" t="s">
        <v>952</v>
      </c>
      <c r="C236" s="72" t="s">
        <v>8</v>
      </c>
      <c r="D236" s="72" t="s">
        <v>18</v>
      </c>
      <c r="E236" s="72" t="s">
        <v>56</v>
      </c>
      <c r="F236" s="72">
        <v>1</v>
      </c>
      <c r="G236" s="73">
        <f>VLOOKUP(D236,$W$3:$X$72,2,0)</f>
        <v>40</v>
      </c>
      <c r="H236" s="73">
        <f t="shared" si="34"/>
        <v>40</v>
      </c>
      <c r="I236" s="73">
        <f t="shared" si="35"/>
        <v>40</v>
      </c>
      <c r="J236" s="72" t="s">
        <v>83</v>
      </c>
      <c r="K236" s="74"/>
      <c r="M236" s="79" t="s">
        <v>18</v>
      </c>
      <c r="N236" s="76">
        <f t="shared" si="41"/>
        <v>16</v>
      </c>
      <c r="O236" s="76">
        <f t="shared" si="42"/>
        <v>16</v>
      </c>
      <c r="P236" s="112"/>
      <c r="R236" s="79"/>
      <c r="S236" s="76" t="e">
        <f t="shared" si="36"/>
        <v>#N/A</v>
      </c>
      <c r="T236" s="76"/>
      <c r="U236" s="112"/>
    </row>
    <row r="237" spans="1:21" x14ac:dyDescent="0.25">
      <c r="A237" s="95">
        <v>45647</v>
      </c>
      <c r="B237" s="72" t="s">
        <v>961</v>
      </c>
      <c r="C237" s="72" t="s">
        <v>8</v>
      </c>
      <c r="D237" s="72" t="s">
        <v>40</v>
      </c>
      <c r="E237" s="72" t="s">
        <v>56</v>
      </c>
      <c r="F237" s="72">
        <v>1</v>
      </c>
      <c r="G237" s="73">
        <f>VLOOKUP(D237,$W$3:$X$72,2,0)</f>
        <v>45</v>
      </c>
      <c r="H237" s="73">
        <f t="shared" si="34"/>
        <v>45</v>
      </c>
      <c r="I237" s="73">
        <f t="shared" si="35"/>
        <v>44.055</v>
      </c>
      <c r="J237" s="72" t="s">
        <v>866</v>
      </c>
      <c r="K237" s="74"/>
      <c r="M237" s="79" t="s">
        <v>40</v>
      </c>
      <c r="N237" s="76">
        <f t="shared" si="41"/>
        <v>18</v>
      </c>
      <c r="O237" s="76">
        <f t="shared" si="42"/>
        <v>18</v>
      </c>
      <c r="P237" s="112"/>
      <c r="R237" s="79"/>
      <c r="S237" s="76" t="e">
        <f t="shared" si="36"/>
        <v>#N/A</v>
      </c>
      <c r="T237" s="76"/>
      <c r="U237" s="112"/>
    </row>
    <row r="238" spans="1:21" x14ac:dyDescent="0.25">
      <c r="A238" s="95">
        <v>45647</v>
      </c>
      <c r="B238" s="72" t="s">
        <v>962</v>
      </c>
      <c r="C238" s="72" t="s">
        <v>8</v>
      </c>
      <c r="D238" s="72" t="s">
        <v>60</v>
      </c>
      <c r="E238" s="72" t="s">
        <v>56</v>
      </c>
      <c r="F238" s="72">
        <v>1</v>
      </c>
      <c r="G238" s="73">
        <v>130</v>
      </c>
      <c r="H238" s="73">
        <f t="shared" si="34"/>
        <v>130</v>
      </c>
      <c r="I238" s="73">
        <f t="shared" si="35"/>
        <v>127.27</v>
      </c>
      <c r="J238" s="72" t="s">
        <v>866</v>
      </c>
      <c r="K238" s="74"/>
      <c r="M238" s="79" t="s">
        <v>60</v>
      </c>
      <c r="N238" s="76">
        <f t="shared" si="41"/>
        <v>52</v>
      </c>
      <c r="O238" s="76">
        <f t="shared" si="42"/>
        <v>52</v>
      </c>
      <c r="P238" s="112"/>
      <c r="R238" s="79"/>
      <c r="S238" s="76" t="e">
        <f t="shared" si="36"/>
        <v>#N/A</v>
      </c>
      <c r="T238" s="76"/>
      <c r="U238" s="112"/>
    </row>
    <row r="239" spans="1:21" x14ac:dyDescent="0.25">
      <c r="A239" s="95">
        <v>45648</v>
      </c>
      <c r="B239" s="72" t="s">
        <v>809</v>
      </c>
      <c r="C239" s="72" t="s">
        <v>8</v>
      </c>
      <c r="D239" s="72" t="s">
        <v>18</v>
      </c>
      <c r="E239" s="72" t="s">
        <v>56</v>
      </c>
      <c r="F239" s="72">
        <v>1</v>
      </c>
      <c r="G239" s="73">
        <f>VLOOKUP(D239,$W$3:$X$72,2,0)</f>
        <v>40</v>
      </c>
      <c r="H239" s="73">
        <f t="shared" si="34"/>
        <v>40</v>
      </c>
      <c r="I239" s="73">
        <f t="shared" si="35"/>
        <v>39.159999999999997</v>
      </c>
      <c r="J239" s="72" t="s">
        <v>866</v>
      </c>
      <c r="K239" s="74"/>
      <c r="M239" s="79" t="s">
        <v>18</v>
      </c>
      <c r="N239" s="76">
        <f t="shared" si="41"/>
        <v>16</v>
      </c>
      <c r="O239" s="76">
        <f t="shared" si="42"/>
        <v>16</v>
      </c>
      <c r="P239" s="112"/>
      <c r="R239" s="79"/>
      <c r="S239" s="76" t="e">
        <f t="shared" si="36"/>
        <v>#N/A</v>
      </c>
      <c r="T239" s="76"/>
      <c r="U239" s="112"/>
    </row>
    <row r="240" spans="1:21" x14ac:dyDescent="0.25">
      <c r="A240" s="95">
        <v>45648</v>
      </c>
      <c r="B240" s="72" t="s">
        <v>591</v>
      </c>
      <c r="C240" s="72" t="s">
        <v>8</v>
      </c>
      <c r="D240" s="72" t="s">
        <v>18</v>
      </c>
      <c r="E240" s="72" t="s">
        <v>56</v>
      </c>
      <c r="F240" s="72">
        <v>1</v>
      </c>
      <c r="G240" s="73">
        <f>VLOOKUP(D240,$W$3:$X$72,2,0)</f>
        <v>40</v>
      </c>
      <c r="H240" s="73">
        <f t="shared" si="34"/>
        <v>40</v>
      </c>
      <c r="I240" s="73">
        <f t="shared" si="35"/>
        <v>40</v>
      </c>
      <c r="J240" s="72" t="s">
        <v>79</v>
      </c>
      <c r="K240" s="74"/>
      <c r="M240" s="79" t="s">
        <v>18</v>
      </c>
      <c r="N240" s="76">
        <f t="shared" si="41"/>
        <v>16</v>
      </c>
      <c r="O240" s="76">
        <f t="shared" si="42"/>
        <v>16</v>
      </c>
      <c r="P240" s="112"/>
      <c r="R240" s="79"/>
      <c r="S240" s="76" t="e">
        <f t="shared" si="36"/>
        <v>#N/A</v>
      </c>
      <c r="T240" s="76"/>
      <c r="U240" s="112"/>
    </row>
    <row r="241" spans="1:21" x14ac:dyDescent="0.25">
      <c r="A241" s="95">
        <v>45648</v>
      </c>
      <c r="B241" s="72" t="s">
        <v>568</v>
      </c>
      <c r="C241" s="72" t="s">
        <v>8</v>
      </c>
      <c r="D241" s="72" t="s">
        <v>18</v>
      </c>
      <c r="E241" s="72" t="s">
        <v>82</v>
      </c>
      <c r="F241" s="72">
        <v>1</v>
      </c>
      <c r="G241" s="73">
        <f>VLOOKUP(D241,$W$3:$X$72,2,0)</f>
        <v>40</v>
      </c>
      <c r="H241" s="73">
        <f t="shared" si="34"/>
        <v>40</v>
      </c>
      <c r="I241" s="73">
        <f t="shared" si="35"/>
        <v>40</v>
      </c>
      <c r="J241" s="72" t="s">
        <v>83</v>
      </c>
      <c r="K241" s="74"/>
      <c r="M241" s="79"/>
      <c r="N241" s="76" t="e">
        <f t="shared" si="41"/>
        <v>#N/A</v>
      </c>
      <c r="O241" s="76"/>
      <c r="P241" s="112"/>
      <c r="Q241" s="106"/>
      <c r="R241" s="79"/>
      <c r="S241" s="76" t="e">
        <f t="shared" si="36"/>
        <v>#N/A</v>
      </c>
      <c r="T241" s="76"/>
      <c r="U241" s="112"/>
    </row>
    <row r="242" spans="1:21" x14ac:dyDescent="0.25">
      <c r="A242" s="95">
        <v>45648</v>
      </c>
      <c r="B242" s="72" t="s">
        <v>301</v>
      </c>
      <c r="C242" s="72" t="s">
        <v>8</v>
      </c>
      <c r="D242" s="72" t="s">
        <v>920</v>
      </c>
      <c r="E242" s="72" t="s">
        <v>82</v>
      </c>
      <c r="F242" s="72">
        <v>1</v>
      </c>
      <c r="G242" s="73">
        <f>VLOOKUP(D242,$W$3:$X$72,2,0)</f>
        <v>80</v>
      </c>
      <c r="H242" s="73">
        <f t="shared" si="34"/>
        <v>80</v>
      </c>
      <c r="I242" s="73">
        <f t="shared" si="35"/>
        <v>76.28</v>
      </c>
      <c r="J242" s="72" t="s">
        <v>865</v>
      </c>
      <c r="K242" s="74"/>
      <c r="M242" s="79"/>
      <c r="N242" s="76" t="e">
        <f t="shared" si="41"/>
        <v>#N/A</v>
      </c>
      <c r="O242" s="76"/>
      <c r="P242" s="112"/>
      <c r="R242" s="79"/>
      <c r="S242" s="76" t="e">
        <f t="shared" si="36"/>
        <v>#N/A</v>
      </c>
      <c r="T242" s="76"/>
      <c r="U242" s="112"/>
    </row>
    <row r="243" spans="1:21" x14ac:dyDescent="0.25">
      <c r="A243" s="95">
        <v>45648</v>
      </c>
      <c r="B243" s="72" t="s">
        <v>301</v>
      </c>
      <c r="C243" s="72" t="s">
        <v>8</v>
      </c>
      <c r="D243" s="72" t="s">
        <v>23</v>
      </c>
      <c r="E243" s="72" t="s">
        <v>82</v>
      </c>
      <c r="F243" s="72">
        <v>1</v>
      </c>
      <c r="G243" s="73">
        <f>VLOOKUP(D243,$W$3:$X$72,2,0)</f>
        <v>5</v>
      </c>
      <c r="H243" s="73">
        <f t="shared" si="34"/>
        <v>5</v>
      </c>
      <c r="I243" s="73">
        <f t="shared" si="35"/>
        <v>4.7675000000000001</v>
      </c>
      <c r="J243" s="72" t="s">
        <v>865</v>
      </c>
      <c r="K243" s="74"/>
      <c r="M243" s="79"/>
      <c r="N243" s="76" t="e">
        <f t="shared" si="41"/>
        <v>#N/A</v>
      </c>
      <c r="O243" s="76"/>
      <c r="P243" s="112"/>
      <c r="R243" s="79"/>
      <c r="S243" s="76" t="e">
        <f t="shared" si="36"/>
        <v>#N/A</v>
      </c>
      <c r="T243" s="76"/>
      <c r="U243" s="112"/>
    </row>
    <row r="244" spans="1:21" x14ac:dyDescent="0.25">
      <c r="A244" s="95">
        <v>45648</v>
      </c>
      <c r="B244" s="72" t="s">
        <v>512</v>
      </c>
      <c r="C244" s="72" t="s">
        <v>8</v>
      </c>
      <c r="D244" s="72" t="s">
        <v>19</v>
      </c>
      <c r="E244" s="72" t="s">
        <v>82</v>
      </c>
      <c r="F244" s="72">
        <v>1</v>
      </c>
      <c r="G244" s="73">
        <v>35</v>
      </c>
      <c r="H244" s="73">
        <f t="shared" si="34"/>
        <v>35</v>
      </c>
      <c r="I244" s="73">
        <f t="shared" si="35"/>
        <v>34.265000000000001</v>
      </c>
      <c r="J244" s="72" t="s">
        <v>866</v>
      </c>
      <c r="K244" s="74"/>
      <c r="M244" s="79"/>
      <c r="N244" s="76" t="e">
        <f t="shared" si="41"/>
        <v>#N/A</v>
      </c>
      <c r="O244" s="76"/>
      <c r="P244" s="112"/>
      <c r="R244" s="79"/>
      <c r="S244" s="76" t="e">
        <f t="shared" si="36"/>
        <v>#N/A</v>
      </c>
      <c r="T244" s="76"/>
      <c r="U244" s="112"/>
    </row>
    <row r="245" spans="1:21" x14ac:dyDescent="0.25">
      <c r="A245" s="95">
        <v>45648</v>
      </c>
      <c r="B245" s="72" t="s">
        <v>963</v>
      </c>
      <c r="C245" s="72" t="s">
        <v>10</v>
      </c>
      <c r="D245" s="72" t="s">
        <v>15</v>
      </c>
      <c r="E245" s="72" t="s">
        <v>913</v>
      </c>
      <c r="F245" s="72">
        <v>1</v>
      </c>
      <c r="G245" s="73">
        <f t="shared" ref="G245:G251" si="43">VLOOKUP(D245,$W$3:$X$72,2,0)</f>
        <v>70</v>
      </c>
      <c r="H245" s="73">
        <f t="shared" si="34"/>
        <v>70</v>
      </c>
      <c r="I245" s="73">
        <f t="shared" si="35"/>
        <v>68.319999999999993</v>
      </c>
      <c r="J245" s="72" t="s">
        <v>869</v>
      </c>
      <c r="K245" s="74"/>
      <c r="M245" s="79"/>
      <c r="N245" s="76" t="e">
        <f t="shared" si="41"/>
        <v>#N/A</v>
      </c>
      <c r="O245" s="76"/>
      <c r="P245" s="112"/>
      <c r="R245" s="79" t="s">
        <v>15</v>
      </c>
      <c r="S245" s="76">
        <f t="shared" si="36"/>
        <v>28</v>
      </c>
      <c r="T245" s="76">
        <f>S245*F245</f>
        <v>28</v>
      </c>
      <c r="U245" s="112"/>
    </row>
    <row r="246" spans="1:21" x14ac:dyDescent="0.25">
      <c r="A246" s="95">
        <v>45648</v>
      </c>
      <c r="B246" s="72" t="s">
        <v>963</v>
      </c>
      <c r="C246" s="72" t="s">
        <v>10</v>
      </c>
      <c r="D246" s="72" t="s">
        <v>932</v>
      </c>
      <c r="E246" s="72" t="s">
        <v>913</v>
      </c>
      <c r="F246" s="72">
        <v>1</v>
      </c>
      <c r="G246" s="73">
        <f t="shared" si="43"/>
        <v>35</v>
      </c>
      <c r="H246" s="73">
        <f t="shared" si="34"/>
        <v>35</v>
      </c>
      <c r="I246" s="73">
        <f t="shared" si="35"/>
        <v>34.159999999999997</v>
      </c>
      <c r="J246" s="72" t="s">
        <v>869</v>
      </c>
      <c r="K246" s="74"/>
      <c r="M246" s="79"/>
      <c r="N246" s="76" t="e">
        <f t="shared" si="41"/>
        <v>#N/A</v>
      </c>
      <c r="O246" s="76"/>
      <c r="P246" s="112"/>
      <c r="R246" s="79" t="s">
        <v>33</v>
      </c>
      <c r="S246" s="76" t="e">
        <f t="shared" si="36"/>
        <v>#N/A</v>
      </c>
      <c r="T246" s="76"/>
      <c r="U246" s="112"/>
    </row>
    <row r="247" spans="1:21" x14ac:dyDescent="0.25">
      <c r="A247" s="95">
        <v>45648</v>
      </c>
      <c r="B247" s="72" t="s">
        <v>481</v>
      </c>
      <c r="C247" s="72" t="s">
        <v>8</v>
      </c>
      <c r="D247" s="72" t="s">
        <v>18</v>
      </c>
      <c r="E247" s="72" t="s">
        <v>56</v>
      </c>
      <c r="F247" s="72">
        <v>1</v>
      </c>
      <c r="G247" s="73">
        <f t="shared" si="43"/>
        <v>40</v>
      </c>
      <c r="H247" s="73">
        <f t="shared" si="34"/>
        <v>40</v>
      </c>
      <c r="I247" s="73">
        <f t="shared" si="35"/>
        <v>40</v>
      </c>
      <c r="J247" s="72" t="s">
        <v>83</v>
      </c>
      <c r="K247" s="74"/>
      <c r="M247" s="79" t="s">
        <v>18</v>
      </c>
      <c r="N247" s="76">
        <f t="shared" si="41"/>
        <v>16</v>
      </c>
      <c r="O247" s="76">
        <f>N247*F247</f>
        <v>16</v>
      </c>
      <c r="P247" s="112"/>
      <c r="R247" s="79"/>
      <c r="S247" s="76" t="e">
        <f t="shared" si="36"/>
        <v>#N/A</v>
      </c>
      <c r="T247" s="76"/>
      <c r="U247" s="112"/>
    </row>
    <row r="248" spans="1:21" x14ac:dyDescent="0.25">
      <c r="A248" s="95">
        <v>45648</v>
      </c>
      <c r="B248" s="72" t="s">
        <v>964</v>
      </c>
      <c r="C248" s="72" t="s">
        <v>10</v>
      </c>
      <c r="D248" s="72" t="s">
        <v>18</v>
      </c>
      <c r="E248" s="72" t="s">
        <v>913</v>
      </c>
      <c r="F248" s="72">
        <v>1</v>
      </c>
      <c r="G248" s="73">
        <f t="shared" si="43"/>
        <v>40</v>
      </c>
      <c r="H248" s="73">
        <f t="shared" si="34"/>
        <v>40</v>
      </c>
      <c r="I248" s="73">
        <f t="shared" si="35"/>
        <v>40</v>
      </c>
      <c r="J248" s="72" t="s">
        <v>83</v>
      </c>
      <c r="K248" s="74"/>
      <c r="M248" s="79"/>
      <c r="N248" s="76" t="e">
        <f t="shared" si="41"/>
        <v>#N/A</v>
      </c>
      <c r="O248" s="76"/>
      <c r="P248" s="112"/>
      <c r="R248" s="79" t="s">
        <v>18</v>
      </c>
      <c r="S248" s="76">
        <f t="shared" si="36"/>
        <v>16</v>
      </c>
      <c r="T248" s="76">
        <f>S248*F248</f>
        <v>16</v>
      </c>
      <c r="U248" s="112"/>
    </row>
    <row r="249" spans="1:21" x14ac:dyDescent="0.25">
      <c r="A249" s="95">
        <v>45648</v>
      </c>
      <c r="B249" s="72" t="s">
        <v>513</v>
      </c>
      <c r="C249" s="72" t="s">
        <v>8</v>
      </c>
      <c r="D249" s="72" t="s">
        <v>19</v>
      </c>
      <c r="E249" s="72" t="s">
        <v>82</v>
      </c>
      <c r="F249" s="72">
        <v>1</v>
      </c>
      <c r="G249" s="73">
        <f t="shared" si="43"/>
        <v>40</v>
      </c>
      <c r="H249" s="73">
        <f t="shared" si="34"/>
        <v>40</v>
      </c>
      <c r="I249" s="73">
        <f t="shared" si="35"/>
        <v>38.14</v>
      </c>
      <c r="J249" s="72" t="s">
        <v>865</v>
      </c>
      <c r="K249" s="74"/>
      <c r="M249" s="79"/>
      <c r="N249" s="76" t="e">
        <f t="shared" si="41"/>
        <v>#N/A</v>
      </c>
      <c r="O249" s="76"/>
      <c r="P249" s="112"/>
      <c r="R249" s="79"/>
      <c r="S249" s="76" t="e">
        <f t="shared" si="36"/>
        <v>#N/A</v>
      </c>
      <c r="T249" s="76"/>
      <c r="U249" s="112"/>
    </row>
    <row r="250" spans="1:21" x14ac:dyDescent="0.25">
      <c r="A250" s="95">
        <v>45648</v>
      </c>
      <c r="B250" s="72" t="s">
        <v>513</v>
      </c>
      <c r="C250" s="72" t="s">
        <v>8</v>
      </c>
      <c r="D250" s="72" t="s">
        <v>40</v>
      </c>
      <c r="E250" s="72" t="s">
        <v>56</v>
      </c>
      <c r="F250" s="72">
        <v>1</v>
      </c>
      <c r="G250" s="73">
        <f t="shared" si="43"/>
        <v>45</v>
      </c>
      <c r="H250" s="73">
        <f t="shared" si="34"/>
        <v>45</v>
      </c>
      <c r="I250" s="73">
        <f t="shared" si="35"/>
        <v>45</v>
      </c>
      <c r="J250" s="72" t="s">
        <v>79</v>
      </c>
      <c r="K250" s="74"/>
      <c r="M250" s="72" t="s">
        <v>40</v>
      </c>
      <c r="N250" s="76">
        <f t="shared" si="41"/>
        <v>18</v>
      </c>
      <c r="O250" s="76">
        <f>N250*F250</f>
        <v>18</v>
      </c>
      <c r="P250" s="112"/>
      <c r="R250" s="79"/>
      <c r="S250" s="76" t="e">
        <f t="shared" si="36"/>
        <v>#N/A</v>
      </c>
      <c r="T250" s="76"/>
      <c r="U250" s="112"/>
    </row>
    <row r="251" spans="1:21" x14ac:dyDescent="0.25">
      <c r="A251" s="95">
        <v>45648</v>
      </c>
      <c r="B251" s="72" t="s">
        <v>142</v>
      </c>
      <c r="C251" s="72" t="s">
        <v>10</v>
      </c>
      <c r="D251" s="72" t="s">
        <v>916</v>
      </c>
      <c r="E251" s="72" t="s">
        <v>913</v>
      </c>
      <c r="F251" s="72">
        <v>1</v>
      </c>
      <c r="G251" s="73">
        <f t="shared" si="43"/>
        <v>50</v>
      </c>
      <c r="H251" s="73">
        <f t="shared" si="34"/>
        <v>50</v>
      </c>
      <c r="I251" s="73">
        <f t="shared" si="35"/>
        <v>50</v>
      </c>
      <c r="J251" s="72" t="s">
        <v>83</v>
      </c>
      <c r="K251" s="74"/>
      <c r="M251" s="79"/>
      <c r="N251" s="76" t="e">
        <f t="shared" si="41"/>
        <v>#N/A</v>
      </c>
      <c r="O251" s="76"/>
      <c r="P251" s="112"/>
      <c r="R251" s="79" t="s">
        <v>916</v>
      </c>
      <c r="S251" s="76">
        <f t="shared" si="36"/>
        <v>20</v>
      </c>
      <c r="T251" s="76">
        <f>S251*F251</f>
        <v>20</v>
      </c>
      <c r="U251" s="112"/>
    </row>
    <row r="252" spans="1:21" x14ac:dyDescent="0.25">
      <c r="A252" s="95">
        <v>45648</v>
      </c>
      <c r="B252" s="72" t="s">
        <v>827</v>
      </c>
      <c r="C252" s="72" t="s">
        <v>8</v>
      </c>
      <c r="D252" s="72" t="s">
        <v>17</v>
      </c>
      <c r="E252" s="72" t="s">
        <v>82</v>
      </c>
      <c r="F252" s="72">
        <v>1</v>
      </c>
      <c r="G252" s="73">
        <v>55</v>
      </c>
      <c r="H252" s="73">
        <f t="shared" si="34"/>
        <v>55</v>
      </c>
      <c r="I252" s="73">
        <f t="shared" si="35"/>
        <v>55</v>
      </c>
      <c r="J252" s="72" t="s">
        <v>83</v>
      </c>
      <c r="K252" s="74"/>
      <c r="M252" s="79"/>
      <c r="N252" s="76" t="e">
        <f t="shared" si="41"/>
        <v>#N/A</v>
      </c>
      <c r="O252" s="76"/>
      <c r="P252" s="112"/>
      <c r="R252" s="79"/>
      <c r="S252" s="76" t="e">
        <f t="shared" si="36"/>
        <v>#N/A</v>
      </c>
      <c r="T252" s="76"/>
      <c r="U252" s="112"/>
    </row>
    <row r="253" spans="1:21" x14ac:dyDescent="0.25">
      <c r="A253" s="95">
        <v>45648</v>
      </c>
      <c r="B253" s="72" t="s">
        <v>965</v>
      </c>
      <c r="C253" s="72" t="s">
        <v>8</v>
      </c>
      <c r="D253" s="72" t="s">
        <v>916</v>
      </c>
      <c r="E253" s="72" t="s">
        <v>56</v>
      </c>
      <c r="F253" s="72">
        <v>1</v>
      </c>
      <c r="G253" s="73">
        <f>VLOOKUP(D253,$W$3:$X$72,2,0)</f>
        <v>50</v>
      </c>
      <c r="H253" s="73">
        <f t="shared" si="34"/>
        <v>50</v>
      </c>
      <c r="I253" s="73">
        <f t="shared" si="35"/>
        <v>48.95</v>
      </c>
      <c r="J253" s="72" t="s">
        <v>866</v>
      </c>
      <c r="K253" s="74"/>
      <c r="M253" s="79" t="s">
        <v>916</v>
      </c>
      <c r="N253" s="76">
        <f t="shared" si="41"/>
        <v>20</v>
      </c>
      <c r="O253" s="76">
        <f t="shared" ref="O253:O258" si="44">N253*F253</f>
        <v>20</v>
      </c>
      <c r="P253" s="112"/>
      <c r="R253" s="79"/>
      <c r="S253" s="76" t="e">
        <f t="shared" si="36"/>
        <v>#N/A</v>
      </c>
      <c r="T253" s="76"/>
      <c r="U253" s="112"/>
    </row>
    <row r="254" spans="1:21" x14ac:dyDescent="0.25">
      <c r="A254" s="95">
        <v>45648</v>
      </c>
      <c r="B254" s="72" t="s">
        <v>965</v>
      </c>
      <c r="C254" s="72" t="s">
        <v>8</v>
      </c>
      <c r="D254" s="72" t="s">
        <v>60</v>
      </c>
      <c r="E254" s="72" t="s">
        <v>56</v>
      </c>
      <c r="F254" s="72">
        <v>1</v>
      </c>
      <c r="G254" s="73">
        <f>VLOOKUP(D254,$W$3:$X$72,2,0)</f>
        <v>130</v>
      </c>
      <c r="H254" s="73">
        <f t="shared" si="34"/>
        <v>130</v>
      </c>
      <c r="I254" s="73">
        <f t="shared" si="35"/>
        <v>127.27</v>
      </c>
      <c r="J254" s="72" t="s">
        <v>866</v>
      </c>
      <c r="K254" s="74"/>
      <c r="M254" s="79" t="s">
        <v>60</v>
      </c>
      <c r="N254" s="76">
        <f t="shared" si="41"/>
        <v>52</v>
      </c>
      <c r="O254" s="76">
        <f t="shared" si="44"/>
        <v>52</v>
      </c>
      <c r="P254" s="112"/>
      <c r="R254" s="79"/>
      <c r="S254" s="76" t="e">
        <f t="shared" si="36"/>
        <v>#N/A</v>
      </c>
      <c r="T254" s="76"/>
      <c r="U254" s="112"/>
    </row>
    <row r="255" spans="1:21" x14ac:dyDescent="0.25">
      <c r="A255" s="95">
        <v>45648</v>
      </c>
      <c r="B255" s="72" t="s">
        <v>965</v>
      </c>
      <c r="C255" s="72" t="s">
        <v>8</v>
      </c>
      <c r="D255" s="72" t="s">
        <v>29</v>
      </c>
      <c r="E255" s="72" t="s">
        <v>56</v>
      </c>
      <c r="F255" s="72">
        <v>1</v>
      </c>
      <c r="G255" s="73">
        <v>5</v>
      </c>
      <c r="H255" s="73">
        <f t="shared" si="34"/>
        <v>5</v>
      </c>
      <c r="I255" s="73">
        <f t="shared" si="35"/>
        <v>4.8949999999999996</v>
      </c>
      <c r="J255" s="72" t="s">
        <v>866</v>
      </c>
      <c r="K255" s="74" t="s">
        <v>966</v>
      </c>
      <c r="M255" s="79" t="s">
        <v>29</v>
      </c>
      <c r="N255" s="76">
        <f>H255*0.1</f>
        <v>0.5</v>
      </c>
      <c r="O255" s="76">
        <f t="shared" si="44"/>
        <v>0.5</v>
      </c>
      <c r="P255" s="112"/>
      <c r="R255" s="79"/>
      <c r="S255" s="76" t="e">
        <f t="shared" si="36"/>
        <v>#N/A</v>
      </c>
      <c r="T255" s="76"/>
      <c r="U255" s="112"/>
    </row>
    <row r="256" spans="1:21" x14ac:dyDescent="0.25">
      <c r="A256" s="95">
        <v>45648</v>
      </c>
      <c r="B256" s="72" t="s">
        <v>965</v>
      </c>
      <c r="C256" s="72" t="s">
        <v>8</v>
      </c>
      <c r="D256" s="72" t="s">
        <v>774</v>
      </c>
      <c r="E256" s="72" t="s">
        <v>56</v>
      </c>
      <c r="F256" s="72">
        <v>1</v>
      </c>
      <c r="G256" s="73">
        <v>3</v>
      </c>
      <c r="H256" s="73">
        <f t="shared" si="34"/>
        <v>3</v>
      </c>
      <c r="I256" s="73">
        <f t="shared" si="35"/>
        <v>2.9369999999999998</v>
      </c>
      <c r="J256" s="72" t="s">
        <v>866</v>
      </c>
      <c r="K256" s="74" t="s">
        <v>967</v>
      </c>
      <c r="M256" s="79" t="s">
        <v>774</v>
      </c>
      <c r="N256" s="76">
        <f t="shared" ref="N256:N287" si="45">VLOOKUP(M256,$W$3:$Y$72,3,0)</f>
        <v>0.45</v>
      </c>
      <c r="O256" s="76">
        <f t="shared" si="44"/>
        <v>0.45</v>
      </c>
      <c r="P256" s="112"/>
      <c r="R256" s="79"/>
      <c r="S256" s="76" t="e">
        <f t="shared" si="36"/>
        <v>#N/A</v>
      </c>
      <c r="T256" s="76"/>
      <c r="U256" s="112"/>
    </row>
    <row r="257" spans="1:21" x14ac:dyDescent="0.25">
      <c r="A257" s="95">
        <v>45648</v>
      </c>
      <c r="B257" s="72" t="s">
        <v>595</v>
      </c>
      <c r="C257" s="72" t="s">
        <v>8</v>
      </c>
      <c r="D257" s="72" t="s">
        <v>18</v>
      </c>
      <c r="E257" s="72" t="s">
        <v>56</v>
      </c>
      <c r="F257" s="72">
        <v>1</v>
      </c>
      <c r="G257" s="73">
        <f>VLOOKUP(D257,$W$3:$X$72,2,0)</f>
        <v>40</v>
      </c>
      <c r="H257" s="73">
        <f t="shared" si="34"/>
        <v>40</v>
      </c>
      <c r="I257" s="73">
        <f t="shared" si="35"/>
        <v>38</v>
      </c>
      <c r="J257" s="72" t="s">
        <v>867</v>
      </c>
      <c r="K257" s="74"/>
      <c r="M257" s="72" t="s">
        <v>18</v>
      </c>
      <c r="N257" s="76">
        <f t="shared" si="45"/>
        <v>16</v>
      </c>
      <c r="O257" s="76">
        <f t="shared" si="44"/>
        <v>16</v>
      </c>
      <c r="P257" s="112"/>
      <c r="Q257" s="106"/>
      <c r="R257" s="79"/>
      <c r="S257" s="76" t="e">
        <f t="shared" si="36"/>
        <v>#N/A</v>
      </c>
      <c r="T257" s="76"/>
      <c r="U257" s="112"/>
    </row>
    <row r="258" spans="1:21" x14ac:dyDescent="0.25">
      <c r="A258" s="95">
        <v>45648</v>
      </c>
      <c r="B258" s="72" t="s">
        <v>595</v>
      </c>
      <c r="C258" s="72" t="s">
        <v>8</v>
      </c>
      <c r="D258" s="72" t="s">
        <v>36</v>
      </c>
      <c r="E258" s="72" t="s">
        <v>56</v>
      </c>
      <c r="F258" s="72">
        <v>1</v>
      </c>
      <c r="G258" s="73">
        <f>VLOOKUP(D258,$W$3:$X$72,2,0)</f>
        <v>30</v>
      </c>
      <c r="H258" s="73">
        <f t="shared" si="34"/>
        <v>30</v>
      </c>
      <c r="I258" s="73">
        <f t="shared" si="35"/>
        <v>28.5</v>
      </c>
      <c r="J258" s="72" t="s">
        <v>867</v>
      </c>
      <c r="K258" s="74"/>
      <c r="M258" s="72" t="s">
        <v>36</v>
      </c>
      <c r="N258" s="76">
        <f t="shared" si="45"/>
        <v>3</v>
      </c>
      <c r="O258" s="76">
        <f t="shared" si="44"/>
        <v>3</v>
      </c>
      <c r="P258" s="112"/>
      <c r="R258" s="79"/>
      <c r="S258" s="76" t="e">
        <f t="shared" si="36"/>
        <v>#N/A</v>
      </c>
      <c r="T258" s="76"/>
      <c r="U258" s="112"/>
    </row>
    <row r="259" spans="1:21" x14ac:dyDescent="0.25">
      <c r="A259" s="95">
        <v>45648</v>
      </c>
      <c r="B259" s="72" t="s">
        <v>194</v>
      </c>
      <c r="C259" s="72" t="s">
        <v>8</v>
      </c>
      <c r="D259" s="72" t="s">
        <v>44</v>
      </c>
      <c r="E259" s="72" t="s">
        <v>82</v>
      </c>
      <c r="F259" s="72">
        <v>3</v>
      </c>
      <c r="G259" s="73">
        <v>6</v>
      </c>
      <c r="H259" s="73">
        <f t="shared" ref="H259:H322" si="46">F259*G259</f>
        <v>18</v>
      </c>
      <c r="I259" s="73">
        <f t="shared" ref="I259:I322" si="47">IF(J259="Master Debito",H259-(H259*$AG$5),IF(J259="Master Credito",H259-(H259*$AG$6), IF(J259="Visa Debito",H259-(H259*$AG$7), IF(J259="Visa Credito", H259-(H259*$AG$8), IF(J259="Elo Debito", H259-(H259*$AG$9), IF(J259="Elo Credito", H259-(H259*$AG$10), IF(J259="Pix", H259-(H259*$AG$11), IF(J259="Dinheiro (R$)", H259-(H259*$AG$12)))))))))</f>
        <v>18</v>
      </c>
      <c r="J259" s="72" t="s">
        <v>83</v>
      </c>
      <c r="K259" s="74"/>
      <c r="M259" s="79"/>
      <c r="N259" s="76" t="e">
        <f t="shared" si="45"/>
        <v>#N/A</v>
      </c>
      <c r="O259" s="76"/>
      <c r="P259" s="112"/>
      <c r="R259" s="79"/>
      <c r="S259" s="76" t="e">
        <f t="shared" ref="S259:S322" si="48">VLOOKUP(R259,$W$3:$Y$72,3,0)</f>
        <v>#N/A</v>
      </c>
      <c r="T259" s="76"/>
      <c r="U259" s="112"/>
    </row>
    <row r="260" spans="1:21" x14ac:dyDescent="0.25">
      <c r="A260" s="95">
        <v>45648</v>
      </c>
      <c r="B260" s="72" t="s">
        <v>194</v>
      </c>
      <c r="C260" s="72" t="s">
        <v>8</v>
      </c>
      <c r="D260" s="72" t="s">
        <v>18</v>
      </c>
      <c r="E260" s="72" t="s">
        <v>82</v>
      </c>
      <c r="F260" s="72">
        <v>1</v>
      </c>
      <c r="G260" s="73">
        <f>VLOOKUP(D260,$W$3:$X$72,2,0)</f>
        <v>40</v>
      </c>
      <c r="H260" s="73">
        <f t="shared" si="46"/>
        <v>40</v>
      </c>
      <c r="I260" s="73">
        <f t="shared" si="47"/>
        <v>40</v>
      </c>
      <c r="J260" s="72" t="s">
        <v>83</v>
      </c>
      <c r="K260" s="74"/>
      <c r="M260" s="79"/>
      <c r="N260" s="76" t="e">
        <f t="shared" si="45"/>
        <v>#N/A</v>
      </c>
      <c r="O260" s="76"/>
      <c r="P260" s="112"/>
      <c r="R260" s="79"/>
      <c r="S260" s="76" t="e">
        <f t="shared" si="48"/>
        <v>#N/A</v>
      </c>
      <c r="T260" s="76"/>
      <c r="U260" s="112"/>
    </row>
    <row r="261" spans="1:21" x14ac:dyDescent="0.25">
      <c r="A261" s="95">
        <v>45648</v>
      </c>
      <c r="B261" s="72" t="s">
        <v>194</v>
      </c>
      <c r="C261" s="72" t="s">
        <v>8</v>
      </c>
      <c r="D261" s="72" t="s">
        <v>37</v>
      </c>
      <c r="E261" s="72" t="s">
        <v>82</v>
      </c>
      <c r="F261" s="72">
        <v>1</v>
      </c>
      <c r="G261" s="73">
        <f>VLOOKUP(D261,$W$3:$X$72,2,0)</f>
        <v>7</v>
      </c>
      <c r="H261" s="73">
        <f t="shared" si="46"/>
        <v>7</v>
      </c>
      <c r="I261" s="73">
        <f t="shared" si="47"/>
        <v>7</v>
      </c>
      <c r="J261" s="72" t="s">
        <v>83</v>
      </c>
      <c r="K261" s="74"/>
      <c r="M261" s="79"/>
      <c r="N261" s="76" t="e">
        <f t="shared" si="45"/>
        <v>#N/A</v>
      </c>
      <c r="O261" s="76"/>
      <c r="P261" s="112"/>
      <c r="R261" s="79"/>
      <c r="S261" s="76" t="e">
        <f t="shared" si="48"/>
        <v>#N/A</v>
      </c>
      <c r="T261" s="76"/>
      <c r="U261" s="112"/>
    </row>
    <row r="262" spans="1:21" x14ac:dyDescent="0.25">
      <c r="A262" s="95">
        <v>45648</v>
      </c>
      <c r="B262" s="72" t="s">
        <v>194</v>
      </c>
      <c r="C262" s="72" t="s">
        <v>8</v>
      </c>
      <c r="D262" s="72" t="s">
        <v>121</v>
      </c>
      <c r="E262" s="72" t="s">
        <v>82</v>
      </c>
      <c r="F262" s="72">
        <v>1</v>
      </c>
      <c r="G262" s="73">
        <v>100</v>
      </c>
      <c r="H262" s="73">
        <f t="shared" si="46"/>
        <v>100</v>
      </c>
      <c r="I262" s="73">
        <f t="shared" si="47"/>
        <v>100</v>
      </c>
      <c r="J262" s="72" t="s">
        <v>83</v>
      </c>
      <c r="K262" s="74"/>
      <c r="M262" s="79"/>
      <c r="N262" s="76" t="e">
        <f t="shared" si="45"/>
        <v>#N/A</v>
      </c>
      <c r="O262" s="76"/>
      <c r="P262" s="112"/>
      <c r="R262" s="79"/>
      <c r="S262" s="76" t="e">
        <f t="shared" si="48"/>
        <v>#N/A</v>
      </c>
      <c r="T262" s="76"/>
      <c r="U262" s="112"/>
    </row>
    <row r="263" spans="1:21" x14ac:dyDescent="0.25">
      <c r="A263" s="95">
        <v>45648</v>
      </c>
      <c r="B263" s="72" t="s">
        <v>220</v>
      </c>
      <c r="C263" s="72" t="s">
        <v>8</v>
      </c>
      <c r="D263" s="72" t="s">
        <v>121</v>
      </c>
      <c r="E263" s="72" t="s">
        <v>82</v>
      </c>
      <c r="F263" s="72">
        <v>1</v>
      </c>
      <c r="G263" s="73">
        <f>VLOOKUP(D263,$W$3:$X$72,2,0)</f>
        <v>200</v>
      </c>
      <c r="H263" s="73">
        <f t="shared" si="46"/>
        <v>200</v>
      </c>
      <c r="I263" s="73">
        <f t="shared" si="47"/>
        <v>190</v>
      </c>
      <c r="J263" s="72" t="s">
        <v>867</v>
      </c>
      <c r="K263" s="74"/>
      <c r="M263" s="79"/>
      <c r="N263" s="76" t="e">
        <f t="shared" si="45"/>
        <v>#N/A</v>
      </c>
      <c r="O263" s="76"/>
      <c r="P263" s="112"/>
      <c r="R263" s="79"/>
      <c r="S263" s="76" t="e">
        <f t="shared" si="48"/>
        <v>#N/A</v>
      </c>
      <c r="T263" s="76"/>
      <c r="U263" s="112"/>
    </row>
    <row r="264" spans="1:21" x14ac:dyDescent="0.25">
      <c r="A264" s="95">
        <v>45648</v>
      </c>
      <c r="B264" s="72" t="s">
        <v>204</v>
      </c>
      <c r="C264" s="72" t="s">
        <v>8</v>
      </c>
      <c r="D264" s="72" t="s">
        <v>60</v>
      </c>
      <c r="E264" s="72" t="s">
        <v>82</v>
      </c>
      <c r="F264" s="72">
        <v>1</v>
      </c>
      <c r="G264" s="73">
        <f>VLOOKUP(D264,$W$3:$X$72,2,0)</f>
        <v>130</v>
      </c>
      <c r="H264" s="73">
        <f t="shared" si="46"/>
        <v>130</v>
      </c>
      <c r="I264" s="73">
        <f t="shared" si="47"/>
        <v>123.955</v>
      </c>
      <c r="J264" s="72" t="s">
        <v>865</v>
      </c>
      <c r="K264" s="74"/>
      <c r="M264" s="79"/>
      <c r="N264" s="76" t="e">
        <f t="shared" si="45"/>
        <v>#N/A</v>
      </c>
      <c r="O264" s="76"/>
      <c r="P264" s="112"/>
      <c r="R264" s="79"/>
      <c r="S264" s="76" t="e">
        <f t="shared" si="48"/>
        <v>#N/A</v>
      </c>
      <c r="T264" s="76"/>
      <c r="U264" s="112"/>
    </row>
    <row r="265" spans="1:21" x14ac:dyDescent="0.25">
      <c r="A265" s="95">
        <v>45649</v>
      </c>
      <c r="B265" s="72" t="s">
        <v>204</v>
      </c>
      <c r="C265" s="72" t="s">
        <v>8</v>
      </c>
      <c r="D265" s="72" t="s">
        <v>34</v>
      </c>
      <c r="E265" s="72" t="s">
        <v>82</v>
      </c>
      <c r="F265" s="72">
        <v>1</v>
      </c>
      <c r="G265" s="73">
        <v>15</v>
      </c>
      <c r="H265" s="73">
        <f t="shared" si="46"/>
        <v>15</v>
      </c>
      <c r="I265" s="73">
        <f t="shared" si="47"/>
        <v>15</v>
      </c>
      <c r="J265" s="72" t="s">
        <v>83</v>
      </c>
      <c r="K265" s="74"/>
      <c r="M265" s="79"/>
      <c r="N265" s="76" t="e">
        <f t="shared" si="45"/>
        <v>#N/A</v>
      </c>
      <c r="O265" s="76"/>
      <c r="P265" s="112"/>
      <c r="R265" s="79"/>
      <c r="S265" s="76" t="e">
        <f t="shared" si="48"/>
        <v>#N/A</v>
      </c>
      <c r="T265" s="76"/>
      <c r="U265" s="112"/>
    </row>
    <row r="266" spans="1:21" x14ac:dyDescent="0.25">
      <c r="A266" s="95">
        <v>45649</v>
      </c>
      <c r="B266" s="72" t="s">
        <v>538</v>
      </c>
      <c r="C266" s="72" t="s">
        <v>8</v>
      </c>
      <c r="D266" s="72" t="s">
        <v>18</v>
      </c>
      <c r="E266" s="72" t="s">
        <v>82</v>
      </c>
      <c r="F266" s="72">
        <v>1</v>
      </c>
      <c r="G266" s="73">
        <f>VLOOKUP(D266,$W$3:$X$72,2,0)</f>
        <v>40</v>
      </c>
      <c r="H266" s="73">
        <f t="shared" si="46"/>
        <v>40</v>
      </c>
      <c r="I266" s="73">
        <f t="shared" si="47"/>
        <v>39.159999999999997</v>
      </c>
      <c r="J266" s="72" t="s">
        <v>866</v>
      </c>
      <c r="K266" s="74"/>
      <c r="M266" s="79"/>
      <c r="N266" s="76" t="e">
        <f t="shared" si="45"/>
        <v>#N/A</v>
      </c>
      <c r="O266" s="76"/>
      <c r="P266" s="112"/>
      <c r="R266" s="79"/>
      <c r="S266" s="76" t="e">
        <f t="shared" si="48"/>
        <v>#N/A</v>
      </c>
      <c r="T266" s="76"/>
      <c r="U266" s="112"/>
    </row>
    <row r="267" spans="1:21" x14ac:dyDescent="0.25">
      <c r="A267" s="95">
        <v>45649</v>
      </c>
      <c r="B267" s="72" t="s">
        <v>200</v>
      </c>
      <c r="C267" s="72" t="s">
        <v>8</v>
      </c>
      <c r="D267" s="72" t="s">
        <v>921</v>
      </c>
      <c r="E267" s="72" t="s">
        <v>56</v>
      </c>
      <c r="F267" s="72">
        <v>1</v>
      </c>
      <c r="G267" s="73">
        <f>VLOOKUP(D267,$W$3:$X$72,2,0)</f>
        <v>55</v>
      </c>
      <c r="H267" s="73">
        <f t="shared" si="46"/>
        <v>55</v>
      </c>
      <c r="I267" s="73">
        <f t="shared" si="47"/>
        <v>55</v>
      </c>
      <c r="J267" s="72" t="s">
        <v>83</v>
      </c>
      <c r="K267" s="74"/>
      <c r="M267" s="79" t="s">
        <v>921</v>
      </c>
      <c r="N267" s="76">
        <f t="shared" si="45"/>
        <v>22</v>
      </c>
      <c r="O267" s="76">
        <f>N267*F267</f>
        <v>22</v>
      </c>
      <c r="P267" s="112"/>
      <c r="R267" s="79"/>
      <c r="S267" s="76" t="e">
        <f t="shared" si="48"/>
        <v>#N/A</v>
      </c>
      <c r="T267" s="76"/>
      <c r="U267" s="112"/>
    </row>
    <row r="268" spans="1:21" x14ac:dyDescent="0.25">
      <c r="A268" s="95">
        <v>45649</v>
      </c>
      <c r="B268" s="72" t="s">
        <v>202</v>
      </c>
      <c r="C268" s="72" t="s">
        <v>8</v>
      </c>
      <c r="D268" s="72" t="s">
        <v>15</v>
      </c>
      <c r="E268" s="72" t="s">
        <v>82</v>
      </c>
      <c r="F268" s="72">
        <v>1</v>
      </c>
      <c r="G268" s="73">
        <f>VLOOKUP(D268,$W$3:$X$72,2,0)</f>
        <v>70</v>
      </c>
      <c r="H268" s="73">
        <f t="shared" si="46"/>
        <v>70</v>
      </c>
      <c r="I268" s="73">
        <f t="shared" si="47"/>
        <v>70</v>
      </c>
      <c r="J268" s="72" t="s">
        <v>83</v>
      </c>
      <c r="K268" s="74"/>
      <c r="M268" s="79"/>
      <c r="N268" s="76" t="e">
        <f t="shared" si="45"/>
        <v>#N/A</v>
      </c>
      <c r="O268" s="76"/>
      <c r="P268" s="112"/>
      <c r="R268" s="79"/>
      <c r="S268" s="76" t="e">
        <f t="shared" si="48"/>
        <v>#N/A</v>
      </c>
      <c r="T268" s="76"/>
      <c r="U268" s="112"/>
    </row>
    <row r="269" spans="1:21" x14ac:dyDescent="0.25">
      <c r="A269" s="95">
        <v>45649</v>
      </c>
      <c r="B269" s="72" t="s">
        <v>202</v>
      </c>
      <c r="C269" s="72" t="s">
        <v>8</v>
      </c>
      <c r="D269" s="72" t="s">
        <v>934</v>
      </c>
      <c r="E269" s="72" t="s">
        <v>82</v>
      </c>
      <c r="F269" s="72">
        <v>1</v>
      </c>
      <c r="G269" s="73">
        <f>VLOOKUP(D269,$W$3:$X$72,2,0)</f>
        <v>35</v>
      </c>
      <c r="H269" s="73">
        <f t="shared" si="46"/>
        <v>35</v>
      </c>
      <c r="I269" s="73">
        <f t="shared" si="47"/>
        <v>35</v>
      </c>
      <c r="J269" s="72" t="s">
        <v>83</v>
      </c>
      <c r="K269" s="74"/>
      <c r="M269" s="79"/>
      <c r="N269" s="76" t="e">
        <f t="shared" si="45"/>
        <v>#N/A</v>
      </c>
      <c r="O269" s="76"/>
      <c r="P269" s="112"/>
      <c r="R269" s="79"/>
      <c r="S269" s="76" t="e">
        <f t="shared" si="48"/>
        <v>#N/A</v>
      </c>
      <c r="T269" s="76"/>
      <c r="U269" s="112"/>
    </row>
    <row r="270" spans="1:21" x14ac:dyDescent="0.25">
      <c r="A270" s="95">
        <v>45649</v>
      </c>
      <c r="B270" s="72" t="s">
        <v>558</v>
      </c>
      <c r="C270" s="72" t="s">
        <v>8</v>
      </c>
      <c r="D270" s="72" t="s">
        <v>916</v>
      </c>
      <c r="E270" s="72" t="s">
        <v>56</v>
      </c>
      <c r="F270" s="72">
        <v>1</v>
      </c>
      <c r="G270" s="73">
        <f>VLOOKUP(D270,$W$3:$X$72,2,0)</f>
        <v>50</v>
      </c>
      <c r="H270" s="73">
        <f t="shared" si="46"/>
        <v>50</v>
      </c>
      <c r="I270" s="73">
        <f t="shared" si="47"/>
        <v>48.95</v>
      </c>
      <c r="J270" s="72" t="s">
        <v>866</v>
      </c>
      <c r="K270" s="74"/>
      <c r="M270" s="72" t="s">
        <v>916</v>
      </c>
      <c r="N270" s="76">
        <f t="shared" si="45"/>
        <v>20</v>
      </c>
      <c r="O270" s="76">
        <f>N270*F270</f>
        <v>20</v>
      </c>
      <c r="P270" s="112"/>
      <c r="R270" s="79"/>
      <c r="S270" s="76" t="e">
        <f t="shared" si="48"/>
        <v>#N/A</v>
      </c>
      <c r="T270" s="76"/>
      <c r="U270" s="112"/>
    </row>
    <row r="271" spans="1:21" x14ac:dyDescent="0.25">
      <c r="A271" s="95">
        <v>45649</v>
      </c>
      <c r="B271" s="72" t="s">
        <v>968</v>
      </c>
      <c r="C271" s="72" t="s">
        <v>8</v>
      </c>
      <c r="D271" s="72" t="s">
        <v>19</v>
      </c>
      <c r="E271" s="72" t="s">
        <v>82</v>
      </c>
      <c r="F271" s="72">
        <v>1</v>
      </c>
      <c r="G271" s="73">
        <v>30</v>
      </c>
      <c r="H271" s="73">
        <f t="shared" si="46"/>
        <v>30</v>
      </c>
      <c r="I271" s="73">
        <f t="shared" si="47"/>
        <v>28.5</v>
      </c>
      <c r="J271" s="72" t="s">
        <v>867</v>
      </c>
      <c r="K271" s="74"/>
      <c r="M271" s="79"/>
      <c r="N271" s="76" t="e">
        <f t="shared" si="45"/>
        <v>#N/A</v>
      </c>
      <c r="O271" s="76"/>
      <c r="P271" s="112"/>
      <c r="R271" s="79"/>
      <c r="S271" s="76" t="e">
        <f t="shared" si="48"/>
        <v>#N/A</v>
      </c>
      <c r="T271" s="76"/>
      <c r="U271" s="112"/>
    </row>
    <row r="272" spans="1:21" x14ac:dyDescent="0.25">
      <c r="A272" s="95">
        <v>45649</v>
      </c>
      <c r="B272" s="72" t="s">
        <v>522</v>
      </c>
      <c r="C272" s="72" t="s">
        <v>8</v>
      </c>
      <c r="D272" s="72" t="s">
        <v>13</v>
      </c>
      <c r="E272" s="72" t="s">
        <v>82</v>
      </c>
      <c r="F272" s="72">
        <v>1</v>
      </c>
      <c r="G272" s="73">
        <f t="shared" ref="G272:G277" si="49">VLOOKUP(D272,$W$3:$X$72,2,0)</f>
        <v>30</v>
      </c>
      <c r="H272" s="73">
        <f t="shared" si="46"/>
        <v>30</v>
      </c>
      <c r="I272" s="73">
        <f t="shared" si="47"/>
        <v>28.5</v>
      </c>
      <c r="J272" s="72" t="s">
        <v>867</v>
      </c>
      <c r="K272" s="74"/>
      <c r="M272" s="79"/>
      <c r="N272" s="76" t="e">
        <f t="shared" si="45"/>
        <v>#N/A</v>
      </c>
      <c r="O272" s="76"/>
      <c r="P272" s="112"/>
      <c r="R272" s="79"/>
      <c r="S272" s="76" t="e">
        <f t="shared" si="48"/>
        <v>#N/A</v>
      </c>
      <c r="T272" s="76"/>
      <c r="U272" s="112"/>
    </row>
    <row r="273" spans="1:21" x14ac:dyDescent="0.25">
      <c r="A273" s="95">
        <v>45649</v>
      </c>
      <c r="B273" s="72" t="s">
        <v>522</v>
      </c>
      <c r="C273" s="72" t="s">
        <v>8</v>
      </c>
      <c r="D273" s="72" t="s">
        <v>779</v>
      </c>
      <c r="E273" s="72" t="s">
        <v>82</v>
      </c>
      <c r="F273" s="72">
        <v>1</v>
      </c>
      <c r="G273" s="73">
        <f t="shared" si="49"/>
        <v>3</v>
      </c>
      <c r="H273" s="73">
        <f t="shared" si="46"/>
        <v>3</v>
      </c>
      <c r="I273" s="73">
        <f t="shared" si="47"/>
        <v>2.85</v>
      </c>
      <c r="J273" s="72" t="s">
        <v>867</v>
      </c>
      <c r="K273" s="74"/>
      <c r="M273" s="79"/>
      <c r="N273" s="76" t="e">
        <f t="shared" si="45"/>
        <v>#N/A</v>
      </c>
      <c r="O273" s="76"/>
      <c r="P273" s="112"/>
      <c r="R273" s="79"/>
      <c r="S273" s="76" t="e">
        <f t="shared" si="48"/>
        <v>#N/A</v>
      </c>
      <c r="T273" s="76"/>
      <c r="U273" s="112"/>
    </row>
    <row r="274" spans="1:21" x14ac:dyDescent="0.25">
      <c r="A274" s="95">
        <v>45649</v>
      </c>
      <c r="B274" s="72" t="s">
        <v>881</v>
      </c>
      <c r="C274" s="72" t="s">
        <v>8</v>
      </c>
      <c r="D274" s="72" t="s">
        <v>18</v>
      </c>
      <c r="E274" s="72" t="s">
        <v>82</v>
      </c>
      <c r="F274" s="72">
        <v>1</v>
      </c>
      <c r="G274" s="73">
        <f t="shared" si="49"/>
        <v>40</v>
      </c>
      <c r="H274" s="73">
        <f t="shared" si="46"/>
        <v>40</v>
      </c>
      <c r="I274" s="73">
        <f t="shared" si="47"/>
        <v>40</v>
      </c>
      <c r="J274" s="72" t="s">
        <v>79</v>
      </c>
      <c r="K274" s="74"/>
      <c r="M274" s="79"/>
      <c r="N274" s="76" t="e">
        <f t="shared" si="45"/>
        <v>#N/A</v>
      </c>
      <c r="O274" s="76"/>
      <c r="P274" s="112"/>
      <c r="R274" s="79"/>
      <c r="S274" s="76" t="e">
        <f t="shared" si="48"/>
        <v>#N/A</v>
      </c>
      <c r="T274" s="76"/>
      <c r="U274" s="112"/>
    </row>
    <row r="275" spans="1:21" x14ac:dyDescent="0.25">
      <c r="A275" s="95">
        <v>45649</v>
      </c>
      <c r="B275" s="72" t="s">
        <v>244</v>
      </c>
      <c r="C275" s="72" t="s">
        <v>8</v>
      </c>
      <c r="D275" s="72" t="s">
        <v>22</v>
      </c>
      <c r="E275" s="72" t="s">
        <v>56</v>
      </c>
      <c r="F275" s="72">
        <v>1</v>
      </c>
      <c r="G275" s="73">
        <f t="shared" si="49"/>
        <v>30</v>
      </c>
      <c r="H275" s="73">
        <f t="shared" si="46"/>
        <v>30</v>
      </c>
      <c r="I275" s="73">
        <f t="shared" si="47"/>
        <v>28.5</v>
      </c>
      <c r="J275" s="72" t="s">
        <v>867</v>
      </c>
      <c r="K275" s="74"/>
      <c r="M275" s="79" t="s">
        <v>22</v>
      </c>
      <c r="N275" s="76">
        <f t="shared" si="45"/>
        <v>12</v>
      </c>
      <c r="O275" s="76">
        <f>N275*F275</f>
        <v>12</v>
      </c>
      <c r="P275" s="112"/>
      <c r="Q275" s="106"/>
      <c r="R275" s="79"/>
      <c r="S275" s="76" t="e">
        <f t="shared" si="48"/>
        <v>#N/A</v>
      </c>
      <c r="T275" s="76"/>
      <c r="U275" s="112"/>
    </row>
    <row r="276" spans="1:21" x14ac:dyDescent="0.25">
      <c r="A276" s="95">
        <v>45649</v>
      </c>
      <c r="B276" s="72" t="s">
        <v>586</v>
      </c>
      <c r="C276" s="72" t="s">
        <v>8</v>
      </c>
      <c r="D276" s="72" t="s">
        <v>916</v>
      </c>
      <c r="E276" s="72" t="s">
        <v>82</v>
      </c>
      <c r="F276" s="72">
        <v>1</v>
      </c>
      <c r="G276" s="73">
        <f t="shared" si="49"/>
        <v>50</v>
      </c>
      <c r="H276" s="73">
        <f t="shared" si="46"/>
        <v>50</v>
      </c>
      <c r="I276" s="73">
        <f t="shared" si="47"/>
        <v>47.674999999999997</v>
      </c>
      <c r="J276" s="72" t="s">
        <v>865</v>
      </c>
      <c r="K276" s="74"/>
      <c r="M276" s="79"/>
      <c r="N276" s="76" t="e">
        <f t="shared" si="45"/>
        <v>#N/A</v>
      </c>
      <c r="O276" s="76"/>
      <c r="P276" s="112"/>
      <c r="R276" s="79"/>
      <c r="S276" s="76" t="e">
        <f t="shared" si="48"/>
        <v>#N/A</v>
      </c>
      <c r="T276" s="76"/>
      <c r="U276" s="112"/>
    </row>
    <row r="277" spans="1:21" x14ac:dyDescent="0.25">
      <c r="A277" s="95">
        <v>45649</v>
      </c>
      <c r="B277" s="72" t="s">
        <v>784</v>
      </c>
      <c r="C277" s="72" t="s">
        <v>8</v>
      </c>
      <c r="D277" s="72" t="s">
        <v>916</v>
      </c>
      <c r="E277" s="72" t="s">
        <v>82</v>
      </c>
      <c r="F277" s="72">
        <v>1</v>
      </c>
      <c r="G277" s="73">
        <f t="shared" si="49"/>
        <v>50</v>
      </c>
      <c r="H277" s="73">
        <f t="shared" si="46"/>
        <v>50</v>
      </c>
      <c r="I277" s="73">
        <f t="shared" si="47"/>
        <v>50</v>
      </c>
      <c r="J277" s="72" t="s">
        <v>83</v>
      </c>
      <c r="K277" s="74"/>
      <c r="M277" s="79"/>
      <c r="N277" s="76" t="e">
        <f t="shared" si="45"/>
        <v>#N/A</v>
      </c>
      <c r="O277" s="76"/>
      <c r="P277" s="112"/>
      <c r="R277" s="79"/>
      <c r="S277" s="76" t="e">
        <f t="shared" si="48"/>
        <v>#N/A</v>
      </c>
      <c r="T277" s="76"/>
      <c r="U277" s="112"/>
    </row>
    <row r="278" spans="1:21" x14ac:dyDescent="0.25">
      <c r="A278" s="95">
        <v>45649</v>
      </c>
      <c r="B278" s="72" t="s">
        <v>324</v>
      </c>
      <c r="C278" s="72" t="s">
        <v>8</v>
      </c>
      <c r="D278" s="72" t="s">
        <v>766</v>
      </c>
      <c r="E278" s="72" t="s">
        <v>82</v>
      </c>
      <c r="F278" s="72">
        <v>1</v>
      </c>
      <c r="G278" s="73">
        <v>4.5</v>
      </c>
      <c r="H278" s="73">
        <f t="shared" si="46"/>
        <v>4.5</v>
      </c>
      <c r="I278" s="73">
        <f t="shared" si="47"/>
        <v>4.5</v>
      </c>
      <c r="J278" s="72" t="s">
        <v>83</v>
      </c>
      <c r="K278" s="74"/>
      <c r="M278" s="79"/>
      <c r="N278" s="76" t="e">
        <f t="shared" si="45"/>
        <v>#N/A</v>
      </c>
      <c r="O278" s="76"/>
      <c r="P278" s="112"/>
      <c r="R278" s="79"/>
      <c r="S278" s="76" t="e">
        <f t="shared" si="48"/>
        <v>#N/A</v>
      </c>
      <c r="T278" s="76"/>
      <c r="U278" s="112"/>
    </row>
    <row r="279" spans="1:21" x14ac:dyDescent="0.25">
      <c r="A279" s="95">
        <v>45649</v>
      </c>
      <c r="B279" s="72" t="s">
        <v>559</v>
      </c>
      <c r="C279" s="72" t="s">
        <v>8</v>
      </c>
      <c r="D279" s="72" t="s">
        <v>916</v>
      </c>
      <c r="E279" s="72" t="s">
        <v>82</v>
      </c>
      <c r="F279" s="72">
        <v>1</v>
      </c>
      <c r="G279" s="73">
        <f t="shared" ref="G279:G305" si="50">VLOOKUP(D279,$W$3:$X$72,2,0)</f>
        <v>50</v>
      </c>
      <c r="H279" s="73">
        <f t="shared" si="46"/>
        <v>50</v>
      </c>
      <c r="I279" s="73">
        <f t="shared" si="47"/>
        <v>50</v>
      </c>
      <c r="J279" s="72" t="s">
        <v>83</v>
      </c>
      <c r="K279" s="74"/>
      <c r="M279" s="79"/>
      <c r="N279" s="76" t="e">
        <f t="shared" si="45"/>
        <v>#N/A</v>
      </c>
      <c r="O279" s="76"/>
      <c r="P279" s="112"/>
      <c r="R279" s="79"/>
      <c r="S279" s="76" t="e">
        <f t="shared" si="48"/>
        <v>#N/A</v>
      </c>
      <c r="T279" s="76"/>
      <c r="U279" s="112"/>
    </row>
    <row r="280" spans="1:21" x14ac:dyDescent="0.25">
      <c r="A280" s="95">
        <v>45649</v>
      </c>
      <c r="B280" s="72" t="s">
        <v>926</v>
      </c>
      <c r="C280" s="72" t="s">
        <v>8</v>
      </c>
      <c r="D280" s="72" t="s">
        <v>19</v>
      </c>
      <c r="E280" s="72" t="s">
        <v>56</v>
      </c>
      <c r="F280" s="72">
        <v>1</v>
      </c>
      <c r="G280" s="73">
        <f t="shared" si="50"/>
        <v>40</v>
      </c>
      <c r="H280" s="73">
        <f t="shared" si="46"/>
        <v>40</v>
      </c>
      <c r="I280" s="73">
        <f t="shared" si="47"/>
        <v>38</v>
      </c>
      <c r="J280" s="72" t="s">
        <v>867</v>
      </c>
      <c r="K280" s="74"/>
      <c r="M280" s="72" t="s">
        <v>19</v>
      </c>
      <c r="N280" s="76">
        <f t="shared" si="45"/>
        <v>16</v>
      </c>
      <c r="O280" s="76">
        <f>N280*F280</f>
        <v>16</v>
      </c>
      <c r="P280" s="112"/>
      <c r="R280" s="79"/>
      <c r="S280" s="76" t="e">
        <f t="shared" si="48"/>
        <v>#N/A</v>
      </c>
      <c r="T280" s="76"/>
      <c r="U280" s="112"/>
    </row>
    <row r="281" spans="1:21" x14ac:dyDescent="0.25">
      <c r="A281" s="95">
        <v>45649</v>
      </c>
      <c r="B281" s="72" t="s">
        <v>516</v>
      </c>
      <c r="C281" s="72" t="s">
        <v>8</v>
      </c>
      <c r="D281" s="72" t="s">
        <v>18</v>
      </c>
      <c r="E281" s="72" t="s">
        <v>56</v>
      </c>
      <c r="F281" s="72">
        <v>1</v>
      </c>
      <c r="G281" s="73">
        <f t="shared" si="50"/>
        <v>40</v>
      </c>
      <c r="H281" s="73">
        <f t="shared" si="46"/>
        <v>40</v>
      </c>
      <c r="I281" s="73">
        <f t="shared" si="47"/>
        <v>40</v>
      </c>
      <c r="J281" s="72" t="s">
        <v>83</v>
      </c>
      <c r="K281" s="74"/>
      <c r="M281" s="72" t="s">
        <v>18</v>
      </c>
      <c r="N281" s="76">
        <f t="shared" si="45"/>
        <v>16</v>
      </c>
      <c r="O281" s="76">
        <f>N281*F281</f>
        <v>16</v>
      </c>
      <c r="P281" s="112"/>
      <c r="R281" s="79"/>
      <c r="S281" s="76" t="e">
        <f t="shared" si="48"/>
        <v>#N/A</v>
      </c>
      <c r="T281" s="76"/>
      <c r="U281" s="112"/>
    </row>
    <row r="282" spans="1:21" x14ac:dyDescent="0.25">
      <c r="A282" s="95">
        <v>45649</v>
      </c>
      <c r="B282" s="72" t="s">
        <v>813</v>
      </c>
      <c r="C282" s="72" t="s">
        <v>8</v>
      </c>
      <c r="D282" s="72" t="s">
        <v>19</v>
      </c>
      <c r="E282" s="72" t="s">
        <v>56</v>
      </c>
      <c r="F282" s="72">
        <v>1</v>
      </c>
      <c r="G282" s="73">
        <f t="shared" si="50"/>
        <v>40</v>
      </c>
      <c r="H282" s="73">
        <f t="shared" si="46"/>
        <v>40</v>
      </c>
      <c r="I282" s="73">
        <f t="shared" si="47"/>
        <v>39.159999999999997</v>
      </c>
      <c r="J282" s="72" t="s">
        <v>866</v>
      </c>
      <c r="K282" s="74"/>
      <c r="M282" s="72" t="s">
        <v>19</v>
      </c>
      <c r="N282" s="76">
        <f t="shared" si="45"/>
        <v>16</v>
      </c>
      <c r="O282" s="76">
        <f>N282*F282</f>
        <v>16</v>
      </c>
      <c r="P282" s="112"/>
      <c r="R282" s="79"/>
      <c r="S282" s="76" t="e">
        <f t="shared" si="48"/>
        <v>#N/A</v>
      </c>
      <c r="T282" s="76"/>
      <c r="U282" s="112"/>
    </row>
    <row r="283" spans="1:21" x14ac:dyDescent="0.25">
      <c r="A283" s="95">
        <v>45649</v>
      </c>
      <c r="B283" s="72" t="s">
        <v>813</v>
      </c>
      <c r="C283" s="72" t="s">
        <v>8</v>
      </c>
      <c r="D283" s="72" t="s">
        <v>106</v>
      </c>
      <c r="E283" s="72" t="s">
        <v>56</v>
      </c>
      <c r="F283" s="72">
        <v>1</v>
      </c>
      <c r="G283" s="73">
        <f t="shared" si="50"/>
        <v>15</v>
      </c>
      <c r="H283" s="73">
        <f t="shared" si="46"/>
        <v>15</v>
      </c>
      <c r="I283" s="73">
        <f t="shared" si="47"/>
        <v>14.685</v>
      </c>
      <c r="J283" s="72" t="s">
        <v>866</v>
      </c>
      <c r="K283" s="74"/>
      <c r="M283" s="72" t="s">
        <v>106</v>
      </c>
      <c r="N283" s="76">
        <f t="shared" si="45"/>
        <v>6</v>
      </c>
      <c r="O283" s="76">
        <f>N283*F283</f>
        <v>6</v>
      </c>
      <c r="P283" s="112"/>
      <c r="R283" s="79"/>
      <c r="S283" s="76" t="e">
        <f t="shared" si="48"/>
        <v>#N/A</v>
      </c>
      <c r="T283" s="76"/>
      <c r="U283" s="112"/>
    </row>
    <row r="284" spans="1:21" x14ac:dyDescent="0.25">
      <c r="A284" s="95">
        <v>45649</v>
      </c>
      <c r="B284" s="72" t="s">
        <v>857</v>
      </c>
      <c r="C284" s="72" t="s">
        <v>8</v>
      </c>
      <c r="D284" s="72" t="s">
        <v>18</v>
      </c>
      <c r="E284" s="72" t="s">
        <v>82</v>
      </c>
      <c r="F284" s="72">
        <v>1</v>
      </c>
      <c r="G284" s="73">
        <f t="shared" si="50"/>
        <v>40</v>
      </c>
      <c r="H284" s="73">
        <f t="shared" si="46"/>
        <v>40</v>
      </c>
      <c r="I284" s="73">
        <f t="shared" si="47"/>
        <v>39.159999999999997</v>
      </c>
      <c r="J284" s="72" t="s">
        <v>866</v>
      </c>
      <c r="K284" s="74"/>
      <c r="M284" s="79"/>
      <c r="N284" s="76" t="e">
        <f t="shared" si="45"/>
        <v>#N/A</v>
      </c>
      <c r="O284" s="76"/>
      <c r="P284" s="112"/>
      <c r="R284" s="79"/>
      <c r="S284" s="76" t="e">
        <f t="shared" si="48"/>
        <v>#N/A</v>
      </c>
      <c r="T284" s="76"/>
      <c r="U284" s="112"/>
    </row>
    <row r="285" spans="1:21" x14ac:dyDescent="0.25">
      <c r="A285" s="95">
        <v>45649</v>
      </c>
      <c r="B285" s="72" t="s">
        <v>533</v>
      </c>
      <c r="C285" s="72" t="s">
        <v>8</v>
      </c>
      <c r="D285" s="72" t="s">
        <v>18</v>
      </c>
      <c r="E285" s="72" t="s">
        <v>913</v>
      </c>
      <c r="F285" s="72">
        <v>1</v>
      </c>
      <c r="G285" s="73">
        <f t="shared" si="50"/>
        <v>40</v>
      </c>
      <c r="H285" s="73">
        <f t="shared" si="46"/>
        <v>40</v>
      </c>
      <c r="I285" s="73">
        <f t="shared" si="47"/>
        <v>40</v>
      </c>
      <c r="J285" s="72" t="s">
        <v>79</v>
      </c>
      <c r="K285" s="74"/>
      <c r="M285" s="79"/>
      <c r="N285" s="76" t="e">
        <f t="shared" si="45"/>
        <v>#N/A</v>
      </c>
      <c r="O285" s="76"/>
      <c r="P285" s="112"/>
      <c r="R285" s="79" t="s">
        <v>18</v>
      </c>
      <c r="S285" s="76">
        <f t="shared" si="48"/>
        <v>16</v>
      </c>
      <c r="T285" s="76">
        <f>S285*F285</f>
        <v>16</v>
      </c>
      <c r="U285" s="112"/>
    </row>
    <row r="286" spans="1:21" x14ac:dyDescent="0.25">
      <c r="A286" s="95">
        <v>45649</v>
      </c>
      <c r="B286" s="72" t="s">
        <v>827</v>
      </c>
      <c r="C286" s="72" t="s">
        <v>10</v>
      </c>
      <c r="D286" s="72" t="s">
        <v>18</v>
      </c>
      <c r="E286" s="72" t="s">
        <v>56</v>
      </c>
      <c r="F286" s="72">
        <v>1</v>
      </c>
      <c r="G286" s="73">
        <f t="shared" si="50"/>
        <v>40</v>
      </c>
      <c r="H286" s="73">
        <f t="shared" si="46"/>
        <v>40</v>
      </c>
      <c r="I286" s="73">
        <f t="shared" si="47"/>
        <v>40</v>
      </c>
      <c r="J286" s="72" t="s">
        <v>83</v>
      </c>
      <c r="K286" s="74"/>
      <c r="M286" s="72" t="s">
        <v>18</v>
      </c>
      <c r="N286" s="76">
        <f t="shared" si="45"/>
        <v>16</v>
      </c>
      <c r="O286" s="76">
        <f>N286*F286</f>
        <v>16</v>
      </c>
      <c r="P286" s="112"/>
      <c r="R286" s="79"/>
      <c r="S286" s="76" t="e">
        <f t="shared" si="48"/>
        <v>#N/A</v>
      </c>
      <c r="T286" s="76"/>
      <c r="U286" s="112"/>
    </row>
    <row r="287" spans="1:21" x14ac:dyDescent="0.25">
      <c r="A287" s="95">
        <v>45649</v>
      </c>
      <c r="B287" s="72" t="s">
        <v>827</v>
      </c>
      <c r="C287" s="72" t="s">
        <v>10</v>
      </c>
      <c r="D287" s="72" t="s">
        <v>106</v>
      </c>
      <c r="E287" s="72" t="s">
        <v>56</v>
      </c>
      <c r="F287" s="72">
        <v>1</v>
      </c>
      <c r="G287" s="73">
        <f t="shared" si="50"/>
        <v>15</v>
      </c>
      <c r="H287" s="73">
        <f t="shared" si="46"/>
        <v>15</v>
      </c>
      <c r="I287" s="73">
        <f t="shared" si="47"/>
        <v>15</v>
      </c>
      <c r="J287" s="72" t="s">
        <v>83</v>
      </c>
      <c r="K287" s="74"/>
      <c r="M287" s="72" t="s">
        <v>106</v>
      </c>
      <c r="N287" s="76">
        <f t="shared" si="45"/>
        <v>6</v>
      </c>
      <c r="O287" s="76">
        <f>N287*F287</f>
        <v>6</v>
      </c>
      <c r="P287" s="112"/>
      <c r="R287" s="79"/>
      <c r="S287" s="76" t="e">
        <f t="shared" si="48"/>
        <v>#N/A</v>
      </c>
      <c r="T287" s="76"/>
      <c r="U287" s="112"/>
    </row>
    <row r="288" spans="1:21" x14ac:dyDescent="0.25">
      <c r="A288" s="95">
        <v>45649</v>
      </c>
      <c r="B288" s="72" t="s">
        <v>537</v>
      </c>
      <c r="C288" s="72" t="s">
        <v>10</v>
      </c>
      <c r="D288" s="72" t="s">
        <v>932</v>
      </c>
      <c r="E288" s="72" t="s">
        <v>56</v>
      </c>
      <c r="F288" s="72">
        <v>1</v>
      </c>
      <c r="G288" s="73">
        <f t="shared" si="50"/>
        <v>35</v>
      </c>
      <c r="H288" s="73">
        <f t="shared" si="46"/>
        <v>35</v>
      </c>
      <c r="I288" s="73">
        <f t="shared" si="47"/>
        <v>35</v>
      </c>
      <c r="J288" s="72" t="s">
        <v>83</v>
      </c>
      <c r="K288" s="74"/>
      <c r="M288" s="72" t="s">
        <v>932</v>
      </c>
      <c r="N288" s="76">
        <f t="shared" ref="N288:N319" si="51">VLOOKUP(M288,$W$3:$Y$72,3,0)</f>
        <v>3.5</v>
      </c>
      <c r="O288" s="76">
        <f>N288*F288</f>
        <v>3.5</v>
      </c>
      <c r="P288" s="112"/>
      <c r="R288" s="79"/>
      <c r="S288" s="76" t="e">
        <f t="shared" si="48"/>
        <v>#N/A</v>
      </c>
      <c r="T288" s="76"/>
      <c r="U288" s="112"/>
    </row>
    <row r="289" spans="1:21" x14ac:dyDescent="0.25">
      <c r="A289" s="95">
        <v>45649</v>
      </c>
      <c r="B289" s="72" t="s">
        <v>511</v>
      </c>
      <c r="C289" s="72" t="s">
        <v>8</v>
      </c>
      <c r="D289" s="72" t="s">
        <v>13</v>
      </c>
      <c r="E289" s="72" t="s">
        <v>56</v>
      </c>
      <c r="F289" s="72">
        <v>1</v>
      </c>
      <c r="G289" s="73">
        <f t="shared" si="50"/>
        <v>30</v>
      </c>
      <c r="H289" s="73">
        <f t="shared" si="46"/>
        <v>30</v>
      </c>
      <c r="I289" s="73">
        <f t="shared" si="47"/>
        <v>30</v>
      </c>
      <c r="J289" s="72" t="s">
        <v>83</v>
      </c>
      <c r="K289" s="74"/>
      <c r="M289" s="72" t="s">
        <v>13</v>
      </c>
      <c r="N289" s="76">
        <f t="shared" si="51"/>
        <v>12</v>
      </c>
      <c r="O289" s="76">
        <f>N289*F289</f>
        <v>12</v>
      </c>
      <c r="P289" s="112"/>
      <c r="R289" s="79"/>
      <c r="S289" s="76" t="e">
        <f t="shared" si="48"/>
        <v>#N/A</v>
      </c>
      <c r="T289" s="76"/>
      <c r="U289" s="112"/>
    </row>
    <row r="290" spans="1:21" x14ac:dyDescent="0.25">
      <c r="A290" s="95">
        <v>45649</v>
      </c>
      <c r="B290" s="72" t="s">
        <v>511</v>
      </c>
      <c r="C290" s="72" t="s">
        <v>8</v>
      </c>
      <c r="D290" s="72" t="s">
        <v>934</v>
      </c>
      <c r="E290" s="72" t="s">
        <v>56</v>
      </c>
      <c r="F290" s="72">
        <v>1</v>
      </c>
      <c r="G290" s="73">
        <f t="shared" si="50"/>
        <v>35</v>
      </c>
      <c r="H290" s="73">
        <f t="shared" si="46"/>
        <v>35</v>
      </c>
      <c r="I290" s="73">
        <f t="shared" si="47"/>
        <v>35</v>
      </c>
      <c r="J290" s="72" t="s">
        <v>83</v>
      </c>
      <c r="K290" s="74"/>
      <c r="M290" s="72" t="s">
        <v>934</v>
      </c>
      <c r="N290" s="76">
        <f t="shared" si="51"/>
        <v>3.5</v>
      </c>
      <c r="O290" s="76">
        <f>N290*F290</f>
        <v>3.5</v>
      </c>
      <c r="P290" s="112"/>
      <c r="R290" s="79"/>
      <c r="S290" s="76" t="e">
        <f t="shared" si="48"/>
        <v>#N/A</v>
      </c>
      <c r="T290" s="76"/>
      <c r="U290" s="112"/>
    </row>
    <row r="291" spans="1:21" x14ac:dyDescent="0.25">
      <c r="A291" s="95">
        <v>45649</v>
      </c>
      <c r="B291" s="72" t="s">
        <v>217</v>
      </c>
      <c r="C291" s="72" t="s">
        <v>8</v>
      </c>
      <c r="D291" s="72" t="s">
        <v>40</v>
      </c>
      <c r="E291" s="72" t="s">
        <v>82</v>
      </c>
      <c r="F291" s="72">
        <v>1</v>
      </c>
      <c r="G291" s="73">
        <f t="shared" si="50"/>
        <v>45</v>
      </c>
      <c r="H291" s="73">
        <f t="shared" si="46"/>
        <v>45</v>
      </c>
      <c r="I291" s="73">
        <f t="shared" si="47"/>
        <v>45</v>
      </c>
      <c r="J291" s="72" t="s">
        <v>79</v>
      </c>
      <c r="K291" s="74"/>
      <c r="M291" s="79"/>
      <c r="N291" s="76" t="e">
        <f t="shared" si="51"/>
        <v>#N/A</v>
      </c>
      <c r="O291" s="76"/>
      <c r="P291" s="112"/>
      <c r="R291" s="79"/>
      <c r="S291" s="76" t="e">
        <f t="shared" si="48"/>
        <v>#N/A</v>
      </c>
      <c r="T291" s="76"/>
      <c r="U291" s="112"/>
    </row>
    <row r="292" spans="1:21" x14ac:dyDescent="0.25">
      <c r="A292" s="95">
        <v>45649</v>
      </c>
      <c r="B292" s="72" t="s">
        <v>200</v>
      </c>
      <c r="C292" s="72" t="s">
        <v>8</v>
      </c>
      <c r="D292" s="72" t="s">
        <v>18</v>
      </c>
      <c r="E292" s="72" t="s">
        <v>82</v>
      </c>
      <c r="F292" s="72">
        <v>1</v>
      </c>
      <c r="G292" s="73">
        <f t="shared" si="50"/>
        <v>40</v>
      </c>
      <c r="H292" s="73">
        <f t="shared" si="46"/>
        <v>40</v>
      </c>
      <c r="I292" s="73">
        <f t="shared" si="47"/>
        <v>39.159999999999997</v>
      </c>
      <c r="J292" s="72" t="s">
        <v>866</v>
      </c>
      <c r="K292" s="74"/>
      <c r="M292" s="79"/>
      <c r="N292" s="76" t="e">
        <f t="shared" si="51"/>
        <v>#N/A</v>
      </c>
      <c r="O292" s="76"/>
      <c r="P292" s="112"/>
      <c r="R292" s="79"/>
      <c r="S292" s="76" t="e">
        <f t="shared" si="48"/>
        <v>#N/A</v>
      </c>
      <c r="T292" s="76"/>
      <c r="U292" s="112"/>
    </row>
    <row r="293" spans="1:21" x14ac:dyDescent="0.25">
      <c r="A293" s="95">
        <v>45649</v>
      </c>
      <c r="B293" s="72" t="s">
        <v>483</v>
      </c>
      <c r="C293" s="72" t="s">
        <v>8</v>
      </c>
      <c r="D293" s="72" t="s">
        <v>63</v>
      </c>
      <c r="E293" s="72" t="s">
        <v>56</v>
      </c>
      <c r="F293" s="72">
        <v>1</v>
      </c>
      <c r="G293" s="73">
        <f t="shared" si="50"/>
        <v>20</v>
      </c>
      <c r="H293" s="73">
        <f t="shared" si="46"/>
        <v>20</v>
      </c>
      <c r="I293" s="73">
        <f t="shared" si="47"/>
        <v>20</v>
      </c>
      <c r="J293" s="72" t="s">
        <v>79</v>
      </c>
      <c r="K293" s="74"/>
      <c r="M293" s="72" t="s">
        <v>63</v>
      </c>
      <c r="N293" s="76">
        <f t="shared" si="51"/>
        <v>2</v>
      </c>
      <c r="O293" s="76">
        <f>N293*F293</f>
        <v>2</v>
      </c>
      <c r="P293" s="112"/>
      <c r="R293" s="79"/>
      <c r="S293" s="76" t="e">
        <f t="shared" si="48"/>
        <v>#N/A</v>
      </c>
      <c r="T293" s="76"/>
      <c r="U293" s="112"/>
    </row>
    <row r="294" spans="1:21" x14ac:dyDescent="0.25">
      <c r="A294" s="95">
        <v>45649</v>
      </c>
      <c r="B294" s="72" t="s">
        <v>566</v>
      </c>
      <c r="C294" s="72" t="s">
        <v>8</v>
      </c>
      <c r="D294" s="72" t="s">
        <v>60</v>
      </c>
      <c r="E294" s="72" t="s">
        <v>56</v>
      </c>
      <c r="F294" s="72">
        <v>1</v>
      </c>
      <c r="G294" s="73">
        <f t="shared" si="50"/>
        <v>130</v>
      </c>
      <c r="H294" s="73">
        <f t="shared" si="46"/>
        <v>130</v>
      </c>
      <c r="I294" s="73">
        <f t="shared" si="47"/>
        <v>130</v>
      </c>
      <c r="J294" s="72" t="s">
        <v>83</v>
      </c>
      <c r="K294" s="74"/>
      <c r="M294" s="72" t="s">
        <v>60</v>
      </c>
      <c r="N294" s="76">
        <f t="shared" si="51"/>
        <v>52</v>
      </c>
      <c r="O294" s="76">
        <f>N294*F294</f>
        <v>52</v>
      </c>
      <c r="P294" s="112"/>
      <c r="R294" s="79"/>
      <c r="S294" s="76" t="e">
        <f t="shared" si="48"/>
        <v>#N/A</v>
      </c>
      <c r="T294" s="76"/>
      <c r="U294" s="112"/>
    </row>
    <row r="295" spans="1:21" x14ac:dyDescent="0.25">
      <c r="A295" s="95">
        <v>45649</v>
      </c>
      <c r="B295" s="72" t="s">
        <v>395</v>
      </c>
      <c r="C295" s="72" t="s">
        <v>8</v>
      </c>
      <c r="D295" s="72" t="s">
        <v>18</v>
      </c>
      <c r="E295" s="72" t="s">
        <v>56</v>
      </c>
      <c r="F295" s="72">
        <v>1</v>
      </c>
      <c r="G295" s="73">
        <f t="shared" si="50"/>
        <v>40</v>
      </c>
      <c r="H295" s="73">
        <f t="shared" si="46"/>
        <v>40</v>
      </c>
      <c r="I295" s="73">
        <f t="shared" si="47"/>
        <v>40</v>
      </c>
      <c r="J295" s="72" t="s">
        <v>83</v>
      </c>
      <c r="K295" s="74"/>
      <c r="M295" s="72" t="s">
        <v>18</v>
      </c>
      <c r="N295" s="76">
        <f t="shared" si="51"/>
        <v>16</v>
      </c>
      <c r="O295" s="76">
        <f>N295*F295</f>
        <v>16</v>
      </c>
      <c r="P295" s="112"/>
      <c r="R295" s="79"/>
      <c r="S295" s="76" t="e">
        <f t="shared" si="48"/>
        <v>#N/A</v>
      </c>
      <c r="T295" s="76"/>
      <c r="U295" s="112"/>
    </row>
    <row r="296" spans="1:21" x14ac:dyDescent="0.25">
      <c r="A296" s="95">
        <v>45650</v>
      </c>
      <c r="B296" s="72" t="s">
        <v>572</v>
      </c>
      <c r="C296" s="72" t="s">
        <v>8</v>
      </c>
      <c r="D296" s="72" t="s">
        <v>916</v>
      </c>
      <c r="E296" s="72" t="s">
        <v>82</v>
      </c>
      <c r="F296" s="72">
        <v>1</v>
      </c>
      <c r="G296" s="73">
        <f t="shared" si="50"/>
        <v>50</v>
      </c>
      <c r="H296" s="73">
        <f t="shared" si="46"/>
        <v>50</v>
      </c>
      <c r="I296" s="73">
        <f t="shared" si="47"/>
        <v>50</v>
      </c>
      <c r="J296" s="72" t="s">
        <v>83</v>
      </c>
      <c r="K296" s="74"/>
      <c r="M296" s="79"/>
      <c r="N296" s="76" t="e">
        <f t="shared" si="51"/>
        <v>#N/A</v>
      </c>
      <c r="O296" s="76"/>
      <c r="P296" s="112"/>
      <c r="R296" s="79"/>
      <c r="S296" s="76" t="e">
        <f t="shared" si="48"/>
        <v>#N/A</v>
      </c>
      <c r="T296" s="76"/>
      <c r="U296" s="112"/>
    </row>
    <row r="297" spans="1:21" x14ac:dyDescent="0.25">
      <c r="A297" s="95">
        <v>45650</v>
      </c>
      <c r="B297" s="72" t="s">
        <v>498</v>
      </c>
      <c r="C297" s="72" t="s">
        <v>8</v>
      </c>
      <c r="D297" s="72" t="s">
        <v>18</v>
      </c>
      <c r="E297" s="72" t="s">
        <v>56</v>
      </c>
      <c r="F297" s="72">
        <v>1</v>
      </c>
      <c r="G297" s="73">
        <f t="shared" si="50"/>
        <v>40</v>
      </c>
      <c r="H297" s="73">
        <f t="shared" si="46"/>
        <v>40</v>
      </c>
      <c r="I297" s="73">
        <f t="shared" si="47"/>
        <v>40</v>
      </c>
      <c r="J297" s="72" t="s">
        <v>83</v>
      </c>
      <c r="K297" s="74"/>
      <c r="M297" s="79" t="s">
        <v>18</v>
      </c>
      <c r="N297" s="76">
        <f t="shared" si="51"/>
        <v>16</v>
      </c>
      <c r="O297" s="76">
        <f>N297*F297</f>
        <v>16</v>
      </c>
      <c r="P297" s="112"/>
      <c r="R297" s="79"/>
      <c r="S297" s="76" t="e">
        <f t="shared" si="48"/>
        <v>#N/A</v>
      </c>
      <c r="T297" s="76"/>
      <c r="U297" s="112"/>
    </row>
    <row r="298" spans="1:21" x14ac:dyDescent="0.25">
      <c r="A298" s="95">
        <v>45650</v>
      </c>
      <c r="B298" s="72" t="s">
        <v>969</v>
      </c>
      <c r="C298" s="72" t="s">
        <v>10</v>
      </c>
      <c r="D298" s="72" t="s">
        <v>18</v>
      </c>
      <c r="E298" s="72" t="s">
        <v>913</v>
      </c>
      <c r="F298" s="72">
        <v>1</v>
      </c>
      <c r="G298" s="73">
        <f t="shared" si="50"/>
        <v>40</v>
      </c>
      <c r="H298" s="73">
        <f t="shared" si="46"/>
        <v>40</v>
      </c>
      <c r="I298" s="73">
        <f t="shared" si="47"/>
        <v>40</v>
      </c>
      <c r="J298" s="72" t="s">
        <v>79</v>
      </c>
      <c r="K298" s="74"/>
      <c r="M298" s="79"/>
      <c r="N298" s="76" t="e">
        <f t="shared" si="51"/>
        <v>#N/A</v>
      </c>
      <c r="O298" s="76"/>
      <c r="P298" s="112"/>
      <c r="R298" s="79" t="s">
        <v>18</v>
      </c>
      <c r="S298" s="76">
        <f t="shared" si="48"/>
        <v>16</v>
      </c>
      <c r="T298" s="76">
        <f>S298*F298</f>
        <v>16</v>
      </c>
      <c r="U298" s="112"/>
    </row>
    <row r="299" spans="1:21" x14ac:dyDescent="0.25">
      <c r="A299" s="95">
        <v>45650</v>
      </c>
      <c r="B299" s="72" t="s">
        <v>591</v>
      </c>
      <c r="C299" s="72" t="s">
        <v>8</v>
      </c>
      <c r="D299" s="72" t="s">
        <v>920</v>
      </c>
      <c r="E299" s="72" t="s">
        <v>56</v>
      </c>
      <c r="F299" s="72">
        <v>1</v>
      </c>
      <c r="G299" s="73">
        <f t="shared" si="50"/>
        <v>80</v>
      </c>
      <c r="H299" s="73">
        <f t="shared" si="46"/>
        <v>80</v>
      </c>
      <c r="I299" s="73">
        <f t="shared" si="47"/>
        <v>80</v>
      </c>
      <c r="J299" s="72" t="s">
        <v>83</v>
      </c>
      <c r="K299" s="74"/>
      <c r="M299" s="72" t="s">
        <v>920</v>
      </c>
      <c r="N299" s="76">
        <f t="shared" si="51"/>
        <v>32</v>
      </c>
      <c r="O299" s="76">
        <f>N299*F299</f>
        <v>32</v>
      </c>
      <c r="P299" s="112"/>
      <c r="R299" s="79"/>
      <c r="S299" s="76" t="e">
        <f t="shared" si="48"/>
        <v>#N/A</v>
      </c>
      <c r="T299" s="76"/>
      <c r="U299" s="112"/>
    </row>
    <row r="300" spans="1:21" x14ac:dyDescent="0.25">
      <c r="A300" s="95">
        <v>45650</v>
      </c>
      <c r="B300" s="72" t="s">
        <v>702</v>
      </c>
      <c r="C300" s="72" t="s">
        <v>10</v>
      </c>
      <c r="D300" s="72" t="s">
        <v>42</v>
      </c>
      <c r="E300" s="72" t="s">
        <v>56</v>
      </c>
      <c r="F300" s="72">
        <v>1</v>
      </c>
      <c r="G300" s="73">
        <f t="shared" si="50"/>
        <v>20</v>
      </c>
      <c r="H300" s="73">
        <f t="shared" si="46"/>
        <v>20</v>
      </c>
      <c r="I300" s="73">
        <f t="shared" si="47"/>
        <v>19.579999999999998</v>
      </c>
      <c r="J300" s="72" t="s">
        <v>866</v>
      </c>
      <c r="K300" s="74"/>
      <c r="M300" s="72" t="s">
        <v>42</v>
      </c>
      <c r="N300" s="76">
        <f t="shared" si="51"/>
        <v>8</v>
      </c>
      <c r="O300" s="76">
        <f>N300*F300</f>
        <v>8</v>
      </c>
      <c r="P300" s="112"/>
      <c r="R300" s="79"/>
      <c r="S300" s="76" t="e">
        <f t="shared" si="48"/>
        <v>#N/A</v>
      </c>
      <c r="T300" s="76"/>
      <c r="U300" s="112"/>
    </row>
    <row r="301" spans="1:21" x14ac:dyDescent="0.25">
      <c r="A301" s="95">
        <v>45650</v>
      </c>
      <c r="B301" s="72" t="s">
        <v>498</v>
      </c>
      <c r="C301" s="72" t="s">
        <v>10</v>
      </c>
      <c r="D301" s="72" t="s">
        <v>19</v>
      </c>
      <c r="E301" s="72" t="s">
        <v>913</v>
      </c>
      <c r="F301" s="72">
        <v>1</v>
      </c>
      <c r="G301" s="73">
        <f t="shared" si="50"/>
        <v>40</v>
      </c>
      <c r="H301" s="73">
        <f t="shared" si="46"/>
        <v>40</v>
      </c>
      <c r="I301" s="73">
        <f t="shared" si="47"/>
        <v>39.04</v>
      </c>
      <c r="J301" s="72" t="s">
        <v>869</v>
      </c>
      <c r="K301" s="74"/>
      <c r="M301" s="79"/>
      <c r="N301" s="76" t="e">
        <f t="shared" si="51"/>
        <v>#N/A</v>
      </c>
      <c r="O301" s="76"/>
      <c r="P301" s="112"/>
      <c r="R301" s="79" t="s">
        <v>19</v>
      </c>
      <c r="S301" s="76">
        <f t="shared" si="48"/>
        <v>16</v>
      </c>
      <c r="T301" s="76">
        <f>S301*F301</f>
        <v>16</v>
      </c>
      <c r="U301" s="112"/>
    </row>
    <row r="302" spans="1:21" x14ac:dyDescent="0.25">
      <c r="A302" s="95">
        <v>45650</v>
      </c>
      <c r="B302" s="72" t="s">
        <v>970</v>
      </c>
      <c r="C302" s="72" t="s">
        <v>10</v>
      </c>
      <c r="D302" s="72" t="s">
        <v>18</v>
      </c>
      <c r="E302" s="72" t="s">
        <v>913</v>
      </c>
      <c r="F302" s="72">
        <v>1</v>
      </c>
      <c r="G302" s="73">
        <f t="shared" si="50"/>
        <v>40</v>
      </c>
      <c r="H302" s="73">
        <f t="shared" si="46"/>
        <v>40</v>
      </c>
      <c r="I302" s="73">
        <f t="shared" si="47"/>
        <v>39.04</v>
      </c>
      <c r="J302" s="72" t="s">
        <v>869</v>
      </c>
      <c r="K302" s="74"/>
      <c r="M302" s="79"/>
      <c r="N302" s="76" t="e">
        <f t="shared" si="51"/>
        <v>#N/A</v>
      </c>
      <c r="O302" s="76"/>
      <c r="P302" s="112"/>
      <c r="R302" s="79" t="s">
        <v>18</v>
      </c>
      <c r="S302" s="76">
        <f t="shared" si="48"/>
        <v>16</v>
      </c>
      <c r="T302" s="76">
        <f>S302*F302</f>
        <v>16</v>
      </c>
      <c r="U302" s="112"/>
    </row>
    <row r="303" spans="1:21" x14ac:dyDescent="0.25">
      <c r="A303" s="95">
        <v>45650</v>
      </c>
      <c r="B303" s="72" t="s">
        <v>276</v>
      </c>
      <c r="C303" s="72" t="s">
        <v>8</v>
      </c>
      <c r="D303" s="72" t="s">
        <v>40</v>
      </c>
      <c r="E303" s="72" t="s">
        <v>82</v>
      </c>
      <c r="F303" s="72">
        <v>1</v>
      </c>
      <c r="G303" s="73">
        <f t="shared" si="50"/>
        <v>45</v>
      </c>
      <c r="H303" s="73">
        <f t="shared" si="46"/>
        <v>45</v>
      </c>
      <c r="I303" s="73">
        <f t="shared" si="47"/>
        <v>44.055</v>
      </c>
      <c r="J303" s="72" t="s">
        <v>866</v>
      </c>
      <c r="K303" s="74"/>
      <c r="M303" s="79"/>
      <c r="N303" s="76" t="e">
        <f t="shared" si="51"/>
        <v>#N/A</v>
      </c>
      <c r="O303" s="76"/>
      <c r="P303" s="112"/>
      <c r="R303" s="79"/>
      <c r="S303" s="76" t="e">
        <f t="shared" si="48"/>
        <v>#N/A</v>
      </c>
      <c r="T303" s="76"/>
      <c r="U303" s="112"/>
    </row>
    <row r="304" spans="1:21" x14ac:dyDescent="0.25">
      <c r="A304" s="95">
        <v>45650</v>
      </c>
      <c r="B304" s="72" t="s">
        <v>605</v>
      </c>
      <c r="C304" s="72" t="s">
        <v>8</v>
      </c>
      <c r="D304" s="72" t="s">
        <v>916</v>
      </c>
      <c r="E304" s="72" t="s">
        <v>56</v>
      </c>
      <c r="F304" s="72">
        <v>1</v>
      </c>
      <c r="G304" s="73">
        <f t="shared" si="50"/>
        <v>50</v>
      </c>
      <c r="H304" s="73">
        <f t="shared" si="46"/>
        <v>50</v>
      </c>
      <c r="I304" s="73">
        <f t="shared" si="47"/>
        <v>50</v>
      </c>
      <c r="J304" s="72" t="s">
        <v>83</v>
      </c>
      <c r="K304" s="74"/>
      <c r="M304" s="72" t="s">
        <v>916</v>
      </c>
      <c r="N304" s="76">
        <f t="shared" si="51"/>
        <v>20</v>
      </c>
      <c r="O304" s="76">
        <f>N304*F304</f>
        <v>20</v>
      </c>
      <c r="P304" s="112"/>
      <c r="R304" s="79"/>
      <c r="S304" s="76" t="e">
        <f t="shared" si="48"/>
        <v>#N/A</v>
      </c>
      <c r="T304" s="76"/>
      <c r="U304" s="112"/>
    </row>
    <row r="305" spans="1:21" x14ac:dyDescent="0.25">
      <c r="A305" s="95">
        <v>45650</v>
      </c>
      <c r="B305" s="72" t="s">
        <v>498</v>
      </c>
      <c r="C305" s="72" t="s">
        <v>10</v>
      </c>
      <c r="D305" s="72" t="s">
        <v>37</v>
      </c>
      <c r="E305" s="72" t="s">
        <v>913</v>
      </c>
      <c r="F305" s="72">
        <v>1</v>
      </c>
      <c r="G305" s="73">
        <f t="shared" si="50"/>
        <v>7</v>
      </c>
      <c r="H305" s="73">
        <f t="shared" si="46"/>
        <v>7</v>
      </c>
      <c r="I305" s="73">
        <f t="shared" si="47"/>
        <v>7</v>
      </c>
      <c r="J305" s="72" t="s">
        <v>79</v>
      </c>
      <c r="K305" s="74"/>
      <c r="M305" s="79"/>
      <c r="N305" s="76" t="e">
        <f t="shared" si="51"/>
        <v>#N/A</v>
      </c>
      <c r="O305" s="76"/>
      <c r="P305" s="112"/>
      <c r="R305" s="79" t="s">
        <v>37</v>
      </c>
      <c r="S305" s="76">
        <f t="shared" si="48"/>
        <v>0.70000000000000007</v>
      </c>
      <c r="T305" s="76">
        <f>S305*F305</f>
        <v>0.70000000000000007</v>
      </c>
      <c r="U305" s="112"/>
    </row>
    <row r="306" spans="1:21" x14ac:dyDescent="0.25">
      <c r="A306" s="95">
        <v>45650</v>
      </c>
      <c r="B306" s="72" t="s">
        <v>498</v>
      </c>
      <c r="C306" s="72" t="s">
        <v>10</v>
      </c>
      <c r="D306" s="72" t="s">
        <v>34</v>
      </c>
      <c r="E306" s="72" t="s">
        <v>913</v>
      </c>
      <c r="F306" s="72">
        <v>1</v>
      </c>
      <c r="G306" s="73">
        <v>15</v>
      </c>
      <c r="H306" s="73">
        <f t="shared" si="46"/>
        <v>15</v>
      </c>
      <c r="I306" s="73">
        <f t="shared" si="47"/>
        <v>15</v>
      </c>
      <c r="J306" s="72" t="s">
        <v>79</v>
      </c>
      <c r="K306" s="74"/>
      <c r="M306" s="79"/>
      <c r="N306" s="76" t="e">
        <f t="shared" si="51"/>
        <v>#N/A</v>
      </c>
      <c r="O306" s="76"/>
      <c r="P306" s="112"/>
      <c r="R306" s="79" t="s">
        <v>34</v>
      </c>
      <c r="S306" s="76">
        <f t="shared" si="48"/>
        <v>1</v>
      </c>
      <c r="T306" s="76">
        <f>S306*F306</f>
        <v>1</v>
      </c>
      <c r="U306" s="112"/>
    </row>
    <row r="307" spans="1:21" x14ac:dyDescent="0.25">
      <c r="A307" s="95">
        <v>45650</v>
      </c>
      <c r="B307" s="72" t="s">
        <v>498</v>
      </c>
      <c r="C307" s="72" t="s">
        <v>10</v>
      </c>
      <c r="D307" s="72" t="s">
        <v>18</v>
      </c>
      <c r="E307" s="72" t="s">
        <v>913</v>
      </c>
      <c r="F307" s="72">
        <v>1</v>
      </c>
      <c r="G307" s="73">
        <f t="shared" ref="G307:G313" si="52">VLOOKUP(D307,$W$3:$X$72,2,0)</f>
        <v>40</v>
      </c>
      <c r="H307" s="73">
        <f t="shared" si="46"/>
        <v>40</v>
      </c>
      <c r="I307" s="73">
        <f t="shared" si="47"/>
        <v>40</v>
      </c>
      <c r="J307" s="72" t="s">
        <v>79</v>
      </c>
      <c r="K307" s="74"/>
      <c r="M307" s="79"/>
      <c r="N307" s="76" t="e">
        <f t="shared" si="51"/>
        <v>#N/A</v>
      </c>
      <c r="O307" s="76"/>
      <c r="P307" s="112"/>
      <c r="R307" s="79" t="s">
        <v>18</v>
      </c>
      <c r="S307" s="76">
        <f t="shared" si="48"/>
        <v>16</v>
      </c>
      <c r="T307" s="76">
        <f>S307*F307</f>
        <v>16</v>
      </c>
      <c r="U307" s="112"/>
    </row>
    <row r="308" spans="1:21" x14ac:dyDescent="0.25">
      <c r="A308" s="95">
        <v>45650</v>
      </c>
      <c r="B308" s="72" t="s">
        <v>524</v>
      </c>
      <c r="C308" s="72" t="s">
        <v>8</v>
      </c>
      <c r="D308" s="72" t="s">
        <v>22</v>
      </c>
      <c r="E308" s="72" t="s">
        <v>56</v>
      </c>
      <c r="F308" s="72">
        <v>1</v>
      </c>
      <c r="G308" s="73">
        <f t="shared" si="52"/>
        <v>30</v>
      </c>
      <c r="H308" s="73">
        <f t="shared" si="46"/>
        <v>30</v>
      </c>
      <c r="I308" s="73">
        <f t="shared" si="47"/>
        <v>29.37</v>
      </c>
      <c r="J308" s="72" t="s">
        <v>866</v>
      </c>
      <c r="K308" s="74"/>
      <c r="M308" s="72" t="s">
        <v>22</v>
      </c>
      <c r="N308" s="76">
        <f t="shared" si="51"/>
        <v>12</v>
      </c>
      <c r="O308" s="76">
        <f>N308*F308</f>
        <v>12</v>
      </c>
      <c r="P308" s="112"/>
      <c r="R308" s="79"/>
      <c r="S308" s="76" t="e">
        <f t="shared" si="48"/>
        <v>#N/A</v>
      </c>
      <c r="T308" s="76"/>
      <c r="U308" s="112"/>
    </row>
    <row r="309" spans="1:21" x14ac:dyDescent="0.25">
      <c r="A309" s="95">
        <v>45650</v>
      </c>
      <c r="B309" s="72" t="s">
        <v>524</v>
      </c>
      <c r="C309" s="72" t="s">
        <v>8</v>
      </c>
      <c r="D309" s="72" t="s">
        <v>13</v>
      </c>
      <c r="E309" s="72" t="s">
        <v>56</v>
      </c>
      <c r="F309" s="72">
        <v>1</v>
      </c>
      <c r="G309" s="73">
        <f t="shared" si="52"/>
        <v>30</v>
      </c>
      <c r="H309" s="73">
        <f t="shared" si="46"/>
        <v>30</v>
      </c>
      <c r="I309" s="73">
        <f t="shared" si="47"/>
        <v>29.37</v>
      </c>
      <c r="J309" s="72" t="s">
        <v>866</v>
      </c>
      <c r="K309" s="74"/>
      <c r="M309" s="72" t="s">
        <v>13</v>
      </c>
      <c r="N309" s="76">
        <f t="shared" si="51"/>
        <v>12</v>
      </c>
      <c r="O309" s="76">
        <f>N309*F309</f>
        <v>12</v>
      </c>
      <c r="P309" s="112"/>
      <c r="R309" s="79"/>
      <c r="S309" s="76" t="e">
        <f t="shared" si="48"/>
        <v>#N/A</v>
      </c>
      <c r="T309" s="76"/>
      <c r="U309" s="112"/>
    </row>
    <row r="310" spans="1:21" x14ac:dyDescent="0.25">
      <c r="A310" s="95">
        <v>45650</v>
      </c>
      <c r="B310" s="72" t="s">
        <v>524</v>
      </c>
      <c r="C310" s="72" t="s">
        <v>8</v>
      </c>
      <c r="D310" s="72" t="s">
        <v>914</v>
      </c>
      <c r="E310" s="72" t="s">
        <v>56</v>
      </c>
      <c r="F310" s="72">
        <v>1</v>
      </c>
      <c r="G310" s="73">
        <f t="shared" si="52"/>
        <v>10</v>
      </c>
      <c r="H310" s="73">
        <f t="shared" si="46"/>
        <v>10</v>
      </c>
      <c r="I310" s="73">
        <f t="shared" si="47"/>
        <v>9.7899999999999991</v>
      </c>
      <c r="J310" s="72" t="s">
        <v>866</v>
      </c>
      <c r="K310" s="74"/>
      <c r="M310" s="72" t="s">
        <v>914</v>
      </c>
      <c r="N310" s="76">
        <f t="shared" si="51"/>
        <v>4</v>
      </c>
      <c r="O310" s="76">
        <f>N310*F310</f>
        <v>4</v>
      </c>
      <c r="P310" s="112"/>
      <c r="R310" s="79"/>
      <c r="S310" s="76" t="e">
        <f t="shared" si="48"/>
        <v>#N/A</v>
      </c>
      <c r="T310" s="76"/>
      <c r="U310" s="112"/>
    </row>
    <row r="311" spans="1:21" x14ac:dyDescent="0.25">
      <c r="A311" s="95">
        <v>45650</v>
      </c>
      <c r="B311" s="72" t="s">
        <v>346</v>
      </c>
      <c r="C311" s="72" t="s">
        <v>8</v>
      </c>
      <c r="D311" s="72" t="s">
        <v>920</v>
      </c>
      <c r="E311" s="72" t="s">
        <v>82</v>
      </c>
      <c r="F311" s="72">
        <v>1</v>
      </c>
      <c r="G311" s="73">
        <f t="shared" si="52"/>
        <v>80</v>
      </c>
      <c r="H311" s="73">
        <f t="shared" si="46"/>
        <v>80</v>
      </c>
      <c r="I311" s="73">
        <f t="shared" si="47"/>
        <v>80</v>
      </c>
      <c r="J311" s="72" t="s">
        <v>79</v>
      </c>
      <c r="K311" s="74"/>
      <c r="M311" s="79"/>
      <c r="N311" s="76" t="e">
        <f t="shared" si="51"/>
        <v>#N/A</v>
      </c>
      <c r="O311" s="76"/>
      <c r="P311" s="112"/>
      <c r="R311" s="79"/>
      <c r="S311" s="76" t="e">
        <f t="shared" si="48"/>
        <v>#N/A</v>
      </c>
      <c r="T311" s="76"/>
      <c r="U311" s="112"/>
    </row>
    <row r="312" spans="1:21" x14ac:dyDescent="0.25">
      <c r="A312" s="95">
        <v>45650</v>
      </c>
      <c r="B312" s="72" t="s">
        <v>554</v>
      </c>
      <c r="C312" s="72" t="s">
        <v>8</v>
      </c>
      <c r="D312" s="72" t="s">
        <v>15</v>
      </c>
      <c r="E312" s="72" t="s">
        <v>82</v>
      </c>
      <c r="F312" s="72">
        <v>1</v>
      </c>
      <c r="G312" s="73">
        <f t="shared" si="52"/>
        <v>70</v>
      </c>
      <c r="H312" s="73">
        <f t="shared" si="46"/>
        <v>70</v>
      </c>
      <c r="I312" s="73">
        <f t="shared" si="47"/>
        <v>70</v>
      </c>
      <c r="J312" s="72" t="s">
        <v>83</v>
      </c>
      <c r="K312" s="74"/>
      <c r="M312" s="79"/>
      <c r="N312" s="76" t="e">
        <f t="shared" si="51"/>
        <v>#N/A</v>
      </c>
      <c r="O312" s="76"/>
      <c r="P312" s="112"/>
      <c r="R312" s="79"/>
      <c r="S312" s="76" t="e">
        <f t="shared" si="48"/>
        <v>#N/A</v>
      </c>
      <c r="T312" s="76"/>
      <c r="U312" s="112"/>
    </row>
    <row r="313" spans="1:21" x14ac:dyDescent="0.25">
      <c r="A313" s="95">
        <v>45650</v>
      </c>
      <c r="B313" s="72" t="s">
        <v>554</v>
      </c>
      <c r="C313" s="72" t="s">
        <v>8</v>
      </c>
      <c r="D313" s="72" t="s">
        <v>48</v>
      </c>
      <c r="E313" s="72" t="s">
        <v>82</v>
      </c>
      <c r="F313" s="72">
        <v>2</v>
      </c>
      <c r="G313" s="73">
        <f t="shared" si="52"/>
        <v>10</v>
      </c>
      <c r="H313" s="73">
        <f t="shared" si="46"/>
        <v>20</v>
      </c>
      <c r="I313" s="73">
        <f t="shared" si="47"/>
        <v>20</v>
      </c>
      <c r="J313" s="72" t="s">
        <v>83</v>
      </c>
      <c r="K313" s="74"/>
      <c r="M313" s="79"/>
      <c r="N313" s="76" t="e">
        <f t="shared" si="51"/>
        <v>#N/A</v>
      </c>
      <c r="O313" s="76"/>
      <c r="P313" s="112"/>
      <c r="R313" s="79"/>
      <c r="S313" s="76" t="e">
        <f t="shared" si="48"/>
        <v>#N/A</v>
      </c>
      <c r="T313" s="76"/>
      <c r="U313" s="112"/>
    </row>
    <row r="314" spans="1:21" x14ac:dyDescent="0.25">
      <c r="A314" s="95">
        <v>45650</v>
      </c>
      <c r="B314" s="72" t="s">
        <v>554</v>
      </c>
      <c r="C314" s="72" t="s">
        <v>8</v>
      </c>
      <c r="D314" s="72" t="s">
        <v>44</v>
      </c>
      <c r="E314" s="72" t="s">
        <v>82</v>
      </c>
      <c r="F314" s="72">
        <v>1</v>
      </c>
      <c r="G314" s="73">
        <v>6</v>
      </c>
      <c r="H314" s="73">
        <f t="shared" si="46"/>
        <v>6</v>
      </c>
      <c r="I314" s="73">
        <f t="shared" si="47"/>
        <v>6</v>
      </c>
      <c r="J314" s="72" t="s">
        <v>83</v>
      </c>
      <c r="K314" s="74"/>
      <c r="M314" s="79"/>
      <c r="N314" s="76" t="e">
        <f t="shared" si="51"/>
        <v>#N/A</v>
      </c>
      <c r="O314" s="76"/>
      <c r="P314" s="112"/>
      <c r="R314" s="79"/>
      <c r="S314" s="76" t="e">
        <f t="shared" si="48"/>
        <v>#N/A</v>
      </c>
      <c r="T314" s="76"/>
      <c r="U314" s="112"/>
    </row>
    <row r="315" spans="1:21" x14ac:dyDescent="0.25">
      <c r="A315" s="95">
        <v>45650</v>
      </c>
      <c r="B315" s="72" t="s">
        <v>276</v>
      </c>
      <c r="C315" s="72" t="s">
        <v>8</v>
      </c>
      <c r="D315" s="72" t="s">
        <v>40</v>
      </c>
      <c r="E315" s="72" t="s">
        <v>82</v>
      </c>
      <c r="F315" s="72">
        <v>1</v>
      </c>
      <c r="G315" s="73">
        <f t="shared" ref="G315:G325" si="53">VLOOKUP(D315,$W$3:$X$72,2,0)</f>
        <v>45</v>
      </c>
      <c r="H315" s="73">
        <f t="shared" si="46"/>
        <v>45</v>
      </c>
      <c r="I315" s="73">
        <f t="shared" si="47"/>
        <v>44.055</v>
      </c>
      <c r="J315" s="72" t="s">
        <v>866</v>
      </c>
      <c r="K315" s="74"/>
      <c r="M315" s="79"/>
      <c r="N315" s="76" t="e">
        <f t="shared" si="51"/>
        <v>#N/A</v>
      </c>
      <c r="O315" s="76"/>
      <c r="P315" s="112"/>
      <c r="R315" s="79"/>
      <c r="S315" s="76" t="e">
        <f t="shared" si="48"/>
        <v>#N/A</v>
      </c>
      <c r="T315" s="76"/>
      <c r="U315" s="112"/>
    </row>
    <row r="316" spans="1:21" x14ac:dyDescent="0.25">
      <c r="A316" s="95">
        <v>45650</v>
      </c>
      <c r="B316" s="72" t="s">
        <v>670</v>
      </c>
      <c r="C316" s="72" t="s">
        <v>8</v>
      </c>
      <c r="D316" s="72" t="s">
        <v>916</v>
      </c>
      <c r="E316" s="72" t="s">
        <v>82</v>
      </c>
      <c r="F316" s="72">
        <v>1</v>
      </c>
      <c r="G316" s="73">
        <f t="shared" si="53"/>
        <v>50</v>
      </c>
      <c r="H316" s="73">
        <f t="shared" si="46"/>
        <v>50</v>
      </c>
      <c r="I316" s="73">
        <f t="shared" si="47"/>
        <v>50</v>
      </c>
      <c r="J316" s="72" t="s">
        <v>83</v>
      </c>
      <c r="K316" s="74"/>
      <c r="M316" s="79"/>
      <c r="N316" s="76" t="e">
        <f t="shared" si="51"/>
        <v>#N/A</v>
      </c>
      <c r="O316" s="76"/>
      <c r="P316" s="112"/>
      <c r="R316" s="79"/>
      <c r="S316" s="76" t="e">
        <f t="shared" si="48"/>
        <v>#N/A</v>
      </c>
      <c r="T316" s="76"/>
      <c r="U316" s="112"/>
    </row>
    <row r="317" spans="1:21" x14ac:dyDescent="0.25">
      <c r="A317" s="95">
        <v>45650</v>
      </c>
      <c r="B317" s="72" t="s">
        <v>670</v>
      </c>
      <c r="C317" s="72" t="s">
        <v>8</v>
      </c>
      <c r="D317" s="72" t="s">
        <v>18</v>
      </c>
      <c r="E317" s="72" t="s">
        <v>82</v>
      </c>
      <c r="F317" s="72">
        <v>1</v>
      </c>
      <c r="G317" s="73">
        <f t="shared" si="53"/>
        <v>40</v>
      </c>
      <c r="H317" s="73">
        <f t="shared" si="46"/>
        <v>40</v>
      </c>
      <c r="I317" s="73">
        <f t="shared" si="47"/>
        <v>40</v>
      </c>
      <c r="J317" s="72" t="s">
        <v>83</v>
      </c>
      <c r="K317" s="74"/>
      <c r="M317" s="79"/>
      <c r="N317" s="76" t="e">
        <f t="shared" si="51"/>
        <v>#N/A</v>
      </c>
      <c r="O317" s="76"/>
      <c r="P317" s="112"/>
      <c r="R317" s="79"/>
      <c r="S317" s="76" t="e">
        <f t="shared" si="48"/>
        <v>#N/A</v>
      </c>
      <c r="T317" s="76"/>
      <c r="U317" s="112"/>
    </row>
    <row r="318" spans="1:21" x14ac:dyDescent="0.25">
      <c r="A318" s="95">
        <v>45650</v>
      </c>
      <c r="B318" s="72" t="s">
        <v>555</v>
      </c>
      <c r="C318" s="72" t="s">
        <v>8</v>
      </c>
      <c r="D318" s="72" t="s">
        <v>15</v>
      </c>
      <c r="E318" s="72" t="s">
        <v>82</v>
      </c>
      <c r="F318" s="72">
        <v>1</v>
      </c>
      <c r="G318" s="73">
        <f t="shared" si="53"/>
        <v>70</v>
      </c>
      <c r="H318" s="73">
        <f t="shared" si="46"/>
        <v>70</v>
      </c>
      <c r="I318" s="73">
        <f t="shared" si="47"/>
        <v>66.5</v>
      </c>
      <c r="J318" s="72" t="s">
        <v>867</v>
      </c>
      <c r="K318" s="74"/>
      <c r="M318" s="79"/>
      <c r="N318" s="76" t="e">
        <f t="shared" si="51"/>
        <v>#N/A</v>
      </c>
      <c r="O318" s="76"/>
      <c r="P318" s="112"/>
      <c r="R318" s="79"/>
      <c r="S318" s="76" t="e">
        <f t="shared" si="48"/>
        <v>#N/A</v>
      </c>
      <c r="T318" s="76"/>
      <c r="U318" s="112"/>
    </row>
    <row r="319" spans="1:21" x14ac:dyDescent="0.25">
      <c r="A319" s="95">
        <v>45650</v>
      </c>
      <c r="B319" s="72" t="s">
        <v>555</v>
      </c>
      <c r="C319" s="72" t="s">
        <v>8</v>
      </c>
      <c r="D319" s="72" t="s">
        <v>45</v>
      </c>
      <c r="E319" s="72" t="s">
        <v>82</v>
      </c>
      <c r="F319" s="72">
        <v>2</v>
      </c>
      <c r="G319" s="73">
        <f t="shared" si="53"/>
        <v>3.5</v>
      </c>
      <c r="H319" s="73">
        <f t="shared" si="46"/>
        <v>7</v>
      </c>
      <c r="I319" s="73">
        <f t="shared" si="47"/>
        <v>6.65</v>
      </c>
      <c r="J319" s="72" t="s">
        <v>867</v>
      </c>
      <c r="K319" s="74"/>
      <c r="M319" s="79"/>
      <c r="N319" s="76" t="e">
        <f t="shared" si="51"/>
        <v>#N/A</v>
      </c>
      <c r="O319" s="76"/>
      <c r="P319" s="112"/>
      <c r="R319" s="79"/>
      <c r="S319" s="76" t="e">
        <f t="shared" si="48"/>
        <v>#N/A</v>
      </c>
      <c r="T319" s="76"/>
      <c r="U319" s="112"/>
    </row>
    <row r="320" spans="1:21" x14ac:dyDescent="0.25">
      <c r="A320" s="95">
        <v>45652</v>
      </c>
      <c r="B320" s="72" t="s">
        <v>680</v>
      </c>
      <c r="C320" s="72" t="s">
        <v>8</v>
      </c>
      <c r="D320" s="72" t="s">
        <v>18</v>
      </c>
      <c r="E320" s="72" t="s">
        <v>82</v>
      </c>
      <c r="F320" s="72">
        <v>1</v>
      </c>
      <c r="G320" s="73">
        <f t="shared" si="53"/>
        <v>40</v>
      </c>
      <c r="H320" s="73">
        <f t="shared" si="46"/>
        <v>40</v>
      </c>
      <c r="I320" s="73">
        <f t="shared" si="47"/>
        <v>38</v>
      </c>
      <c r="J320" s="72" t="s">
        <v>867</v>
      </c>
      <c r="K320" s="74"/>
      <c r="M320" s="79"/>
      <c r="N320" s="76" t="e">
        <f t="shared" ref="N320:N325" si="54">VLOOKUP(M320,$W$3:$Y$72,3,0)</f>
        <v>#N/A</v>
      </c>
      <c r="O320" s="76"/>
      <c r="P320" s="112"/>
      <c r="R320" s="79"/>
      <c r="S320" s="76" t="e">
        <f t="shared" si="48"/>
        <v>#N/A</v>
      </c>
      <c r="T320" s="76"/>
      <c r="U320" s="112"/>
    </row>
    <row r="321" spans="1:21" x14ac:dyDescent="0.25">
      <c r="A321" s="95">
        <v>45652</v>
      </c>
      <c r="B321" s="72" t="s">
        <v>586</v>
      </c>
      <c r="C321" s="72" t="s">
        <v>8</v>
      </c>
      <c r="D321" s="72" t="s">
        <v>916</v>
      </c>
      <c r="E321" s="72" t="s">
        <v>82</v>
      </c>
      <c r="F321" s="72">
        <v>1</v>
      </c>
      <c r="G321" s="73">
        <f t="shared" si="53"/>
        <v>50</v>
      </c>
      <c r="H321" s="73">
        <f t="shared" si="46"/>
        <v>50</v>
      </c>
      <c r="I321" s="73">
        <f t="shared" si="47"/>
        <v>48.95</v>
      </c>
      <c r="J321" s="72" t="s">
        <v>866</v>
      </c>
      <c r="K321" s="74"/>
      <c r="M321" s="79"/>
      <c r="N321" s="76" t="e">
        <f t="shared" si="54"/>
        <v>#N/A</v>
      </c>
      <c r="O321" s="76"/>
      <c r="P321" s="112"/>
      <c r="R321" s="79"/>
      <c r="S321" s="76" t="e">
        <f t="shared" si="48"/>
        <v>#N/A</v>
      </c>
      <c r="T321" s="76"/>
      <c r="U321" s="112"/>
    </row>
    <row r="322" spans="1:21" x14ac:dyDescent="0.25">
      <c r="A322" s="95">
        <v>45652</v>
      </c>
      <c r="B322" s="72" t="s">
        <v>971</v>
      </c>
      <c r="C322" s="72" t="s">
        <v>8</v>
      </c>
      <c r="D322" s="72" t="s">
        <v>15</v>
      </c>
      <c r="E322" s="72" t="s">
        <v>82</v>
      </c>
      <c r="F322" s="72">
        <v>1</v>
      </c>
      <c r="G322" s="73">
        <f t="shared" si="53"/>
        <v>70</v>
      </c>
      <c r="H322" s="73">
        <f t="shared" si="46"/>
        <v>70</v>
      </c>
      <c r="I322" s="73">
        <f t="shared" si="47"/>
        <v>68.538749999999993</v>
      </c>
      <c r="J322" s="72" t="s">
        <v>868</v>
      </c>
      <c r="K322" s="74"/>
      <c r="M322" s="79"/>
      <c r="N322" s="76" t="e">
        <f t="shared" si="54"/>
        <v>#N/A</v>
      </c>
      <c r="O322" s="76"/>
      <c r="P322" s="112"/>
      <c r="R322" s="79"/>
      <c r="S322" s="76" t="e">
        <f t="shared" si="48"/>
        <v>#N/A</v>
      </c>
      <c r="T322" s="76"/>
      <c r="U322" s="112"/>
    </row>
    <row r="323" spans="1:21" x14ac:dyDescent="0.25">
      <c r="A323" s="95">
        <v>45652</v>
      </c>
      <c r="B323" s="72" t="s">
        <v>971</v>
      </c>
      <c r="C323" s="72" t="s">
        <v>8</v>
      </c>
      <c r="D323" s="72" t="s">
        <v>916</v>
      </c>
      <c r="E323" s="72" t="s">
        <v>56</v>
      </c>
      <c r="F323" s="72">
        <v>1</v>
      </c>
      <c r="G323" s="73">
        <f t="shared" si="53"/>
        <v>50</v>
      </c>
      <c r="H323" s="73">
        <f t="shared" ref="H323:H386" si="55">F323*G323</f>
        <v>50</v>
      </c>
      <c r="I323" s="73">
        <f t="shared" ref="I323:I386" si="56">IF(J323="Master Debito",H323-(H323*$AG$5),IF(J323="Master Credito",H323-(H323*$AG$6), IF(J323="Visa Debito",H323-(H323*$AG$7), IF(J323="Visa Credito", H323-(H323*$AG$8), IF(J323="Elo Debito", H323-(H323*$AG$9), IF(J323="Elo Credito", H323-(H323*$AG$10), IF(J323="Pix", H323-(H323*$AG$11), IF(J323="Dinheiro (R$)", H323-(H323*$AG$12)))))))))</f>
        <v>48.95</v>
      </c>
      <c r="J323" s="72" t="s">
        <v>866</v>
      </c>
      <c r="K323" s="74"/>
      <c r="M323" s="72" t="s">
        <v>916</v>
      </c>
      <c r="N323" s="76">
        <f t="shared" si="54"/>
        <v>20</v>
      </c>
      <c r="O323" s="76">
        <f>N323*F323</f>
        <v>20</v>
      </c>
      <c r="P323" s="112"/>
      <c r="R323" s="79"/>
      <c r="S323" s="76" t="e">
        <f t="shared" ref="S323:S386" si="57">VLOOKUP(R323,$W$3:$Y$72,3,0)</f>
        <v>#N/A</v>
      </c>
      <c r="T323" s="76"/>
      <c r="U323" s="112"/>
    </row>
    <row r="324" spans="1:21" x14ac:dyDescent="0.25">
      <c r="A324" s="95">
        <v>45652</v>
      </c>
      <c r="B324" s="72" t="s">
        <v>839</v>
      </c>
      <c r="C324" s="72" t="s">
        <v>8</v>
      </c>
      <c r="D324" s="72" t="s">
        <v>18</v>
      </c>
      <c r="E324" s="72" t="s">
        <v>56</v>
      </c>
      <c r="F324" s="72">
        <v>2</v>
      </c>
      <c r="G324" s="73">
        <f t="shared" si="53"/>
        <v>40</v>
      </c>
      <c r="H324" s="73">
        <f t="shared" si="55"/>
        <v>80</v>
      </c>
      <c r="I324" s="73">
        <f t="shared" si="56"/>
        <v>76.28</v>
      </c>
      <c r="J324" s="72" t="s">
        <v>865</v>
      </c>
      <c r="K324" s="74"/>
      <c r="M324" s="72" t="s">
        <v>18</v>
      </c>
      <c r="N324" s="76">
        <f t="shared" si="54"/>
        <v>16</v>
      </c>
      <c r="O324" s="76">
        <f>N324*F324</f>
        <v>32</v>
      </c>
      <c r="P324" s="112"/>
      <c r="R324" s="79"/>
      <c r="S324" s="76" t="e">
        <f t="shared" si="57"/>
        <v>#N/A</v>
      </c>
      <c r="T324" s="76"/>
      <c r="U324" s="112"/>
    </row>
    <row r="325" spans="1:21" x14ac:dyDescent="0.25">
      <c r="A325" s="95">
        <v>45652</v>
      </c>
      <c r="B325" s="72" t="s">
        <v>839</v>
      </c>
      <c r="C325" s="72" t="s">
        <v>8</v>
      </c>
      <c r="D325" s="72" t="s">
        <v>20</v>
      </c>
      <c r="E325" s="72" t="s">
        <v>56</v>
      </c>
      <c r="F325" s="72">
        <v>1</v>
      </c>
      <c r="G325" s="73">
        <f t="shared" si="53"/>
        <v>15</v>
      </c>
      <c r="H325" s="73">
        <f t="shared" si="55"/>
        <v>15</v>
      </c>
      <c r="I325" s="73">
        <f t="shared" si="56"/>
        <v>14.3025</v>
      </c>
      <c r="J325" s="72" t="s">
        <v>865</v>
      </c>
      <c r="K325" s="74"/>
      <c r="M325" s="72" t="s">
        <v>20</v>
      </c>
      <c r="N325" s="76">
        <f t="shared" si="54"/>
        <v>6</v>
      </c>
      <c r="O325" s="76">
        <f>N325*F325</f>
        <v>6</v>
      </c>
      <c r="P325" s="112"/>
      <c r="R325" s="79"/>
      <c r="S325" s="76" t="e">
        <f t="shared" si="57"/>
        <v>#N/A</v>
      </c>
      <c r="T325" s="76"/>
      <c r="U325" s="112"/>
    </row>
    <row r="326" spans="1:21" x14ac:dyDescent="0.25">
      <c r="A326" s="95">
        <v>45652</v>
      </c>
      <c r="B326" s="72" t="s">
        <v>839</v>
      </c>
      <c r="C326" s="72" t="s">
        <v>8</v>
      </c>
      <c r="D326" s="72" t="s">
        <v>64</v>
      </c>
      <c r="E326" s="72" t="s">
        <v>56</v>
      </c>
      <c r="F326" s="72">
        <v>1</v>
      </c>
      <c r="G326" s="73">
        <v>15</v>
      </c>
      <c r="H326" s="73">
        <f t="shared" si="55"/>
        <v>15</v>
      </c>
      <c r="I326" s="73">
        <f t="shared" si="56"/>
        <v>14.3025</v>
      </c>
      <c r="J326" s="72" t="s">
        <v>865</v>
      </c>
      <c r="K326" s="74"/>
      <c r="M326" s="72" t="s">
        <v>64</v>
      </c>
      <c r="N326" s="76">
        <f>H326*0.1</f>
        <v>1.5</v>
      </c>
      <c r="O326" s="76">
        <f>N326*F326</f>
        <v>1.5</v>
      </c>
      <c r="P326" s="112"/>
      <c r="R326" s="79"/>
      <c r="S326" s="76" t="e">
        <f t="shared" si="57"/>
        <v>#N/A</v>
      </c>
      <c r="T326" s="76"/>
      <c r="U326" s="112"/>
    </row>
    <row r="327" spans="1:21" x14ac:dyDescent="0.25">
      <c r="A327" s="95">
        <v>45652</v>
      </c>
      <c r="B327" s="72" t="s">
        <v>324</v>
      </c>
      <c r="C327" s="72" t="s">
        <v>8</v>
      </c>
      <c r="D327" s="72" t="s">
        <v>916</v>
      </c>
      <c r="E327" s="72" t="s">
        <v>82</v>
      </c>
      <c r="F327" s="72">
        <v>1</v>
      </c>
      <c r="G327" s="73">
        <f t="shared" ref="G327:G372" si="58">VLOOKUP(D327,$W$3:$X$72,2,0)</f>
        <v>50</v>
      </c>
      <c r="H327" s="73">
        <f t="shared" si="55"/>
        <v>50</v>
      </c>
      <c r="I327" s="73">
        <f t="shared" si="56"/>
        <v>50</v>
      </c>
      <c r="J327" s="72" t="s">
        <v>79</v>
      </c>
      <c r="K327" s="74"/>
      <c r="M327" s="79"/>
      <c r="N327" s="76" t="e">
        <f t="shared" ref="N327:N358" si="59">VLOOKUP(M327,$W$3:$Y$72,3,0)</f>
        <v>#N/A</v>
      </c>
      <c r="O327" s="76"/>
      <c r="P327" s="112"/>
      <c r="R327" s="79"/>
      <c r="S327" s="76" t="e">
        <f t="shared" si="57"/>
        <v>#N/A</v>
      </c>
      <c r="T327" s="76"/>
      <c r="U327" s="112"/>
    </row>
    <row r="328" spans="1:21" x14ac:dyDescent="0.25">
      <c r="A328" s="95">
        <v>45652</v>
      </c>
      <c r="B328" s="72" t="s">
        <v>301</v>
      </c>
      <c r="C328" s="72" t="s">
        <v>8</v>
      </c>
      <c r="D328" s="72" t="s">
        <v>916</v>
      </c>
      <c r="E328" s="72" t="s">
        <v>82</v>
      </c>
      <c r="F328" s="72">
        <v>1</v>
      </c>
      <c r="G328" s="73">
        <f t="shared" si="58"/>
        <v>50</v>
      </c>
      <c r="H328" s="73">
        <f t="shared" si="55"/>
        <v>50</v>
      </c>
      <c r="I328" s="73">
        <f t="shared" si="56"/>
        <v>48.95</v>
      </c>
      <c r="J328" s="72" t="s">
        <v>866</v>
      </c>
      <c r="K328" s="74"/>
      <c r="M328" s="79"/>
      <c r="N328" s="76" t="e">
        <f t="shared" si="59"/>
        <v>#N/A</v>
      </c>
      <c r="O328" s="76"/>
      <c r="P328" s="112"/>
      <c r="R328" s="79"/>
      <c r="S328" s="76" t="e">
        <f t="shared" si="57"/>
        <v>#N/A</v>
      </c>
      <c r="T328" s="76"/>
      <c r="U328" s="112"/>
    </row>
    <row r="329" spans="1:21" x14ac:dyDescent="0.25">
      <c r="A329" s="95">
        <v>45652</v>
      </c>
      <c r="B329" s="72" t="s">
        <v>597</v>
      </c>
      <c r="C329" s="72" t="s">
        <v>8</v>
      </c>
      <c r="D329" s="72" t="s">
        <v>18</v>
      </c>
      <c r="E329" s="72" t="s">
        <v>82</v>
      </c>
      <c r="F329" s="72">
        <v>1</v>
      </c>
      <c r="G329" s="73">
        <f t="shared" si="58"/>
        <v>40</v>
      </c>
      <c r="H329" s="73">
        <f t="shared" si="55"/>
        <v>40</v>
      </c>
      <c r="I329" s="73">
        <f t="shared" si="56"/>
        <v>39.159999999999997</v>
      </c>
      <c r="J329" s="72" t="s">
        <v>866</v>
      </c>
      <c r="K329" s="74"/>
      <c r="M329" s="79"/>
      <c r="N329" s="76" t="e">
        <f t="shared" si="59"/>
        <v>#N/A</v>
      </c>
      <c r="O329" s="76"/>
      <c r="P329" s="112"/>
      <c r="R329" s="79"/>
      <c r="S329" s="76" t="e">
        <f t="shared" si="57"/>
        <v>#N/A</v>
      </c>
      <c r="T329" s="76"/>
      <c r="U329" s="112"/>
    </row>
    <row r="330" spans="1:21" x14ac:dyDescent="0.25">
      <c r="A330" s="95">
        <v>45652</v>
      </c>
      <c r="B330" s="72" t="s">
        <v>661</v>
      </c>
      <c r="C330" s="72" t="s">
        <v>8</v>
      </c>
      <c r="D330" s="72" t="s">
        <v>18</v>
      </c>
      <c r="E330" s="72" t="s">
        <v>56</v>
      </c>
      <c r="F330" s="72">
        <v>1</v>
      </c>
      <c r="G330" s="73">
        <f t="shared" si="58"/>
        <v>40</v>
      </c>
      <c r="H330" s="73">
        <f t="shared" si="55"/>
        <v>40</v>
      </c>
      <c r="I330" s="73">
        <f t="shared" si="56"/>
        <v>38</v>
      </c>
      <c r="J330" s="72" t="s">
        <v>867</v>
      </c>
      <c r="K330" s="74"/>
      <c r="M330" s="72" t="s">
        <v>18</v>
      </c>
      <c r="N330" s="76">
        <f t="shared" si="59"/>
        <v>16</v>
      </c>
      <c r="O330" s="76">
        <f>N330*F330</f>
        <v>16</v>
      </c>
      <c r="P330" s="112"/>
      <c r="R330" s="79"/>
      <c r="S330" s="76" t="e">
        <f t="shared" si="57"/>
        <v>#N/A</v>
      </c>
      <c r="T330" s="76"/>
      <c r="U330" s="112"/>
    </row>
    <row r="331" spans="1:21" x14ac:dyDescent="0.25">
      <c r="A331" s="95">
        <v>45652</v>
      </c>
      <c r="B331" s="72" t="s">
        <v>532</v>
      </c>
      <c r="C331" s="72" t="s">
        <v>8</v>
      </c>
      <c r="D331" s="72" t="s">
        <v>18</v>
      </c>
      <c r="E331" s="72" t="s">
        <v>56</v>
      </c>
      <c r="F331" s="72">
        <v>1</v>
      </c>
      <c r="G331" s="73">
        <f t="shared" si="58"/>
        <v>40</v>
      </c>
      <c r="H331" s="73">
        <f t="shared" si="55"/>
        <v>40</v>
      </c>
      <c r="I331" s="73">
        <f t="shared" si="56"/>
        <v>40</v>
      </c>
      <c r="J331" s="72" t="s">
        <v>83</v>
      </c>
      <c r="K331" s="74"/>
      <c r="M331" s="72" t="s">
        <v>18</v>
      </c>
      <c r="N331" s="76">
        <f t="shared" si="59"/>
        <v>16</v>
      </c>
      <c r="O331" s="76">
        <f>N331*F331</f>
        <v>16</v>
      </c>
      <c r="P331" s="112"/>
      <c r="R331" s="79"/>
      <c r="S331" s="76" t="e">
        <f t="shared" si="57"/>
        <v>#N/A</v>
      </c>
      <c r="T331" s="76"/>
      <c r="U331" s="112"/>
    </row>
    <row r="332" spans="1:21" x14ac:dyDescent="0.25">
      <c r="A332" s="95">
        <v>45652</v>
      </c>
      <c r="B332" s="72" t="s">
        <v>765</v>
      </c>
      <c r="C332" s="72" t="s">
        <v>8</v>
      </c>
      <c r="D332" s="72" t="s">
        <v>916</v>
      </c>
      <c r="E332" s="72" t="s">
        <v>56</v>
      </c>
      <c r="F332" s="72">
        <v>1</v>
      </c>
      <c r="G332" s="73">
        <f t="shared" si="58"/>
        <v>50</v>
      </c>
      <c r="H332" s="73">
        <f t="shared" si="55"/>
        <v>50</v>
      </c>
      <c r="I332" s="73">
        <f t="shared" si="56"/>
        <v>47.5</v>
      </c>
      <c r="J332" s="72" t="s">
        <v>867</v>
      </c>
      <c r="K332" s="74"/>
      <c r="M332" s="72" t="s">
        <v>916</v>
      </c>
      <c r="N332" s="76">
        <f t="shared" si="59"/>
        <v>20</v>
      </c>
      <c r="O332" s="76">
        <f>N332*F332</f>
        <v>20</v>
      </c>
      <c r="P332" s="112"/>
      <c r="R332" s="79"/>
      <c r="S332" s="76" t="e">
        <f t="shared" si="57"/>
        <v>#N/A</v>
      </c>
      <c r="T332" s="76"/>
      <c r="U332" s="112"/>
    </row>
    <row r="333" spans="1:21" x14ac:dyDescent="0.25">
      <c r="A333" s="95">
        <v>45652</v>
      </c>
      <c r="B333" s="72" t="s">
        <v>839</v>
      </c>
      <c r="C333" s="72" t="s">
        <v>8</v>
      </c>
      <c r="D333" s="72" t="s">
        <v>19</v>
      </c>
      <c r="E333" s="72" t="s">
        <v>82</v>
      </c>
      <c r="F333" s="72">
        <v>1</v>
      </c>
      <c r="G333" s="73">
        <f t="shared" si="58"/>
        <v>40</v>
      </c>
      <c r="H333" s="73">
        <f t="shared" si="55"/>
        <v>40</v>
      </c>
      <c r="I333" s="73">
        <f t="shared" si="56"/>
        <v>38.14</v>
      </c>
      <c r="J333" s="72" t="s">
        <v>865</v>
      </c>
      <c r="K333" s="74"/>
      <c r="M333" s="79"/>
      <c r="N333" s="76" t="e">
        <f t="shared" si="59"/>
        <v>#N/A</v>
      </c>
      <c r="O333" s="76"/>
      <c r="P333" s="112"/>
      <c r="R333" s="79"/>
      <c r="S333" s="76" t="e">
        <f t="shared" si="57"/>
        <v>#N/A</v>
      </c>
      <c r="T333" s="76"/>
      <c r="U333" s="112"/>
    </row>
    <row r="334" spans="1:21" x14ac:dyDescent="0.25">
      <c r="A334" s="95">
        <v>45652</v>
      </c>
      <c r="B334" s="72" t="s">
        <v>899</v>
      </c>
      <c r="C334" s="72" t="s">
        <v>8</v>
      </c>
      <c r="D334" s="72" t="s">
        <v>13</v>
      </c>
      <c r="E334" s="72" t="s">
        <v>82</v>
      </c>
      <c r="F334" s="72">
        <v>1</v>
      </c>
      <c r="G334" s="73">
        <f t="shared" si="58"/>
        <v>30</v>
      </c>
      <c r="H334" s="73">
        <f t="shared" si="55"/>
        <v>30</v>
      </c>
      <c r="I334" s="73">
        <f t="shared" si="56"/>
        <v>28.5</v>
      </c>
      <c r="J334" s="72" t="s">
        <v>867</v>
      </c>
      <c r="K334" s="74"/>
      <c r="M334" s="79"/>
      <c r="N334" s="76" t="e">
        <f t="shared" si="59"/>
        <v>#N/A</v>
      </c>
      <c r="O334" s="76"/>
      <c r="P334" s="112"/>
      <c r="R334" s="79"/>
      <c r="S334" s="76" t="e">
        <f t="shared" si="57"/>
        <v>#N/A</v>
      </c>
      <c r="T334" s="76"/>
      <c r="U334" s="112"/>
    </row>
    <row r="335" spans="1:21" x14ac:dyDescent="0.25">
      <c r="A335" s="95">
        <v>45652</v>
      </c>
      <c r="B335" s="72" t="s">
        <v>899</v>
      </c>
      <c r="C335" s="72" t="s">
        <v>8</v>
      </c>
      <c r="D335" s="72" t="s">
        <v>914</v>
      </c>
      <c r="E335" s="72" t="s">
        <v>82</v>
      </c>
      <c r="F335" s="72">
        <v>1</v>
      </c>
      <c r="G335" s="73">
        <f t="shared" si="58"/>
        <v>10</v>
      </c>
      <c r="H335" s="73">
        <f t="shared" si="55"/>
        <v>10</v>
      </c>
      <c r="I335" s="73">
        <f t="shared" si="56"/>
        <v>9.5</v>
      </c>
      <c r="J335" s="72" t="s">
        <v>867</v>
      </c>
      <c r="K335" s="74"/>
      <c r="M335" s="79"/>
      <c r="N335" s="76" t="e">
        <f t="shared" si="59"/>
        <v>#N/A</v>
      </c>
      <c r="O335" s="76"/>
      <c r="P335" s="112"/>
      <c r="R335" s="79"/>
      <c r="S335" s="76" t="e">
        <f t="shared" si="57"/>
        <v>#N/A</v>
      </c>
      <c r="T335" s="76"/>
      <c r="U335" s="112"/>
    </row>
    <row r="336" spans="1:21" x14ac:dyDescent="0.25">
      <c r="A336" s="95">
        <v>45653</v>
      </c>
      <c r="B336" s="72" t="s">
        <v>839</v>
      </c>
      <c r="C336" s="72" t="s">
        <v>10</v>
      </c>
      <c r="D336" s="72" t="s">
        <v>13</v>
      </c>
      <c r="E336" s="72" t="s">
        <v>913</v>
      </c>
      <c r="F336" s="72">
        <v>1</v>
      </c>
      <c r="G336" s="73">
        <f t="shared" si="58"/>
        <v>30</v>
      </c>
      <c r="H336" s="73">
        <f t="shared" si="55"/>
        <v>30</v>
      </c>
      <c r="I336" s="73">
        <f t="shared" si="56"/>
        <v>30</v>
      </c>
      <c r="J336" s="72" t="s">
        <v>83</v>
      </c>
      <c r="K336" s="74"/>
      <c r="M336" s="79"/>
      <c r="N336" s="76" t="e">
        <f t="shared" si="59"/>
        <v>#N/A</v>
      </c>
      <c r="O336" s="76"/>
      <c r="P336" s="112"/>
      <c r="R336" s="79" t="s">
        <v>13</v>
      </c>
      <c r="S336" s="76">
        <f t="shared" si="57"/>
        <v>12</v>
      </c>
      <c r="T336" s="76">
        <f>S336*F336</f>
        <v>12</v>
      </c>
      <c r="U336" s="112"/>
    </row>
    <row r="337" spans="1:21" x14ac:dyDescent="0.25">
      <c r="A337" s="95">
        <v>45653</v>
      </c>
      <c r="B337" s="72" t="s">
        <v>561</v>
      </c>
      <c r="C337" s="72" t="s">
        <v>8</v>
      </c>
      <c r="D337" s="72" t="s">
        <v>18</v>
      </c>
      <c r="E337" s="72" t="s">
        <v>82</v>
      </c>
      <c r="F337" s="72">
        <v>1</v>
      </c>
      <c r="G337" s="73">
        <f t="shared" si="58"/>
        <v>40</v>
      </c>
      <c r="H337" s="73">
        <f t="shared" si="55"/>
        <v>40</v>
      </c>
      <c r="I337" s="73">
        <f t="shared" si="56"/>
        <v>40</v>
      </c>
      <c r="J337" s="72" t="s">
        <v>83</v>
      </c>
      <c r="K337" s="74"/>
      <c r="M337" s="79"/>
      <c r="N337" s="76" t="e">
        <f t="shared" si="59"/>
        <v>#N/A</v>
      </c>
      <c r="O337" s="76"/>
      <c r="P337" s="112"/>
      <c r="R337" s="79"/>
      <c r="S337" s="76" t="e">
        <f t="shared" si="57"/>
        <v>#N/A</v>
      </c>
      <c r="T337" s="76"/>
      <c r="U337" s="112"/>
    </row>
    <row r="338" spans="1:21" x14ac:dyDescent="0.25">
      <c r="A338" s="95">
        <v>45653</v>
      </c>
      <c r="B338" s="72" t="s">
        <v>240</v>
      </c>
      <c r="C338" s="72" t="s">
        <v>10</v>
      </c>
      <c r="D338" s="72" t="s">
        <v>18</v>
      </c>
      <c r="E338" s="72" t="s">
        <v>913</v>
      </c>
      <c r="F338" s="72">
        <v>1</v>
      </c>
      <c r="G338" s="73">
        <f t="shared" si="58"/>
        <v>40</v>
      </c>
      <c r="H338" s="73">
        <f t="shared" si="55"/>
        <v>40</v>
      </c>
      <c r="I338" s="73">
        <f t="shared" si="56"/>
        <v>39.159999999999997</v>
      </c>
      <c r="J338" s="72" t="s">
        <v>866</v>
      </c>
      <c r="K338" s="74"/>
      <c r="M338" s="79"/>
      <c r="N338" s="76" t="e">
        <f t="shared" si="59"/>
        <v>#N/A</v>
      </c>
      <c r="O338" s="76"/>
      <c r="P338" s="112"/>
      <c r="R338" s="79" t="s">
        <v>18</v>
      </c>
      <c r="S338" s="76">
        <f t="shared" si="57"/>
        <v>16</v>
      </c>
      <c r="T338" s="76">
        <f>S338*F338</f>
        <v>16</v>
      </c>
      <c r="U338" s="112"/>
    </row>
    <row r="339" spans="1:21" x14ac:dyDescent="0.25">
      <c r="A339" s="95">
        <v>45653</v>
      </c>
      <c r="B339" s="72" t="s">
        <v>310</v>
      </c>
      <c r="C339" s="72" t="s">
        <v>8</v>
      </c>
      <c r="D339" s="72" t="s">
        <v>60</v>
      </c>
      <c r="E339" s="72" t="s">
        <v>56</v>
      </c>
      <c r="F339" s="72">
        <v>1</v>
      </c>
      <c r="G339" s="73">
        <f t="shared" si="58"/>
        <v>130</v>
      </c>
      <c r="H339" s="73">
        <f t="shared" si="55"/>
        <v>130</v>
      </c>
      <c r="I339" s="73">
        <f t="shared" si="56"/>
        <v>130</v>
      </c>
      <c r="J339" s="72" t="s">
        <v>83</v>
      </c>
      <c r="K339" s="74"/>
      <c r="M339" s="79" t="s">
        <v>60</v>
      </c>
      <c r="N339" s="76">
        <f t="shared" si="59"/>
        <v>52</v>
      </c>
      <c r="O339" s="76">
        <f>N339*F339</f>
        <v>52</v>
      </c>
      <c r="P339" s="112"/>
      <c r="R339" s="79"/>
      <c r="S339" s="76" t="e">
        <f t="shared" si="57"/>
        <v>#N/A</v>
      </c>
      <c r="T339" s="76"/>
      <c r="U339" s="112"/>
    </row>
    <row r="340" spans="1:21" x14ac:dyDescent="0.25">
      <c r="A340" s="95">
        <v>45653</v>
      </c>
      <c r="B340" s="72" t="s">
        <v>972</v>
      </c>
      <c r="C340" s="72" t="s">
        <v>10</v>
      </c>
      <c r="D340" s="72" t="s">
        <v>920</v>
      </c>
      <c r="E340" s="72" t="s">
        <v>913</v>
      </c>
      <c r="F340" s="72">
        <v>1</v>
      </c>
      <c r="G340" s="73">
        <f t="shared" si="58"/>
        <v>80</v>
      </c>
      <c r="H340" s="73">
        <f t="shared" si="55"/>
        <v>80</v>
      </c>
      <c r="I340" s="73">
        <f t="shared" si="56"/>
        <v>80</v>
      </c>
      <c r="J340" s="72" t="s">
        <v>83</v>
      </c>
      <c r="K340" s="74"/>
      <c r="M340" s="79"/>
      <c r="N340" s="76" t="e">
        <f t="shared" si="59"/>
        <v>#N/A</v>
      </c>
      <c r="O340" s="76"/>
      <c r="P340" s="112"/>
      <c r="R340" s="79" t="s">
        <v>920</v>
      </c>
      <c r="S340" s="76">
        <f t="shared" si="57"/>
        <v>32</v>
      </c>
      <c r="T340" s="76">
        <f>S340*F340</f>
        <v>32</v>
      </c>
      <c r="U340" s="112"/>
    </row>
    <row r="341" spans="1:21" x14ac:dyDescent="0.25">
      <c r="A341" s="95">
        <v>45653</v>
      </c>
      <c r="B341" s="72" t="s">
        <v>973</v>
      </c>
      <c r="C341" s="72" t="s">
        <v>10</v>
      </c>
      <c r="D341" s="72" t="s">
        <v>18</v>
      </c>
      <c r="E341" s="72" t="s">
        <v>913</v>
      </c>
      <c r="F341" s="72">
        <v>1</v>
      </c>
      <c r="G341" s="73">
        <f t="shared" si="58"/>
        <v>40</v>
      </c>
      <c r="H341" s="73">
        <f t="shared" si="55"/>
        <v>40</v>
      </c>
      <c r="I341" s="73">
        <f t="shared" si="56"/>
        <v>39.159999999999997</v>
      </c>
      <c r="J341" s="72" t="s">
        <v>866</v>
      </c>
      <c r="K341" s="74"/>
      <c r="M341" s="79"/>
      <c r="N341" s="76" t="e">
        <f t="shared" si="59"/>
        <v>#N/A</v>
      </c>
      <c r="O341" s="76"/>
      <c r="P341" s="112"/>
      <c r="R341" s="79" t="s">
        <v>18</v>
      </c>
      <c r="S341" s="76">
        <f t="shared" si="57"/>
        <v>16</v>
      </c>
      <c r="T341" s="76">
        <f>S341*F341</f>
        <v>16</v>
      </c>
      <c r="U341" s="112"/>
    </row>
    <row r="342" spans="1:21" x14ac:dyDescent="0.25">
      <c r="A342" s="95">
        <v>45653</v>
      </c>
      <c r="B342" s="72" t="s">
        <v>974</v>
      </c>
      <c r="C342" s="72" t="s">
        <v>8</v>
      </c>
      <c r="D342" s="72" t="s">
        <v>18</v>
      </c>
      <c r="E342" s="72" t="s">
        <v>82</v>
      </c>
      <c r="F342" s="72">
        <v>1</v>
      </c>
      <c r="G342" s="73">
        <f t="shared" si="58"/>
        <v>40</v>
      </c>
      <c r="H342" s="73">
        <f t="shared" si="55"/>
        <v>40</v>
      </c>
      <c r="I342" s="73">
        <f t="shared" si="56"/>
        <v>40</v>
      </c>
      <c r="J342" s="72" t="s">
        <v>83</v>
      </c>
      <c r="K342" s="74"/>
      <c r="M342" s="79"/>
      <c r="N342" s="76" t="e">
        <f t="shared" si="59"/>
        <v>#N/A</v>
      </c>
      <c r="O342" s="76"/>
      <c r="P342" s="112"/>
      <c r="R342" s="79"/>
      <c r="S342" s="76" t="e">
        <f t="shared" si="57"/>
        <v>#N/A</v>
      </c>
      <c r="T342" s="76"/>
      <c r="U342" s="112"/>
    </row>
    <row r="343" spans="1:21" x14ac:dyDescent="0.25">
      <c r="A343" s="95">
        <v>45653</v>
      </c>
      <c r="B343" s="72" t="s">
        <v>109</v>
      </c>
      <c r="C343" s="72" t="s">
        <v>8</v>
      </c>
      <c r="D343" s="72" t="s">
        <v>18</v>
      </c>
      <c r="E343" s="72" t="s">
        <v>82</v>
      </c>
      <c r="F343" s="72">
        <v>1</v>
      </c>
      <c r="G343" s="73">
        <f t="shared" si="58"/>
        <v>40</v>
      </c>
      <c r="H343" s="73">
        <f t="shared" si="55"/>
        <v>40</v>
      </c>
      <c r="I343" s="73">
        <f t="shared" si="56"/>
        <v>40</v>
      </c>
      <c r="J343" s="72" t="s">
        <v>83</v>
      </c>
      <c r="K343" s="74"/>
      <c r="M343" s="79"/>
      <c r="N343" s="76" t="e">
        <f t="shared" si="59"/>
        <v>#N/A</v>
      </c>
      <c r="O343" s="76"/>
      <c r="P343" s="112"/>
      <c r="R343" s="79"/>
      <c r="S343" s="76" t="e">
        <f t="shared" si="57"/>
        <v>#N/A</v>
      </c>
      <c r="T343" s="76"/>
      <c r="U343" s="112"/>
    </row>
    <row r="344" spans="1:21" x14ac:dyDescent="0.25">
      <c r="A344" s="95">
        <v>45653</v>
      </c>
      <c r="B344" s="72" t="s">
        <v>734</v>
      </c>
      <c r="C344" s="72" t="s">
        <v>8</v>
      </c>
      <c r="D344" s="72" t="s">
        <v>916</v>
      </c>
      <c r="E344" s="72" t="s">
        <v>82</v>
      </c>
      <c r="F344" s="72">
        <v>1</v>
      </c>
      <c r="G344" s="73">
        <f t="shared" si="58"/>
        <v>50</v>
      </c>
      <c r="H344" s="73">
        <f t="shared" si="55"/>
        <v>50</v>
      </c>
      <c r="I344" s="73">
        <f t="shared" si="56"/>
        <v>47.5</v>
      </c>
      <c r="J344" s="72" t="s">
        <v>867</v>
      </c>
      <c r="K344" s="74"/>
      <c r="M344" s="79"/>
      <c r="N344" s="76" t="e">
        <f t="shared" si="59"/>
        <v>#N/A</v>
      </c>
      <c r="O344" s="76"/>
      <c r="P344" s="112"/>
      <c r="R344" s="79"/>
      <c r="S344" s="76" t="e">
        <f t="shared" si="57"/>
        <v>#N/A</v>
      </c>
      <c r="T344" s="76"/>
      <c r="U344" s="112"/>
    </row>
    <row r="345" spans="1:21" x14ac:dyDescent="0.25">
      <c r="A345" s="95">
        <v>45653</v>
      </c>
      <c r="B345" s="72" t="s">
        <v>554</v>
      </c>
      <c r="C345" s="72" t="s">
        <v>8</v>
      </c>
      <c r="D345" s="72" t="s">
        <v>22</v>
      </c>
      <c r="E345" s="72" t="s">
        <v>82</v>
      </c>
      <c r="F345" s="72">
        <v>1</v>
      </c>
      <c r="G345" s="73">
        <f t="shared" si="58"/>
        <v>30</v>
      </c>
      <c r="H345" s="73">
        <f t="shared" si="55"/>
        <v>30</v>
      </c>
      <c r="I345" s="73">
        <f t="shared" si="56"/>
        <v>30</v>
      </c>
      <c r="J345" s="72" t="s">
        <v>83</v>
      </c>
      <c r="K345" s="74"/>
      <c r="M345" s="79"/>
      <c r="N345" s="76" t="e">
        <f t="shared" si="59"/>
        <v>#N/A</v>
      </c>
      <c r="O345" s="76"/>
      <c r="P345" s="112"/>
      <c r="R345" s="79"/>
      <c r="S345" s="76" t="e">
        <f t="shared" si="57"/>
        <v>#N/A</v>
      </c>
      <c r="T345" s="76"/>
      <c r="U345" s="112"/>
    </row>
    <row r="346" spans="1:21" x14ac:dyDescent="0.25">
      <c r="A346" s="95">
        <v>45653</v>
      </c>
      <c r="B346" s="72" t="s">
        <v>975</v>
      </c>
      <c r="C346" s="72" t="s">
        <v>8</v>
      </c>
      <c r="D346" s="72" t="s">
        <v>18</v>
      </c>
      <c r="E346" s="72" t="s">
        <v>56</v>
      </c>
      <c r="F346" s="72">
        <v>1</v>
      </c>
      <c r="G346" s="73">
        <f t="shared" si="58"/>
        <v>40</v>
      </c>
      <c r="H346" s="73">
        <f t="shared" si="55"/>
        <v>40</v>
      </c>
      <c r="I346" s="73">
        <f t="shared" si="56"/>
        <v>40</v>
      </c>
      <c r="J346" s="72" t="s">
        <v>83</v>
      </c>
      <c r="K346" s="74"/>
      <c r="M346" s="79" t="s">
        <v>18</v>
      </c>
      <c r="N346" s="76">
        <f t="shared" si="59"/>
        <v>16</v>
      </c>
      <c r="O346" s="76">
        <f>N346*F346</f>
        <v>16</v>
      </c>
      <c r="P346" s="112"/>
      <c r="R346" s="79"/>
      <c r="S346" s="76" t="e">
        <f t="shared" si="57"/>
        <v>#N/A</v>
      </c>
      <c r="T346" s="76"/>
      <c r="U346" s="112"/>
    </row>
    <row r="347" spans="1:21" x14ac:dyDescent="0.25">
      <c r="A347" s="95">
        <v>45653</v>
      </c>
      <c r="B347" s="72" t="s">
        <v>204</v>
      </c>
      <c r="C347" s="72" t="s">
        <v>8</v>
      </c>
      <c r="D347" s="72" t="s">
        <v>916</v>
      </c>
      <c r="E347" s="72" t="s">
        <v>82</v>
      </c>
      <c r="F347" s="72">
        <v>1</v>
      </c>
      <c r="G347" s="73">
        <f t="shared" si="58"/>
        <v>50</v>
      </c>
      <c r="H347" s="73">
        <f t="shared" si="55"/>
        <v>50</v>
      </c>
      <c r="I347" s="73">
        <f t="shared" si="56"/>
        <v>50</v>
      </c>
      <c r="J347" s="72" t="s">
        <v>79</v>
      </c>
      <c r="K347" s="74"/>
      <c r="M347" s="79"/>
      <c r="N347" s="76" t="e">
        <f t="shared" si="59"/>
        <v>#N/A</v>
      </c>
      <c r="O347" s="76"/>
      <c r="P347" s="112"/>
      <c r="R347" s="79"/>
      <c r="S347" s="76" t="e">
        <f t="shared" si="57"/>
        <v>#N/A</v>
      </c>
      <c r="T347" s="76"/>
      <c r="U347" s="112"/>
    </row>
    <row r="348" spans="1:21" x14ac:dyDescent="0.25">
      <c r="A348" s="95">
        <v>45653</v>
      </c>
      <c r="B348" s="72" t="s">
        <v>943</v>
      </c>
      <c r="C348" s="72" t="s">
        <v>8</v>
      </c>
      <c r="D348" s="72" t="s">
        <v>18</v>
      </c>
      <c r="E348" s="72" t="s">
        <v>82</v>
      </c>
      <c r="F348" s="72">
        <v>1</v>
      </c>
      <c r="G348" s="73">
        <f t="shared" si="58"/>
        <v>40</v>
      </c>
      <c r="H348" s="73">
        <f t="shared" si="55"/>
        <v>40</v>
      </c>
      <c r="I348" s="73">
        <f t="shared" si="56"/>
        <v>39.159999999999997</v>
      </c>
      <c r="J348" s="72" t="s">
        <v>866</v>
      </c>
      <c r="K348" s="74"/>
      <c r="M348" s="79"/>
      <c r="N348" s="76" t="e">
        <f t="shared" si="59"/>
        <v>#N/A</v>
      </c>
      <c r="O348" s="76"/>
      <c r="P348" s="112"/>
      <c r="R348" s="79"/>
      <c r="S348" s="76" t="e">
        <f t="shared" si="57"/>
        <v>#N/A</v>
      </c>
      <c r="T348" s="76"/>
      <c r="U348" s="112"/>
    </row>
    <row r="349" spans="1:21" x14ac:dyDescent="0.25">
      <c r="A349" s="95">
        <v>45653</v>
      </c>
      <c r="B349" s="72" t="s">
        <v>930</v>
      </c>
      <c r="C349" s="72" t="s">
        <v>8</v>
      </c>
      <c r="D349" s="72" t="s">
        <v>18</v>
      </c>
      <c r="E349" s="72" t="s">
        <v>56</v>
      </c>
      <c r="F349" s="72">
        <v>1</v>
      </c>
      <c r="G349" s="73">
        <f t="shared" si="58"/>
        <v>40</v>
      </c>
      <c r="H349" s="73">
        <f t="shared" si="55"/>
        <v>40</v>
      </c>
      <c r="I349" s="73">
        <f t="shared" si="56"/>
        <v>40</v>
      </c>
      <c r="J349" s="72" t="s">
        <v>79</v>
      </c>
      <c r="K349" s="74"/>
      <c r="M349" s="79" t="s">
        <v>18</v>
      </c>
      <c r="N349" s="76">
        <f t="shared" si="59"/>
        <v>16</v>
      </c>
      <c r="O349" s="76">
        <f>N349*F349</f>
        <v>16</v>
      </c>
      <c r="P349" s="112"/>
      <c r="R349" s="79"/>
      <c r="S349" s="76" t="e">
        <f t="shared" si="57"/>
        <v>#N/A</v>
      </c>
      <c r="T349" s="76"/>
      <c r="U349" s="112"/>
    </row>
    <row r="350" spans="1:21" x14ac:dyDescent="0.25">
      <c r="A350" s="95">
        <v>45653</v>
      </c>
      <c r="B350" s="72" t="s">
        <v>578</v>
      </c>
      <c r="C350" s="72" t="s">
        <v>8</v>
      </c>
      <c r="D350" s="72" t="s">
        <v>13</v>
      </c>
      <c r="E350" s="72" t="s">
        <v>56</v>
      </c>
      <c r="F350" s="72">
        <v>1</v>
      </c>
      <c r="G350" s="73">
        <f t="shared" si="58"/>
        <v>30</v>
      </c>
      <c r="H350" s="73">
        <f t="shared" si="55"/>
        <v>30</v>
      </c>
      <c r="I350" s="73">
        <f t="shared" si="56"/>
        <v>30</v>
      </c>
      <c r="J350" s="72" t="s">
        <v>83</v>
      </c>
      <c r="K350" s="74"/>
      <c r="M350" s="79" t="s">
        <v>13</v>
      </c>
      <c r="N350" s="76">
        <f t="shared" si="59"/>
        <v>12</v>
      </c>
      <c r="O350" s="76">
        <f>N350*F350</f>
        <v>12</v>
      </c>
      <c r="P350" s="112"/>
      <c r="R350" s="79"/>
      <c r="S350" s="76" t="e">
        <f t="shared" si="57"/>
        <v>#N/A</v>
      </c>
      <c r="T350" s="76"/>
      <c r="U350" s="112"/>
    </row>
    <row r="351" spans="1:21" x14ac:dyDescent="0.25">
      <c r="A351" s="95">
        <v>45653</v>
      </c>
      <c r="B351" s="72" t="s">
        <v>291</v>
      </c>
      <c r="C351" s="72" t="s">
        <v>8</v>
      </c>
      <c r="D351" s="72" t="s">
        <v>18</v>
      </c>
      <c r="E351" s="72" t="s">
        <v>56</v>
      </c>
      <c r="F351" s="72">
        <v>1</v>
      </c>
      <c r="G351" s="73">
        <f t="shared" si="58"/>
        <v>40</v>
      </c>
      <c r="H351" s="73">
        <f t="shared" si="55"/>
        <v>40</v>
      </c>
      <c r="I351" s="73">
        <f t="shared" si="56"/>
        <v>38.14</v>
      </c>
      <c r="J351" s="72" t="s">
        <v>865</v>
      </c>
      <c r="K351" s="74"/>
      <c r="M351" s="79" t="s">
        <v>18</v>
      </c>
      <c r="N351" s="76">
        <f t="shared" si="59"/>
        <v>16</v>
      </c>
      <c r="O351" s="76">
        <f>N351*F351</f>
        <v>16</v>
      </c>
      <c r="P351" s="112"/>
      <c r="R351" s="79"/>
      <c r="S351" s="76" t="e">
        <f t="shared" si="57"/>
        <v>#N/A</v>
      </c>
      <c r="T351" s="76"/>
      <c r="U351" s="112"/>
    </row>
    <row r="352" spans="1:21" x14ac:dyDescent="0.25">
      <c r="A352" s="95">
        <v>45653</v>
      </c>
      <c r="B352" s="72" t="s">
        <v>578</v>
      </c>
      <c r="C352" s="72" t="s">
        <v>8</v>
      </c>
      <c r="D352" s="72" t="s">
        <v>18</v>
      </c>
      <c r="E352" s="72" t="s">
        <v>82</v>
      </c>
      <c r="F352" s="72">
        <v>1</v>
      </c>
      <c r="G352" s="73">
        <f t="shared" si="58"/>
        <v>40</v>
      </c>
      <c r="H352" s="73">
        <f t="shared" si="55"/>
        <v>40</v>
      </c>
      <c r="I352" s="73">
        <f t="shared" si="56"/>
        <v>40</v>
      </c>
      <c r="J352" s="72" t="s">
        <v>83</v>
      </c>
      <c r="K352" s="74"/>
      <c r="M352" s="79"/>
      <c r="N352" s="76" t="e">
        <f t="shared" si="59"/>
        <v>#N/A</v>
      </c>
      <c r="O352" s="76"/>
      <c r="P352" s="112"/>
      <c r="R352" s="79"/>
      <c r="S352" s="76" t="e">
        <f t="shared" si="57"/>
        <v>#N/A</v>
      </c>
      <c r="T352" s="76"/>
      <c r="U352" s="112"/>
    </row>
    <row r="353" spans="1:21" x14ac:dyDescent="0.25">
      <c r="A353" s="95">
        <v>45653</v>
      </c>
      <c r="B353" s="72" t="s">
        <v>871</v>
      </c>
      <c r="C353" s="72" t="s">
        <v>8</v>
      </c>
      <c r="D353" s="72" t="s">
        <v>920</v>
      </c>
      <c r="E353" s="72" t="s">
        <v>82</v>
      </c>
      <c r="F353" s="72">
        <v>1</v>
      </c>
      <c r="G353" s="73">
        <f t="shared" si="58"/>
        <v>80</v>
      </c>
      <c r="H353" s="73">
        <f t="shared" si="55"/>
        <v>80</v>
      </c>
      <c r="I353" s="73">
        <f t="shared" si="56"/>
        <v>80</v>
      </c>
      <c r="J353" s="72" t="s">
        <v>83</v>
      </c>
      <c r="K353" s="74"/>
      <c r="M353" s="79"/>
      <c r="N353" s="76" t="e">
        <f t="shared" si="59"/>
        <v>#N/A</v>
      </c>
      <c r="O353" s="76"/>
      <c r="P353" s="112"/>
      <c r="R353" s="79"/>
      <c r="S353" s="76" t="e">
        <f t="shared" si="57"/>
        <v>#N/A</v>
      </c>
      <c r="T353" s="76"/>
      <c r="U353" s="112"/>
    </row>
    <row r="354" spans="1:21" x14ac:dyDescent="0.25">
      <c r="A354" s="95">
        <v>45653</v>
      </c>
      <c r="B354" s="72" t="s">
        <v>614</v>
      </c>
      <c r="C354" s="72" t="s">
        <v>8</v>
      </c>
      <c r="D354" s="72" t="s">
        <v>15</v>
      </c>
      <c r="E354" s="72" t="s">
        <v>82</v>
      </c>
      <c r="F354" s="72">
        <v>1</v>
      </c>
      <c r="G354" s="73">
        <f t="shared" si="58"/>
        <v>70</v>
      </c>
      <c r="H354" s="73">
        <f t="shared" si="55"/>
        <v>70</v>
      </c>
      <c r="I354" s="73">
        <f t="shared" si="56"/>
        <v>66.657499999999999</v>
      </c>
      <c r="J354" s="72" t="s">
        <v>870</v>
      </c>
      <c r="K354" s="74"/>
      <c r="M354" s="79"/>
      <c r="N354" s="76" t="e">
        <f t="shared" si="59"/>
        <v>#N/A</v>
      </c>
      <c r="O354" s="76"/>
      <c r="P354" s="112"/>
      <c r="R354" s="79"/>
      <c r="S354" s="76" t="e">
        <f t="shared" si="57"/>
        <v>#N/A</v>
      </c>
      <c r="T354" s="76"/>
      <c r="U354" s="112"/>
    </row>
    <row r="355" spans="1:21" x14ac:dyDescent="0.25">
      <c r="A355" s="95">
        <v>45653</v>
      </c>
      <c r="B355" s="72" t="s">
        <v>498</v>
      </c>
      <c r="C355" s="72" t="s">
        <v>8</v>
      </c>
      <c r="D355" s="72" t="s">
        <v>916</v>
      </c>
      <c r="E355" s="72" t="s">
        <v>82</v>
      </c>
      <c r="F355" s="72">
        <v>1</v>
      </c>
      <c r="G355" s="73">
        <f t="shared" si="58"/>
        <v>50</v>
      </c>
      <c r="H355" s="73">
        <f t="shared" si="55"/>
        <v>50</v>
      </c>
      <c r="I355" s="73">
        <f t="shared" si="56"/>
        <v>50</v>
      </c>
      <c r="J355" s="72" t="s">
        <v>83</v>
      </c>
      <c r="K355" s="74"/>
      <c r="M355" s="79"/>
      <c r="N355" s="76" t="e">
        <f t="shared" si="59"/>
        <v>#N/A</v>
      </c>
      <c r="O355" s="76"/>
      <c r="P355" s="112"/>
      <c r="R355" s="79"/>
      <c r="S355" s="76" t="e">
        <f t="shared" si="57"/>
        <v>#N/A</v>
      </c>
      <c r="T355" s="76"/>
      <c r="U355" s="112"/>
    </row>
    <row r="356" spans="1:21" x14ac:dyDescent="0.25">
      <c r="A356" s="95">
        <v>45653</v>
      </c>
      <c r="B356" s="72" t="s">
        <v>498</v>
      </c>
      <c r="C356" s="72" t="s">
        <v>8</v>
      </c>
      <c r="D356" s="72" t="s">
        <v>36</v>
      </c>
      <c r="E356" s="72" t="s">
        <v>82</v>
      </c>
      <c r="F356" s="72">
        <v>1</v>
      </c>
      <c r="G356" s="73">
        <f t="shared" si="58"/>
        <v>30</v>
      </c>
      <c r="H356" s="73">
        <f t="shared" si="55"/>
        <v>30</v>
      </c>
      <c r="I356" s="73">
        <f t="shared" si="56"/>
        <v>29.373750000000001</v>
      </c>
      <c r="J356" s="72" t="s">
        <v>868</v>
      </c>
      <c r="K356" s="74"/>
      <c r="M356" s="79"/>
      <c r="N356" s="76" t="e">
        <f t="shared" si="59"/>
        <v>#N/A</v>
      </c>
      <c r="O356" s="76"/>
      <c r="P356" s="112"/>
      <c r="R356" s="79"/>
      <c r="S356" s="76" t="e">
        <f t="shared" si="57"/>
        <v>#N/A</v>
      </c>
      <c r="T356" s="76"/>
      <c r="U356" s="112"/>
    </row>
    <row r="357" spans="1:21" x14ac:dyDescent="0.25">
      <c r="A357" s="95">
        <v>45653</v>
      </c>
      <c r="B357" s="72" t="s">
        <v>476</v>
      </c>
      <c r="C357" s="72" t="s">
        <v>8</v>
      </c>
      <c r="D357" s="72" t="s">
        <v>916</v>
      </c>
      <c r="E357" s="72" t="s">
        <v>56</v>
      </c>
      <c r="F357" s="72">
        <v>1</v>
      </c>
      <c r="G357" s="73">
        <f t="shared" si="58"/>
        <v>50</v>
      </c>
      <c r="H357" s="73">
        <f t="shared" si="55"/>
        <v>50</v>
      </c>
      <c r="I357" s="73">
        <f t="shared" si="56"/>
        <v>47.5</v>
      </c>
      <c r="J357" s="72" t="s">
        <v>867</v>
      </c>
      <c r="K357" s="74"/>
      <c r="M357" s="72" t="s">
        <v>916</v>
      </c>
      <c r="N357" s="76">
        <f t="shared" si="59"/>
        <v>20</v>
      </c>
      <c r="O357" s="76">
        <f>N357*F357</f>
        <v>20</v>
      </c>
      <c r="P357" s="112"/>
      <c r="R357" s="79"/>
      <c r="S357" s="76" t="e">
        <f t="shared" si="57"/>
        <v>#N/A</v>
      </c>
      <c r="T357" s="76"/>
      <c r="U357" s="112"/>
    </row>
    <row r="358" spans="1:21" x14ac:dyDescent="0.25">
      <c r="A358" s="95">
        <v>45654</v>
      </c>
      <c r="B358" s="72" t="s">
        <v>976</v>
      </c>
      <c r="C358" s="72" t="s">
        <v>8</v>
      </c>
      <c r="D358" s="72" t="s">
        <v>106</v>
      </c>
      <c r="E358" s="72" t="s">
        <v>82</v>
      </c>
      <c r="F358" s="72">
        <v>1</v>
      </c>
      <c r="G358" s="73">
        <f t="shared" si="58"/>
        <v>15</v>
      </c>
      <c r="H358" s="73">
        <f t="shared" si="55"/>
        <v>15</v>
      </c>
      <c r="I358" s="73">
        <f t="shared" si="56"/>
        <v>14.686875000000001</v>
      </c>
      <c r="J358" s="72" t="s">
        <v>868</v>
      </c>
      <c r="K358" s="74"/>
      <c r="M358" s="79"/>
      <c r="N358" s="76" t="e">
        <f t="shared" si="59"/>
        <v>#N/A</v>
      </c>
      <c r="O358" s="76"/>
      <c r="P358" s="112"/>
      <c r="R358" s="79"/>
      <c r="S358" s="76" t="e">
        <f t="shared" si="57"/>
        <v>#N/A</v>
      </c>
      <c r="T358" s="76"/>
      <c r="U358" s="112"/>
    </row>
    <row r="359" spans="1:21" x14ac:dyDescent="0.25">
      <c r="A359" s="95">
        <v>45654</v>
      </c>
      <c r="B359" s="72" t="s">
        <v>481</v>
      </c>
      <c r="C359" s="72" t="s">
        <v>9</v>
      </c>
      <c r="D359" s="72" t="s">
        <v>916</v>
      </c>
      <c r="E359" s="72" t="s">
        <v>56</v>
      </c>
      <c r="F359" s="72">
        <v>1</v>
      </c>
      <c r="G359" s="73">
        <f t="shared" si="58"/>
        <v>50</v>
      </c>
      <c r="H359" s="73">
        <f t="shared" si="55"/>
        <v>50</v>
      </c>
      <c r="I359" s="73">
        <f t="shared" si="56"/>
        <v>50</v>
      </c>
      <c r="J359" s="72" t="s">
        <v>79</v>
      </c>
      <c r="K359" s="74"/>
      <c r="M359" s="72" t="s">
        <v>916</v>
      </c>
      <c r="N359" s="76">
        <f t="shared" ref="N359:N385" si="60">VLOOKUP(M359,$W$3:$Y$72,3,0)</f>
        <v>20</v>
      </c>
      <c r="O359" s="76">
        <f>N359*F359</f>
        <v>20</v>
      </c>
      <c r="P359" s="112"/>
      <c r="R359" s="79"/>
      <c r="S359" s="76" t="e">
        <f t="shared" si="57"/>
        <v>#N/A</v>
      </c>
      <c r="T359" s="76"/>
      <c r="U359" s="112"/>
    </row>
    <row r="360" spans="1:21" x14ac:dyDescent="0.25">
      <c r="A360" s="95">
        <v>45654</v>
      </c>
      <c r="B360" s="95" t="s">
        <v>516</v>
      </c>
      <c r="C360" s="72" t="s">
        <v>8</v>
      </c>
      <c r="D360" s="72" t="s">
        <v>920</v>
      </c>
      <c r="E360" s="72" t="s">
        <v>82</v>
      </c>
      <c r="F360" s="72">
        <v>1</v>
      </c>
      <c r="G360" s="73">
        <f t="shared" si="58"/>
        <v>80</v>
      </c>
      <c r="H360" s="73">
        <f t="shared" si="55"/>
        <v>80</v>
      </c>
      <c r="I360" s="73">
        <f t="shared" si="56"/>
        <v>80</v>
      </c>
      <c r="J360" s="72" t="s">
        <v>83</v>
      </c>
      <c r="K360" s="74"/>
      <c r="M360" s="79"/>
      <c r="N360" s="76" t="e">
        <f t="shared" si="60"/>
        <v>#N/A</v>
      </c>
      <c r="O360" s="76"/>
      <c r="P360" s="112"/>
      <c r="R360" s="79"/>
      <c r="S360" s="76" t="e">
        <f t="shared" si="57"/>
        <v>#N/A</v>
      </c>
      <c r="T360" s="76"/>
      <c r="U360" s="112"/>
    </row>
    <row r="361" spans="1:21" x14ac:dyDescent="0.25">
      <c r="A361" s="95">
        <v>45654</v>
      </c>
      <c r="B361" s="72" t="s">
        <v>802</v>
      </c>
      <c r="C361" s="72" t="s">
        <v>8</v>
      </c>
      <c r="D361" s="72" t="s">
        <v>19</v>
      </c>
      <c r="E361" s="72" t="s">
        <v>56</v>
      </c>
      <c r="F361" s="72">
        <v>1</v>
      </c>
      <c r="G361" s="73">
        <f t="shared" si="58"/>
        <v>40</v>
      </c>
      <c r="H361" s="73">
        <f t="shared" si="55"/>
        <v>40</v>
      </c>
      <c r="I361" s="73">
        <f t="shared" si="56"/>
        <v>38</v>
      </c>
      <c r="J361" s="72" t="s">
        <v>867</v>
      </c>
      <c r="K361" s="74"/>
      <c r="M361" s="79" t="s">
        <v>19</v>
      </c>
      <c r="N361" s="76">
        <f t="shared" si="60"/>
        <v>16</v>
      </c>
      <c r="O361" s="76">
        <f>N361*F361</f>
        <v>16</v>
      </c>
      <c r="P361" s="112"/>
      <c r="R361" s="79"/>
      <c r="S361" s="76" t="e">
        <f t="shared" si="57"/>
        <v>#N/A</v>
      </c>
      <c r="T361" s="76"/>
      <c r="U361" s="112"/>
    </row>
    <row r="362" spans="1:21" x14ac:dyDescent="0.25">
      <c r="A362" s="95">
        <v>45654</v>
      </c>
      <c r="B362" s="72" t="s">
        <v>935</v>
      </c>
      <c r="C362" s="72" t="s">
        <v>8</v>
      </c>
      <c r="D362" s="72" t="s">
        <v>18</v>
      </c>
      <c r="E362" s="72" t="s">
        <v>82</v>
      </c>
      <c r="F362" s="72">
        <v>1</v>
      </c>
      <c r="G362" s="73">
        <f t="shared" si="58"/>
        <v>40</v>
      </c>
      <c r="H362" s="73">
        <f t="shared" si="55"/>
        <v>40</v>
      </c>
      <c r="I362" s="73">
        <f t="shared" si="56"/>
        <v>40</v>
      </c>
      <c r="J362" s="72" t="s">
        <v>83</v>
      </c>
      <c r="K362" s="74"/>
      <c r="M362" s="79"/>
      <c r="N362" s="76" t="e">
        <f t="shared" si="60"/>
        <v>#N/A</v>
      </c>
      <c r="O362" s="76"/>
      <c r="P362" s="112"/>
      <c r="R362" s="79"/>
      <c r="S362" s="76" t="e">
        <f t="shared" si="57"/>
        <v>#N/A</v>
      </c>
      <c r="T362" s="76"/>
      <c r="U362" s="112"/>
    </row>
    <row r="363" spans="1:21" x14ac:dyDescent="0.25">
      <c r="A363" s="95">
        <v>45654</v>
      </c>
      <c r="B363" s="72" t="s">
        <v>670</v>
      </c>
      <c r="C363" s="72" t="s">
        <v>8</v>
      </c>
      <c r="D363" s="72" t="s">
        <v>18</v>
      </c>
      <c r="E363" s="72" t="s">
        <v>56</v>
      </c>
      <c r="F363" s="72">
        <v>1</v>
      </c>
      <c r="G363" s="73">
        <f t="shared" si="58"/>
        <v>40</v>
      </c>
      <c r="H363" s="73">
        <f t="shared" si="55"/>
        <v>40</v>
      </c>
      <c r="I363" s="73">
        <f t="shared" si="56"/>
        <v>39.159999999999997</v>
      </c>
      <c r="J363" s="72" t="s">
        <v>866</v>
      </c>
      <c r="K363" s="74"/>
      <c r="M363" s="79" t="s">
        <v>18</v>
      </c>
      <c r="N363" s="76">
        <f t="shared" si="60"/>
        <v>16</v>
      </c>
      <c r="O363" s="76">
        <f>N363*F363</f>
        <v>16</v>
      </c>
      <c r="P363" s="112"/>
      <c r="R363" s="79"/>
      <c r="S363" s="76" t="e">
        <f t="shared" si="57"/>
        <v>#N/A</v>
      </c>
      <c r="T363" s="76"/>
      <c r="U363" s="112"/>
    </row>
    <row r="364" spans="1:21" x14ac:dyDescent="0.25">
      <c r="A364" s="95">
        <v>45654</v>
      </c>
      <c r="B364" s="72" t="s">
        <v>204</v>
      </c>
      <c r="C364" s="72" t="s">
        <v>8</v>
      </c>
      <c r="D364" s="72" t="s">
        <v>920</v>
      </c>
      <c r="E364" s="72" t="s">
        <v>82</v>
      </c>
      <c r="F364" s="72">
        <v>1</v>
      </c>
      <c r="G364" s="73">
        <f t="shared" si="58"/>
        <v>80</v>
      </c>
      <c r="H364" s="73">
        <f t="shared" si="55"/>
        <v>80</v>
      </c>
      <c r="I364" s="73">
        <f t="shared" si="56"/>
        <v>76</v>
      </c>
      <c r="J364" s="72" t="s">
        <v>867</v>
      </c>
      <c r="K364" s="74"/>
      <c r="M364" s="79"/>
      <c r="N364" s="76" t="e">
        <f t="shared" si="60"/>
        <v>#N/A</v>
      </c>
      <c r="O364" s="76"/>
      <c r="P364" s="112"/>
      <c r="R364" s="79"/>
      <c r="S364" s="76" t="e">
        <f t="shared" si="57"/>
        <v>#N/A</v>
      </c>
      <c r="T364" s="76"/>
      <c r="U364" s="112"/>
    </row>
    <row r="365" spans="1:21" x14ac:dyDescent="0.25">
      <c r="A365" s="95">
        <v>45654</v>
      </c>
      <c r="B365" s="72" t="s">
        <v>204</v>
      </c>
      <c r="C365" s="72" t="s">
        <v>8</v>
      </c>
      <c r="D365" s="72" t="s">
        <v>916</v>
      </c>
      <c r="E365" s="72" t="s">
        <v>82</v>
      </c>
      <c r="F365" s="72">
        <v>1</v>
      </c>
      <c r="G365" s="73">
        <f t="shared" si="58"/>
        <v>50</v>
      </c>
      <c r="H365" s="73">
        <f t="shared" si="55"/>
        <v>50</v>
      </c>
      <c r="I365" s="73">
        <f t="shared" si="56"/>
        <v>47.612499999999997</v>
      </c>
      <c r="J365" s="72" t="s">
        <v>870</v>
      </c>
      <c r="K365" s="74"/>
      <c r="M365" s="79"/>
      <c r="N365" s="76" t="e">
        <f t="shared" si="60"/>
        <v>#N/A</v>
      </c>
      <c r="O365" s="76"/>
      <c r="P365" s="112"/>
      <c r="R365" s="79"/>
      <c r="S365" s="76" t="e">
        <f t="shared" si="57"/>
        <v>#N/A</v>
      </c>
      <c r="T365" s="76"/>
      <c r="U365" s="112"/>
    </row>
    <row r="366" spans="1:21" x14ac:dyDescent="0.25">
      <c r="A366" s="95">
        <v>45654</v>
      </c>
      <c r="B366" s="72" t="s">
        <v>736</v>
      </c>
      <c r="C366" s="72" t="s">
        <v>8</v>
      </c>
      <c r="D366" s="72" t="s">
        <v>15</v>
      </c>
      <c r="E366" s="72" t="s">
        <v>82</v>
      </c>
      <c r="F366" s="72">
        <v>1</v>
      </c>
      <c r="G366" s="73">
        <f t="shared" si="58"/>
        <v>70</v>
      </c>
      <c r="H366" s="73">
        <f t="shared" si="55"/>
        <v>70</v>
      </c>
      <c r="I366" s="73">
        <f t="shared" si="56"/>
        <v>66.5</v>
      </c>
      <c r="J366" s="72" t="s">
        <v>867</v>
      </c>
      <c r="K366" s="74"/>
      <c r="M366" s="79"/>
      <c r="N366" s="76" t="e">
        <f t="shared" si="60"/>
        <v>#N/A</v>
      </c>
      <c r="O366" s="76"/>
      <c r="P366" s="112"/>
      <c r="R366" s="79"/>
      <c r="S366" s="76" t="e">
        <f t="shared" si="57"/>
        <v>#N/A</v>
      </c>
      <c r="T366" s="76"/>
      <c r="U366" s="112"/>
    </row>
    <row r="367" spans="1:21" x14ac:dyDescent="0.25">
      <c r="A367" s="95">
        <v>45654</v>
      </c>
      <c r="B367" s="72" t="s">
        <v>708</v>
      </c>
      <c r="C367" s="72" t="s">
        <v>8</v>
      </c>
      <c r="D367" s="72" t="s">
        <v>40</v>
      </c>
      <c r="E367" s="72" t="s">
        <v>82</v>
      </c>
      <c r="F367" s="72">
        <v>1</v>
      </c>
      <c r="G367" s="73">
        <f t="shared" si="58"/>
        <v>45</v>
      </c>
      <c r="H367" s="73">
        <f t="shared" si="55"/>
        <v>45</v>
      </c>
      <c r="I367" s="73">
        <f t="shared" si="56"/>
        <v>45</v>
      </c>
      <c r="J367" s="72" t="s">
        <v>83</v>
      </c>
      <c r="K367" s="74"/>
      <c r="M367" s="79"/>
      <c r="N367" s="76" t="e">
        <f t="shared" si="60"/>
        <v>#N/A</v>
      </c>
      <c r="O367" s="76"/>
      <c r="P367" s="112"/>
      <c r="R367" s="79"/>
      <c r="S367" s="76" t="e">
        <f t="shared" si="57"/>
        <v>#N/A</v>
      </c>
      <c r="T367" s="76"/>
      <c r="U367" s="112"/>
    </row>
    <row r="368" spans="1:21" x14ac:dyDescent="0.25">
      <c r="A368" s="95">
        <v>45654</v>
      </c>
      <c r="B368" s="72" t="s">
        <v>511</v>
      </c>
      <c r="C368" s="72" t="s">
        <v>8</v>
      </c>
      <c r="D368" s="72" t="s">
        <v>13</v>
      </c>
      <c r="E368" s="72" t="s">
        <v>56</v>
      </c>
      <c r="F368" s="72">
        <v>1</v>
      </c>
      <c r="G368" s="73">
        <f t="shared" si="58"/>
        <v>30</v>
      </c>
      <c r="H368" s="73">
        <f t="shared" si="55"/>
        <v>30</v>
      </c>
      <c r="I368" s="73">
        <f t="shared" si="56"/>
        <v>30</v>
      </c>
      <c r="J368" s="72" t="s">
        <v>79</v>
      </c>
      <c r="K368" s="74"/>
      <c r="M368" s="72" t="s">
        <v>13</v>
      </c>
      <c r="N368" s="76">
        <f t="shared" si="60"/>
        <v>12</v>
      </c>
      <c r="O368" s="76">
        <f>N368*F368</f>
        <v>12</v>
      </c>
      <c r="P368" s="112"/>
      <c r="R368" s="79"/>
      <c r="S368" s="76" t="e">
        <f t="shared" si="57"/>
        <v>#N/A</v>
      </c>
      <c r="T368" s="76"/>
      <c r="U368" s="112"/>
    </row>
    <row r="369" spans="1:21" x14ac:dyDescent="0.25">
      <c r="A369" s="95">
        <v>45654</v>
      </c>
      <c r="B369" s="72" t="s">
        <v>511</v>
      </c>
      <c r="C369" s="72" t="s">
        <v>8</v>
      </c>
      <c r="D369" s="72" t="s">
        <v>914</v>
      </c>
      <c r="E369" s="72" t="s">
        <v>56</v>
      </c>
      <c r="F369" s="72">
        <v>1</v>
      </c>
      <c r="G369" s="73">
        <f t="shared" si="58"/>
        <v>10</v>
      </c>
      <c r="H369" s="73">
        <f t="shared" si="55"/>
        <v>10</v>
      </c>
      <c r="I369" s="73">
        <f t="shared" si="56"/>
        <v>10</v>
      </c>
      <c r="J369" s="72" t="s">
        <v>79</v>
      </c>
      <c r="K369" s="74"/>
      <c r="M369" s="72" t="s">
        <v>914</v>
      </c>
      <c r="N369" s="76">
        <f t="shared" si="60"/>
        <v>4</v>
      </c>
      <c r="O369" s="76">
        <f>N369*F369</f>
        <v>4</v>
      </c>
      <c r="P369" s="112"/>
      <c r="R369" s="79"/>
      <c r="S369" s="76" t="e">
        <f t="shared" si="57"/>
        <v>#N/A</v>
      </c>
      <c r="T369" s="76"/>
      <c r="U369" s="112"/>
    </row>
    <row r="370" spans="1:21" x14ac:dyDescent="0.25">
      <c r="A370" s="95">
        <v>45654</v>
      </c>
      <c r="B370" s="72" t="s">
        <v>383</v>
      </c>
      <c r="C370" s="72" t="s">
        <v>8</v>
      </c>
      <c r="D370" s="72" t="s">
        <v>18</v>
      </c>
      <c r="E370" s="72" t="s">
        <v>56</v>
      </c>
      <c r="F370" s="72">
        <v>1</v>
      </c>
      <c r="G370" s="73">
        <f t="shared" si="58"/>
        <v>40</v>
      </c>
      <c r="H370" s="73">
        <f t="shared" si="55"/>
        <v>40</v>
      </c>
      <c r="I370" s="73">
        <f t="shared" si="56"/>
        <v>39.04</v>
      </c>
      <c r="J370" s="72" t="s">
        <v>869</v>
      </c>
      <c r="K370" s="74"/>
      <c r="M370" s="72" t="s">
        <v>18</v>
      </c>
      <c r="N370" s="76">
        <f t="shared" si="60"/>
        <v>16</v>
      </c>
      <c r="O370" s="76">
        <f>N370*F370</f>
        <v>16</v>
      </c>
      <c r="P370" s="112"/>
      <c r="R370" s="79"/>
      <c r="S370" s="76" t="e">
        <f t="shared" si="57"/>
        <v>#N/A</v>
      </c>
      <c r="T370" s="76"/>
      <c r="U370" s="112"/>
    </row>
    <row r="371" spans="1:21" x14ac:dyDescent="0.25">
      <c r="A371" s="95">
        <v>45654</v>
      </c>
      <c r="B371" s="72" t="s">
        <v>266</v>
      </c>
      <c r="C371" s="72" t="s">
        <v>8</v>
      </c>
      <c r="D371" s="72" t="s">
        <v>18</v>
      </c>
      <c r="E371" s="72" t="s">
        <v>82</v>
      </c>
      <c r="F371" s="72">
        <v>1</v>
      </c>
      <c r="G371" s="73">
        <f t="shared" si="58"/>
        <v>40</v>
      </c>
      <c r="H371" s="73">
        <f t="shared" si="55"/>
        <v>40</v>
      </c>
      <c r="I371" s="73">
        <f t="shared" si="56"/>
        <v>39.159999999999997</v>
      </c>
      <c r="J371" s="72" t="s">
        <v>866</v>
      </c>
      <c r="K371" s="74"/>
      <c r="M371" s="79"/>
      <c r="N371" s="76" t="e">
        <f t="shared" si="60"/>
        <v>#N/A</v>
      </c>
      <c r="O371" s="76"/>
      <c r="P371" s="112"/>
      <c r="R371" s="79"/>
      <c r="S371" s="76" t="e">
        <f t="shared" si="57"/>
        <v>#N/A</v>
      </c>
      <c r="T371" s="76"/>
      <c r="U371" s="112"/>
    </row>
    <row r="372" spans="1:21" x14ac:dyDescent="0.25">
      <c r="A372" s="95">
        <v>45654</v>
      </c>
      <c r="B372" s="72" t="s">
        <v>558</v>
      </c>
      <c r="C372" s="72" t="s">
        <v>8</v>
      </c>
      <c r="D372" s="72" t="s">
        <v>916</v>
      </c>
      <c r="E372" s="72" t="s">
        <v>82</v>
      </c>
      <c r="F372" s="72">
        <v>1</v>
      </c>
      <c r="G372" s="73">
        <f t="shared" si="58"/>
        <v>50</v>
      </c>
      <c r="H372" s="73">
        <f t="shared" si="55"/>
        <v>50</v>
      </c>
      <c r="I372" s="73">
        <f t="shared" si="56"/>
        <v>48.95</v>
      </c>
      <c r="J372" s="72" t="s">
        <v>866</v>
      </c>
      <c r="K372" s="74"/>
      <c r="M372" s="79"/>
      <c r="N372" s="76" t="e">
        <f t="shared" si="60"/>
        <v>#N/A</v>
      </c>
      <c r="O372" s="76"/>
      <c r="P372" s="112"/>
      <c r="R372" s="79"/>
      <c r="S372" s="76" t="e">
        <f t="shared" si="57"/>
        <v>#N/A</v>
      </c>
      <c r="T372" s="76"/>
      <c r="U372" s="112"/>
    </row>
    <row r="373" spans="1:21" x14ac:dyDescent="0.25">
      <c r="A373" s="95">
        <v>45654</v>
      </c>
      <c r="B373" s="72" t="s">
        <v>558</v>
      </c>
      <c r="C373" s="72" t="s">
        <v>8</v>
      </c>
      <c r="D373" s="72" t="s">
        <v>34</v>
      </c>
      <c r="E373" s="72" t="s">
        <v>82</v>
      </c>
      <c r="F373" s="72">
        <v>1</v>
      </c>
      <c r="G373" s="73">
        <v>15</v>
      </c>
      <c r="H373" s="73">
        <f t="shared" si="55"/>
        <v>15</v>
      </c>
      <c r="I373" s="73">
        <f t="shared" si="56"/>
        <v>14.685</v>
      </c>
      <c r="J373" s="72" t="s">
        <v>866</v>
      </c>
      <c r="K373" s="74"/>
      <c r="M373" s="79"/>
      <c r="N373" s="76" t="e">
        <f t="shared" si="60"/>
        <v>#N/A</v>
      </c>
      <c r="O373" s="76"/>
      <c r="P373" s="112"/>
      <c r="R373" s="79"/>
      <c r="S373" s="76" t="e">
        <f t="shared" si="57"/>
        <v>#N/A</v>
      </c>
      <c r="T373" s="76"/>
      <c r="U373" s="112"/>
    </row>
    <row r="374" spans="1:21" x14ac:dyDescent="0.25">
      <c r="A374" s="95">
        <v>45655</v>
      </c>
      <c r="B374" s="72" t="s">
        <v>508</v>
      </c>
      <c r="C374" s="72" t="s">
        <v>8</v>
      </c>
      <c r="D374" s="72" t="s">
        <v>15</v>
      </c>
      <c r="E374" s="72" t="s">
        <v>56</v>
      </c>
      <c r="F374" s="72">
        <v>1</v>
      </c>
      <c r="G374" s="73">
        <f>VLOOKUP(D374,$W$3:$X$72,2,0)</f>
        <v>70</v>
      </c>
      <c r="H374" s="73">
        <f t="shared" si="55"/>
        <v>70</v>
      </c>
      <c r="I374" s="73">
        <f t="shared" si="56"/>
        <v>70</v>
      </c>
      <c r="J374" s="72" t="s">
        <v>83</v>
      </c>
      <c r="K374" s="74" t="s">
        <v>977</v>
      </c>
      <c r="M374" s="72" t="s">
        <v>15</v>
      </c>
      <c r="N374" s="76">
        <f t="shared" si="60"/>
        <v>28</v>
      </c>
      <c r="O374" s="76">
        <f>N374*F374</f>
        <v>28</v>
      </c>
      <c r="P374" s="112"/>
      <c r="R374" s="79"/>
      <c r="S374" s="76" t="e">
        <f t="shared" si="57"/>
        <v>#N/A</v>
      </c>
      <c r="T374" s="76"/>
      <c r="U374" s="112"/>
    </row>
    <row r="375" spans="1:21" x14ac:dyDescent="0.25">
      <c r="A375" s="95">
        <v>45655</v>
      </c>
      <c r="B375" s="72" t="s">
        <v>324</v>
      </c>
      <c r="C375" s="72" t="s">
        <v>8</v>
      </c>
      <c r="D375" s="72" t="s">
        <v>58</v>
      </c>
      <c r="E375" s="72" t="s">
        <v>82</v>
      </c>
      <c r="F375" s="72">
        <v>1</v>
      </c>
      <c r="G375" s="73">
        <f>VLOOKUP(D375,$W$3:$X$72,2,0)</f>
        <v>100</v>
      </c>
      <c r="H375" s="73">
        <f t="shared" si="55"/>
        <v>100</v>
      </c>
      <c r="I375" s="73">
        <f t="shared" si="56"/>
        <v>95</v>
      </c>
      <c r="J375" s="72" t="s">
        <v>867</v>
      </c>
      <c r="K375" s="74"/>
      <c r="M375" s="79"/>
      <c r="N375" s="76" t="e">
        <f t="shared" si="60"/>
        <v>#N/A</v>
      </c>
      <c r="O375" s="76"/>
      <c r="P375" s="112"/>
      <c r="R375" s="79"/>
      <c r="S375" s="76" t="e">
        <f t="shared" si="57"/>
        <v>#N/A</v>
      </c>
      <c r="T375" s="76"/>
      <c r="U375" s="112"/>
    </row>
    <row r="376" spans="1:21" x14ac:dyDescent="0.25">
      <c r="A376" s="95">
        <v>45655</v>
      </c>
      <c r="B376" s="72" t="s">
        <v>324</v>
      </c>
      <c r="C376" s="72" t="s">
        <v>8</v>
      </c>
      <c r="D376" s="72" t="s">
        <v>23</v>
      </c>
      <c r="E376" s="72" t="s">
        <v>82</v>
      </c>
      <c r="F376" s="72">
        <v>1</v>
      </c>
      <c r="G376" s="73">
        <f>VLOOKUP(D376,$W$3:$X$72,2,0)</f>
        <v>5</v>
      </c>
      <c r="H376" s="73">
        <f t="shared" si="55"/>
        <v>5</v>
      </c>
      <c r="I376" s="73">
        <f t="shared" si="56"/>
        <v>4.75</v>
      </c>
      <c r="J376" s="72" t="s">
        <v>867</v>
      </c>
      <c r="K376" s="74"/>
      <c r="M376" s="79"/>
      <c r="N376" s="76" t="e">
        <f t="shared" si="60"/>
        <v>#N/A</v>
      </c>
      <c r="O376" s="76"/>
      <c r="P376" s="112"/>
      <c r="R376" s="79"/>
      <c r="S376" s="76" t="e">
        <f t="shared" si="57"/>
        <v>#N/A</v>
      </c>
      <c r="T376" s="76"/>
      <c r="U376" s="112"/>
    </row>
    <row r="377" spans="1:21" x14ac:dyDescent="0.25">
      <c r="A377" s="95">
        <v>45655</v>
      </c>
      <c r="B377" s="72" t="s">
        <v>978</v>
      </c>
      <c r="C377" s="72" t="s">
        <v>8</v>
      </c>
      <c r="D377" s="72" t="s">
        <v>916</v>
      </c>
      <c r="E377" s="72" t="s">
        <v>82</v>
      </c>
      <c r="F377" s="72">
        <v>1</v>
      </c>
      <c r="G377" s="73">
        <f>VLOOKUP(D377,$W$3:$X$72,2,0)</f>
        <v>50</v>
      </c>
      <c r="H377" s="73">
        <f t="shared" si="55"/>
        <v>50</v>
      </c>
      <c r="I377" s="73">
        <f t="shared" si="56"/>
        <v>50</v>
      </c>
      <c r="J377" s="72" t="s">
        <v>83</v>
      </c>
      <c r="K377" s="74"/>
      <c r="M377" s="79"/>
      <c r="N377" s="76" t="e">
        <f t="shared" si="60"/>
        <v>#N/A</v>
      </c>
      <c r="O377" s="76"/>
      <c r="P377" s="112"/>
      <c r="R377" s="79"/>
      <c r="S377" s="76" t="e">
        <f t="shared" si="57"/>
        <v>#N/A</v>
      </c>
      <c r="T377" s="76"/>
      <c r="U377" s="112"/>
    </row>
    <row r="378" spans="1:21" x14ac:dyDescent="0.25">
      <c r="A378" s="95">
        <v>45655</v>
      </c>
      <c r="B378" s="72" t="s">
        <v>978</v>
      </c>
      <c r="C378" s="72" t="s">
        <v>8</v>
      </c>
      <c r="D378" s="72" t="s">
        <v>34</v>
      </c>
      <c r="E378" s="72" t="s">
        <v>82</v>
      </c>
      <c r="F378" s="72">
        <v>1</v>
      </c>
      <c r="G378" s="73">
        <v>15</v>
      </c>
      <c r="H378" s="73">
        <f t="shared" si="55"/>
        <v>15</v>
      </c>
      <c r="I378" s="73">
        <f t="shared" si="56"/>
        <v>15</v>
      </c>
      <c r="J378" s="72" t="s">
        <v>83</v>
      </c>
      <c r="K378" s="74"/>
      <c r="M378" s="79"/>
      <c r="N378" s="76" t="e">
        <f t="shared" si="60"/>
        <v>#N/A</v>
      </c>
      <c r="O378" s="76"/>
      <c r="P378" s="112"/>
      <c r="R378" s="79"/>
      <c r="S378" s="76" t="e">
        <f t="shared" si="57"/>
        <v>#N/A</v>
      </c>
      <c r="T378" s="76"/>
      <c r="U378" s="112"/>
    </row>
    <row r="379" spans="1:21" x14ac:dyDescent="0.25">
      <c r="A379" s="95">
        <v>45655</v>
      </c>
      <c r="B379" s="72" t="s">
        <v>585</v>
      </c>
      <c r="C379" s="72" t="s">
        <v>8</v>
      </c>
      <c r="D379" s="72" t="s">
        <v>18</v>
      </c>
      <c r="E379" s="72" t="s">
        <v>82</v>
      </c>
      <c r="F379" s="72">
        <v>1</v>
      </c>
      <c r="G379" s="73">
        <f t="shared" ref="G379:G385" si="61">VLOOKUP(D379,$W$3:$X$72,2,0)</f>
        <v>40</v>
      </c>
      <c r="H379" s="73">
        <f t="shared" si="55"/>
        <v>40</v>
      </c>
      <c r="I379" s="73">
        <f t="shared" si="56"/>
        <v>39.159999999999997</v>
      </c>
      <c r="J379" s="72" t="s">
        <v>866</v>
      </c>
      <c r="K379" s="74"/>
      <c r="M379" s="79"/>
      <c r="N379" s="76" t="e">
        <f t="shared" si="60"/>
        <v>#N/A</v>
      </c>
      <c r="O379" s="76"/>
      <c r="P379" s="112"/>
      <c r="R379" s="79"/>
      <c r="S379" s="76" t="e">
        <f t="shared" si="57"/>
        <v>#N/A</v>
      </c>
      <c r="T379" s="76"/>
      <c r="U379" s="112"/>
    </row>
    <row r="380" spans="1:21" x14ac:dyDescent="0.25">
      <c r="A380" s="95">
        <v>45655</v>
      </c>
      <c r="B380" s="72" t="s">
        <v>498</v>
      </c>
      <c r="C380" s="72" t="s">
        <v>9</v>
      </c>
      <c r="D380" s="72" t="s">
        <v>13</v>
      </c>
      <c r="E380" s="72" t="s">
        <v>56</v>
      </c>
      <c r="F380" s="72">
        <v>1</v>
      </c>
      <c r="G380" s="73">
        <f t="shared" si="61"/>
        <v>30</v>
      </c>
      <c r="H380" s="73">
        <f t="shared" si="55"/>
        <v>30</v>
      </c>
      <c r="I380" s="73">
        <f t="shared" si="56"/>
        <v>29.37</v>
      </c>
      <c r="J380" s="72" t="s">
        <v>866</v>
      </c>
      <c r="K380" s="74"/>
      <c r="M380" s="72" t="s">
        <v>13</v>
      </c>
      <c r="N380" s="76">
        <f t="shared" si="60"/>
        <v>12</v>
      </c>
      <c r="O380" s="76">
        <f>N380*F380</f>
        <v>12</v>
      </c>
      <c r="P380" s="112"/>
      <c r="R380" s="79"/>
      <c r="S380" s="76" t="e">
        <f t="shared" si="57"/>
        <v>#N/A</v>
      </c>
      <c r="T380" s="76"/>
      <c r="U380" s="112"/>
    </row>
    <row r="381" spans="1:21" x14ac:dyDescent="0.25">
      <c r="A381" s="95">
        <v>45655</v>
      </c>
      <c r="B381" s="72" t="s">
        <v>498</v>
      </c>
      <c r="C381" s="72" t="s">
        <v>9</v>
      </c>
      <c r="D381" s="72" t="s">
        <v>914</v>
      </c>
      <c r="E381" s="72" t="s">
        <v>56</v>
      </c>
      <c r="F381" s="72">
        <v>1</v>
      </c>
      <c r="G381" s="73">
        <f t="shared" si="61"/>
        <v>10</v>
      </c>
      <c r="H381" s="73">
        <f t="shared" si="55"/>
        <v>10</v>
      </c>
      <c r="I381" s="73">
        <f t="shared" si="56"/>
        <v>9.7899999999999991</v>
      </c>
      <c r="J381" s="72" t="s">
        <v>866</v>
      </c>
      <c r="K381" s="74"/>
      <c r="M381" s="72" t="s">
        <v>914</v>
      </c>
      <c r="N381" s="76">
        <f t="shared" si="60"/>
        <v>4</v>
      </c>
      <c r="O381" s="76">
        <f>N381*F381</f>
        <v>4</v>
      </c>
      <c r="P381" s="112"/>
      <c r="R381" s="79"/>
      <c r="S381" s="76" t="e">
        <f t="shared" si="57"/>
        <v>#N/A</v>
      </c>
      <c r="T381" s="76"/>
      <c r="U381" s="112"/>
    </row>
    <row r="382" spans="1:21" x14ac:dyDescent="0.25">
      <c r="A382" s="95">
        <v>45655</v>
      </c>
      <c r="B382" s="72" t="s">
        <v>251</v>
      </c>
      <c r="C382" s="72" t="s">
        <v>8</v>
      </c>
      <c r="D382" s="72" t="s">
        <v>916</v>
      </c>
      <c r="E382" s="72" t="s">
        <v>82</v>
      </c>
      <c r="F382" s="72">
        <v>1</v>
      </c>
      <c r="G382" s="73">
        <f t="shared" si="61"/>
        <v>50</v>
      </c>
      <c r="H382" s="73">
        <f t="shared" si="55"/>
        <v>50</v>
      </c>
      <c r="I382" s="73">
        <f t="shared" si="56"/>
        <v>48.95</v>
      </c>
      <c r="J382" s="72" t="s">
        <v>866</v>
      </c>
      <c r="K382" s="74"/>
      <c r="M382" s="79"/>
      <c r="N382" s="76" t="e">
        <f t="shared" si="60"/>
        <v>#N/A</v>
      </c>
      <c r="O382" s="76"/>
      <c r="P382" s="112"/>
      <c r="R382" s="79"/>
      <c r="S382" s="76" t="e">
        <f t="shared" si="57"/>
        <v>#N/A</v>
      </c>
      <c r="T382" s="76"/>
      <c r="U382" s="112"/>
    </row>
    <row r="383" spans="1:21" x14ac:dyDescent="0.25">
      <c r="A383" s="95">
        <v>45655</v>
      </c>
      <c r="B383" s="72" t="s">
        <v>274</v>
      </c>
      <c r="C383" s="72" t="s">
        <v>8</v>
      </c>
      <c r="D383" s="72" t="s">
        <v>15</v>
      </c>
      <c r="E383" s="72" t="s">
        <v>82</v>
      </c>
      <c r="F383" s="72">
        <v>1</v>
      </c>
      <c r="G383" s="73">
        <f t="shared" si="61"/>
        <v>70</v>
      </c>
      <c r="H383" s="73">
        <f t="shared" si="55"/>
        <v>70</v>
      </c>
      <c r="I383" s="73">
        <f t="shared" si="56"/>
        <v>70</v>
      </c>
      <c r="J383" s="72" t="s">
        <v>83</v>
      </c>
      <c r="K383" s="74"/>
      <c r="M383" s="79"/>
      <c r="N383" s="76" t="e">
        <f t="shared" si="60"/>
        <v>#N/A</v>
      </c>
      <c r="O383" s="76"/>
      <c r="P383" s="112"/>
      <c r="R383" s="79"/>
      <c r="S383" s="76" t="e">
        <f t="shared" si="57"/>
        <v>#N/A</v>
      </c>
      <c r="T383" s="76"/>
      <c r="U383" s="112"/>
    </row>
    <row r="384" spans="1:21" x14ac:dyDescent="0.25">
      <c r="A384" s="95">
        <v>45655</v>
      </c>
      <c r="B384" s="72" t="s">
        <v>702</v>
      </c>
      <c r="C384" s="72" t="s">
        <v>10</v>
      </c>
      <c r="D384" s="72" t="s">
        <v>15</v>
      </c>
      <c r="E384" s="72" t="s">
        <v>56</v>
      </c>
      <c r="F384" s="72">
        <v>1</v>
      </c>
      <c r="G384" s="73">
        <f t="shared" si="61"/>
        <v>70</v>
      </c>
      <c r="H384" s="73">
        <f t="shared" si="55"/>
        <v>70</v>
      </c>
      <c r="I384" s="73">
        <f t="shared" si="56"/>
        <v>70</v>
      </c>
      <c r="J384" s="72" t="s">
        <v>83</v>
      </c>
      <c r="K384" s="74"/>
      <c r="M384" s="72" t="s">
        <v>15</v>
      </c>
      <c r="N384" s="76">
        <f t="shared" si="60"/>
        <v>28</v>
      </c>
      <c r="O384" s="76">
        <f>N384*F384</f>
        <v>28</v>
      </c>
      <c r="P384" s="112"/>
      <c r="R384" s="79"/>
      <c r="S384" s="76" t="e">
        <f t="shared" si="57"/>
        <v>#N/A</v>
      </c>
      <c r="T384" s="76"/>
      <c r="U384" s="112"/>
    </row>
    <row r="385" spans="1:21" x14ac:dyDescent="0.25">
      <c r="A385" s="95">
        <v>45655</v>
      </c>
      <c r="B385" s="72" t="s">
        <v>702</v>
      </c>
      <c r="C385" s="72" t="s">
        <v>10</v>
      </c>
      <c r="D385" s="72" t="s">
        <v>38</v>
      </c>
      <c r="E385" s="72" t="s">
        <v>56</v>
      </c>
      <c r="F385" s="72">
        <v>1</v>
      </c>
      <c r="G385" s="73">
        <f t="shared" si="61"/>
        <v>6</v>
      </c>
      <c r="H385" s="73">
        <f t="shared" si="55"/>
        <v>6</v>
      </c>
      <c r="I385" s="73">
        <f t="shared" si="56"/>
        <v>6</v>
      </c>
      <c r="J385" s="72" t="s">
        <v>83</v>
      </c>
      <c r="K385" s="74"/>
      <c r="M385" s="72" t="s">
        <v>38</v>
      </c>
      <c r="N385" s="76">
        <f t="shared" si="60"/>
        <v>0.60000000000000009</v>
      </c>
      <c r="O385" s="76">
        <f>N385*F385</f>
        <v>0.60000000000000009</v>
      </c>
      <c r="P385" s="112"/>
      <c r="R385" s="79"/>
      <c r="S385" s="76" t="e">
        <f t="shared" si="57"/>
        <v>#N/A</v>
      </c>
      <c r="T385" s="76"/>
      <c r="U385" s="112"/>
    </row>
    <row r="386" spans="1:21" x14ac:dyDescent="0.25">
      <c r="A386" s="95">
        <v>45655</v>
      </c>
      <c r="B386" s="72" t="s">
        <v>670</v>
      </c>
      <c r="C386" s="72" t="s">
        <v>10</v>
      </c>
      <c r="D386" s="72" t="s">
        <v>18</v>
      </c>
      <c r="E386" s="72" t="s">
        <v>56</v>
      </c>
      <c r="F386" s="72">
        <v>1</v>
      </c>
      <c r="G386" s="73">
        <v>30</v>
      </c>
      <c r="H386" s="73">
        <f t="shared" si="55"/>
        <v>30</v>
      </c>
      <c r="I386" s="73">
        <f t="shared" si="56"/>
        <v>30</v>
      </c>
      <c r="J386" s="72" t="s">
        <v>83</v>
      </c>
      <c r="K386" s="74"/>
      <c r="M386" s="72" t="s">
        <v>18</v>
      </c>
      <c r="N386" s="76">
        <f>H386*0.4</f>
        <v>12</v>
      </c>
      <c r="O386" s="76">
        <f>N386*F386</f>
        <v>12</v>
      </c>
      <c r="P386" s="112"/>
      <c r="R386" s="79"/>
      <c r="S386" s="76" t="e">
        <f t="shared" si="57"/>
        <v>#N/A</v>
      </c>
      <c r="T386" s="76"/>
      <c r="U386" s="112"/>
    </row>
    <row r="387" spans="1:21" x14ac:dyDescent="0.25">
      <c r="A387" s="95">
        <v>45655</v>
      </c>
      <c r="B387" s="72" t="s">
        <v>204</v>
      </c>
      <c r="C387" s="72" t="s">
        <v>8</v>
      </c>
      <c r="D387" s="72" t="s">
        <v>916</v>
      </c>
      <c r="E387" s="72" t="s">
        <v>82</v>
      </c>
      <c r="F387" s="72">
        <v>1</v>
      </c>
      <c r="G387" s="73">
        <f t="shared" ref="G387:G394" si="62">VLOOKUP(D387,$W$3:$X$72,2,0)</f>
        <v>50</v>
      </c>
      <c r="H387" s="73">
        <f t="shared" ref="H387:H404" si="63">F387*G387</f>
        <v>50</v>
      </c>
      <c r="I387" s="73">
        <f t="shared" ref="I387:I390" si="64">IF(J387="Master Debito",H387-(H387*$AG$5),IF(J387="Master Credito",H387-(H387*$AG$6), IF(J387="Visa Debito",H387-(H387*$AG$7), IF(J387="Visa Credito", H387-(H387*$AG$8), IF(J387="Elo Debito", H387-(H387*$AG$9), IF(J387="Elo Credito", H387-(H387*$AG$10), IF(J387="Pix", H387-(H387*$AG$11), IF(J387="Dinheiro (R$)", H387-(H387*$AG$12)))))))))</f>
        <v>50</v>
      </c>
      <c r="J387" s="72" t="s">
        <v>83</v>
      </c>
      <c r="K387" s="74"/>
      <c r="M387" s="79"/>
      <c r="N387" s="76" t="e">
        <f t="shared" ref="N387:N398" si="65">VLOOKUP(M387,$W$3:$Y$72,3,0)</f>
        <v>#N/A</v>
      </c>
      <c r="O387" s="76"/>
      <c r="P387" s="112"/>
      <c r="R387" s="79"/>
      <c r="S387" s="76" t="e">
        <f t="shared" ref="S387:S431" si="66">VLOOKUP(R387,$W$3:$Y$72,3,0)</f>
        <v>#N/A</v>
      </c>
      <c r="T387" s="76"/>
      <c r="U387" s="112"/>
    </row>
    <row r="388" spans="1:21" x14ac:dyDescent="0.25">
      <c r="A388" s="95">
        <v>45655</v>
      </c>
      <c r="B388" s="72" t="s">
        <v>561</v>
      </c>
      <c r="C388" s="72" t="s">
        <v>8</v>
      </c>
      <c r="D388" s="72" t="s">
        <v>18</v>
      </c>
      <c r="E388" s="72" t="s">
        <v>82</v>
      </c>
      <c r="F388" s="72">
        <v>1</v>
      </c>
      <c r="G388" s="73">
        <f t="shared" si="62"/>
        <v>40</v>
      </c>
      <c r="H388" s="73">
        <f t="shared" si="63"/>
        <v>40</v>
      </c>
      <c r="I388" s="73">
        <f t="shared" si="64"/>
        <v>40</v>
      </c>
      <c r="J388" s="72" t="s">
        <v>83</v>
      </c>
      <c r="K388" s="74"/>
      <c r="M388" s="79"/>
      <c r="N388" s="76" t="e">
        <f t="shared" si="65"/>
        <v>#N/A</v>
      </c>
      <c r="O388" s="76"/>
      <c r="P388" s="112"/>
      <c r="R388" s="79"/>
      <c r="S388" s="76" t="e">
        <f t="shared" si="66"/>
        <v>#N/A</v>
      </c>
      <c r="T388" s="76"/>
      <c r="U388" s="112"/>
    </row>
    <row r="389" spans="1:21" x14ac:dyDescent="0.25">
      <c r="A389" s="95">
        <v>45655</v>
      </c>
      <c r="B389" s="72" t="s">
        <v>896</v>
      </c>
      <c r="C389" s="72" t="s">
        <v>8</v>
      </c>
      <c r="D389" s="72" t="s">
        <v>18</v>
      </c>
      <c r="E389" s="72" t="s">
        <v>56</v>
      </c>
      <c r="F389" s="72">
        <v>1</v>
      </c>
      <c r="G389" s="73">
        <f t="shared" si="62"/>
        <v>40</v>
      </c>
      <c r="H389" s="73">
        <f t="shared" si="63"/>
        <v>40</v>
      </c>
      <c r="I389" s="73">
        <f t="shared" si="64"/>
        <v>40</v>
      </c>
      <c r="J389" s="72" t="s">
        <v>83</v>
      </c>
      <c r="K389" s="74"/>
      <c r="M389" s="79" t="s">
        <v>18</v>
      </c>
      <c r="N389" s="76">
        <f t="shared" si="65"/>
        <v>16</v>
      </c>
      <c r="O389" s="76">
        <f>N389*F389</f>
        <v>16</v>
      </c>
      <c r="P389" s="112"/>
      <c r="R389" s="79"/>
      <c r="S389" s="76" t="e">
        <f t="shared" si="66"/>
        <v>#N/A</v>
      </c>
      <c r="T389" s="76"/>
      <c r="U389" s="112"/>
    </row>
    <row r="390" spans="1:21" x14ac:dyDescent="0.25">
      <c r="A390" s="95">
        <v>45655</v>
      </c>
      <c r="B390" s="72" t="s">
        <v>547</v>
      </c>
      <c r="C390" s="72" t="s">
        <v>8</v>
      </c>
      <c r="D390" s="72" t="s">
        <v>18</v>
      </c>
      <c r="E390" s="72" t="s">
        <v>82</v>
      </c>
      <c r="F390" s="72">
        <v>1</v>
      </c>
      <c r="G390" s="73">
        <f t="shared" si="62"/>
        <v>40</v>
      </c>
      <c r="H390" s="73">
        <f t="shared" si="63"/>
        <v>40</v>
      </c>
      <c r="I390" s="73">
        <f t="shared" si="64"/>
        <v>40</v>
      </c>
      <c r="J390" s="72" t="s">
        <v>83</v>
      </c>
      <c r="K390" s="74"/>
      <c r="M390" s="79"/>
      <c r="N390" s="76" t="e">
        <f t="shared" si="65"/>
        <v>#N/A</v>
      </c>
      <c r="O390" s="76"/>
      <c r="P390" s="112"/>
      <c r="R390" s="79"/>
      <c r="S390" s="76" t="e">
        <f t="shared" si="66"/>
        <v>#N/A</v>
      </c>
      <c r="T390" s="76"/>
      <c r="U390" s="112"/>
    </row>
    <row r="391" spans="1:21" x14ac:dyDescent="0.25">
      <c r="A391" s="95">
        <v>45656</v>
      </c>
      <c r="B391" s="72" t="s">
        <v>238</v>
      </c>
      <c r="C391" s="72" t="s">
        <v>8</v>
      </c>
      <c r="D391" s="72" t="s">
        <v>916</v>
      </c>
      <c r="E391" s="72" t="s">
        <v>82</v>
      </c>
      <c r="F391" s="72">
        <v>1</v>
      </c>
      <c r="G391" s="73">
        <f t="shared" si="62"/>
        <v>50</v>
      </c>
      <c r="H391" s="73">
        <f t="shared" si="63"/>
        <v>50</v>
      </c>
      <c r="I391" s="73">
        <v>50</v>
      </c>
      <c r="J391" s="72" t="s">
        <v>83</v>
      </c>
      <c r="K391" s="74"/>
      <c r="M391" s="79"/>
      <c r="N391" s="76" t="e">
        <f t="shared" si="65"/>
        <v>#N/A</v>
      </c>
      <c r="O391" s="76"/>
      <c r="P391" s="112"/>
      <c r="R391" s="79"/>
      <c r="S391" s="76" t="e">
        <f t="shared" si="66"/>
        <v>#N/A</v>
      </c>
      <c r="T391" s="76"/>
      <c r="U391" s="112"/>
    </row>
    <row r="392" spans="1:21" x14ac:dyDescent="0.25">
      <c r="A392" s="95">
        <v>45656</v>
      </c>
      <c r="B392" s="72" t="s">
        <v>591</v>
      </c>
      <c r="C392" s="72" t="s">
        <v>8</v>
      </c>
      <c r="D392" s="72" t="s">
        <v>18</v>
      </c>
      <c r="E392" s="72" t="s">
        <v>82</v>
      </c>
      <c r="F392" s="72">
        <v>1</v>
      </c>
      <c r="G392" s="73">
        <f t="shared" si="62"/>
        <v>40</v>
      </c>
      <c r="H392" s="73">
        <f t="shared" si="63"/>
        <v>40</v>
      </c>
      <c r="I392" s="73">
        <f t="shared" ref="I392:I431" si="67">IF(J392="Master Debito",H392-(H392*$AG$5),IF(J392="Master Credito",H392-(H392*$AG$6), IF(J392="Visa Debito",H392-(H392*$AG$7), IF(J392="Visa Credito", H392-(H392*$AG$8), IF(J392="Elo Debito", H392-(H392*$AG$9), IF(J392="Elo Credito", H392-(H392*$AG$10), IF(J392="Pix", H392-(H392*$AG$11), IF(J392="Dinheiro (R$)", H392-(H392*$AG$12)))))))))</f>
        <v>40</v>
      </c>
      <c r="J392" s="72" t="s">
        <v>83</v>
      </c>
      <c r="K392" s="74"/>
      <c r="M392" s="79"/>
      <c r="N392" s="76" t="e">
        <f t="shared" si="65"/>
        <v>#N/A</v>
      </c>
      <c r="O392" s="76"/>
      <c r="P392" s="112"/>
      <c r="R392" s="79"/>
      <c r="S392" s="76" t="e">
        <f t="shared" si="66"/>
        <v>#N/A</v>
      </c>
      <c r="T392" s="76"/>
      <c r="U392" s="112"/>
    </row>
    <row r="393" spans="1:21" x14ac:dyDescent="0.25">
      <c r="A393" s="95">
        <v>45656</v>
      </c>
      <c r="B393" s="72" t="s">
        <v>839</v>
      </c>
      <c r="C393" s="72" t="s">
        <v>8</v>
      </c>
      <c r="D393" s="72" t="s">
        <v>18</v>
      </c>
      <c r="E393" s="72" t="s">
        <v>82</v>
      </c>
      <c r="F393" s="72">
        <v>1</v>
      </c>
      <c r="G393" s="73">
        <f t="shared" si="62"/>
        <v>40</v>
      </c>
      <c r="H393" s="73">
        <f t="shared" si="63"/>
        <v>40</v>
      </c>
      <c r="I393" s="73">
        <f t="shared" si="67"/>
        <v>38</v>
      </c>
      <c r="J393" s="72" t="s">
        <v>867</v>
      </c>
      <c r="K393" s="74"/>
      <c r="M393" s="79"/>
      <c r="N393" s="76" t="e">
        <f t="shared" si="65"/>
        <v>#N/A</v>
      </c>
      <c r="O393" s="76"/>
      <c r="P393" s="112"/>
      <c r="R393" s="79"/>
      <c r="S393" s="76" t="e">
        <f t="shared" si="66"/>
        <v>#N/A</v>
      </c>
      <c r="T393" s="76"/>
      <c r="U393" s="112"/>
    </row>
    <row r="394" spans="1:21" x14ac:dyDescent="0.25">
      <c r="A394" s="95">
        <v>45656</v>
      </c>
      <c r="B394" s="72" t="s">
        <v>566</v>
      </c>
      <c r="C394" s="72" t="s">
        <v>8</v>
      </c>
      <c r="D394" s="72" t="s">
        <v>104</v>
      </c>
      <c r="E394" s="72" t="s">
        <v>82</v>
      </c>
      <c r="F394" s="72">
        <v>1</v>
      </c>
      <c r="G394" s="73">
        <f t="shared" si="62"/>
        <v>60</v>
      </c>
      <c r="H394" s="73">
        <f t="shared" si="63"/>
        <v>60</v>
      </c>
      <c r="I394" s="73">
        <f t="shared" si="67"/>
        <v>60</v>
      </c>
      <c r="J394" s="72" t="s">
        <v>83</v>
      </c>
      <c r="K394" s="74"/>
      <c r="M394" s="79"/>
      <c r="N394" s="76" t="e">
        <f t="shared" si="65"/>
        <v>#N/A</v>
      </c>
      <c r="O394" s="76"/>
      <c r="P394" s="112"/>
      <c r="R394" s="79"/>
      <c r="S394" s="76" t="e">
        <f t="shared" si="66"/>
        <v>#N/A</v>
      </c>
      <c r="T394" s="76"/>
      <c r="U394" s="112"/>
    </row>
    <row r="395" spans="1:21" x14ac:dyDescent="0.25">
      <c r="A395" s="95">
        <v>45656</v>
      </c>
      <c r="B395" s="72" t="s">
        <v>566</v>
      </c>
      <c r="C395" s="72" t="s">
        <v>8</v>
      </c>
      <c r="D395" s="72" t="s">
        <v>34</v>
      </c>
      <c r="E395" s="72" t="s">
        <v>82</v>
      </c>
      <c r="F395" s="72">
        <v>1</v>
      </c>
      <c r="G395" s="73">
        <v>15</v>
      </c>
      <c r="H395" s="73">
        <f t="shared" si="63"/>
        <v>15</v>
      </c>
      <c r="I395" s="73">
        <f t="shared" si="67"/>
        <v>15</v>
      </c>
      <c r="J395" s="72" t="s">
        <v>83</v>
      </c>
      <c r="K395" s="74"/>
      <c r="M395" s="79"/>
      <c r="N395" s="76" t="e">
        <f t="shared" si="65"/>
        <v>#N/A</v>
      </c>
      <c r="O395" s="76"/>
      <c r="P395" s="112"/>
      <c r="R395" s="79"/>
      <c r="S395" s="76" t="e">
        <f t="shared" si="66"/>
        <v>#N/A</v>
      </c>
      <c r="T395" s="76"/>
      <c r="U395" s="112"/>
    </row>
    <row r="396" spans="1:21" x14ac:dyDescent="0.25">
      <c r="A396" s="95">
        <v>45656</v>
      </c>
      <c r="B396" s="72" t="s">
        <v>513</v>
      </c>
      <c r="C396" s="72" t="s">
        <v>8</v>
      </c>
      <c r="D396" s="72" t="s">
        <v>916</v>
      </c>
      <c r="E396" s="72" t="s">
        <v>82</v>
      </c>
      <c r="F396" s="72">
        <v>1</v>
      </c>
      <c r="G396" s="73">
        <f>VLOOKUP(D396,$W$3:$X$72,2,0)</f>
        <v>50</v>
      </c>
      <c r="H396" s="73">
        <f t="shared" si="63"/>
        <v>50</v>
      </c>
      <c r="I396" s="73">
        <f t="shared" si="67"/>
        <v>48.8</v>
      </c>
      <c r="J396" s="72" t="s">
        <v>869</v>
      </c>
      <c r="K396" s="74"/>
      <c r="M396" s="79"/>
      <c r="N396" s="76" t="e">
        <f t="shared" si="65"/>
        <v>#N/A</v>
      </c>
      <c r="O396" s="76"/>
      <c r="P396" s="112"/>
      <c r="R396" s="79"/>
      <c r="S396" s="76" t="e">
        <f t="shared" si="66"/>
        <v>#N/A</v>
      </c>
      <c r="T396" s="76"/>
      <c r="U396" s="112"/>
    </row>
    <row r="397" spans="1:21" x14ac:dyDescent="0.25">
      <c r="A397" s="95">
        <v>45656</v>
      </c>
      <c r="B397" s="72" t="s">
        <v>979</v>
      </c>
      <c r="C397" s="72" t="s">
        <v>8</v>
      </c>
      <c r="D397" s="72" t="s">
        <v>18</v>
      </c>
      <c r="E397" s="72" t="s">
        <v>56</v>
      </c>
      <c r="F397" s="72">
        <v>1</v>
      </c>
      <c r="G397" s="73">
        <f>VLOOKUP(D397,$W$3:$X$72,2,0)</f>
        <v>40</v>
      </c>
      <c r="H397" s="73">
        <f t="shared" si="63"/>
        <v>40</v>
      </c>
      <c r="I397" s="73">
        <f t="shared" si="67"/>
        <v>39.159999999999997</v>
      </c>
      <c r="J397" s="72" t="s">
        <v>866</v>
      </c>
      <c r="K397" s="74"/>
      <c r="M397" s="72" t="s">
        <v>18</v>
      </c>
      <c r="N397" s="76">
        <f t="shared" si="65"/>
        <v>16</v>
      </c>
      <c r="O397" s="76">
        <f>N397*F397</f>
        <v>16</v>
      </c>
      <c r="P397" s="112"/>
      <c r="R397" s="79"/>
      <c r="S397" s="76" t="e">
        <f t="shared" si="66"/>
        <v>#N/A</v>
      </c>
      <c r="T397" s="76"/>
      <c r="U397" s="112"/>
    </row>
    <row r="398" spans="1:21" x14ac:dyDescent="0.25">
      <c r="A398" s="95">
        <v>45656</v>
      </c>
      <c r="B398" s="72" t="s">
        <v>980</v>
      </c>
      <c r="C398" s="72" t="s">
        <v>8</v>
      </c>
      <c r="D398" s="72" t="s">
        <v>15</v>
      </c>
      <c r="E398" s="72" t="s">
        <v>56</v>
      </c>
      <c r="F398" s="72">
        <v>1</v>
      </c>
      <c r="G398" s="73">
        <f>VLOOKUP(D398,$W$3:$X$72,2,0)</f>
        <v>70</v>
      </c>
      <c r="H398" s="73">
        <f t="shared" si="63"/>
        <v>70</v>
      </c>
      <c r="I398" s="73">
        <f t="shared" si="67"/>
        <v>68.53</v>
      </c>
      <c r="J398" s="72" t="s">
        <v>866</v>
      </c>
      <c r="K398" s="74"/>
      <c r="M398" s="72" t="s">
        <v>15</v>
      </c>
      <c r="N398" s="76">
        <f t="shared" si="65"/>
        <v>28</v>
      </c>
      <c r="O398" s="76">
        <f>N398*F398</f>
        <v>28</v>
      </c>
      <c r="P398" s="112"/>
      <c r="R398" s="79"/>
      <c r="S398" s="76" t="e">
        <f t="shared" si="66"/>
        <v>#N/A</v>
      </c>
      <c r="T398" s="76"/>
      <c r="U398" s="112"/>
    </row>
    <row r="399" spans="1:21" x14ac:dyDescent="0.25">
      <c r="A399" s="95">
        <v>45656</v>
      </c>
      <c r="B399" s="72" t="s">
        <v>980</v>
      </c>
      <c r="C399" s="72" t="s">
        <v>8</v>
      </c>
      <c r="D399" s="72" t="s">
        <v>34</v>
      </c>
      <c r="E399" s="72" t="s">
        <v>56</v>
      </c>
      <c r="F399" s="72">
        <v>1</v>
      </c>
      <c r="G399" s="73">
        <v>15</v>
      </c>
      <c r="H399" s="73">
        <f t="shared" si="63"/>
        <v>15</v>
      </c>
      <c r="I399" s="73">
        <f t="shared" si="67"/>
        <v>14.685</v>
      </c>
      <c r="J399" s="72" t="s">
        <v>866</v>
      </c>
      <c r="K399" s="74"/>
      <c r="M399" s="72" t="s">
        <v>34</v>
      </c>
      <c r="N399" s="76">
        <f>G399*0.1</f>
        <v>1.5</v>
      </c>
      <c r="O399" s="76">
        <f>N399*F399</f>
        <v>1.5</v>
      </c>
      <c r="P399" s="112"/>
      <c r="R399" s="79"/>
      <c r="S399" s="76" t="e">
        <f t="shared" si="66"/>
        <v>#N/A</v>
      </c>
      <c r="T399" s="76"/>
      <c r="U399" s="112"/>
    </row>
    <row r="400" spans="1:21" x14ac:dyDescent="0.25">
      <c r="A400" s="95">
        <v>45656</v>
      </c>
      <c r="B400" s="72" t="s">
        <v>946</v>
      </c>
      <c r="C400" s="72" t="s">
        <v>8</v>
      </c>
      <c r="D400" s="72" t="s">
        <v>916</v>
      </c>
      <c r="E400" s="72" t="s">
        <v>56</v>
      </c>
      <c r="F400" s="72">
        <v>1</v>
      </c>
      <c r="G400" s="73">
        <f t="shared" ref="G400:G431" si="68">VLOOKUP(D400,$W$3:$X$72,2,0)</f>
        <v>50</v>
      </c>
      <c r="H400" s="73">
        <f t="shared" si="63"/>
        <v>50</v>
      </c>
      <c r="I400" s="73">
        <f t="shared" si="67"/>
        <v>50</v>
      </c>
      <c r="J400" s="72" t="s">
        <v>79</v>
      </c>
      <c r="K400" s="74"/>
      <c r="M400" s="72" t="s">
        <v>916</v>
      </c>
      <c r="N400" s="76">
        <f t="shared" ref="N400:N431" si="69">VLOOKUP(M400,$W$3:$Y$72,3,0)</f>
        <v>20</v>
      </c>
      <c r="O400" s="76">
        <f>N400*F400</f>
        <v>20</v>
      </c>
      <c r="P400" s="112"/>
      <c r="R400" s="79"/>
      <c r="S400" s="76" t="e">
        <f t="shared" si="66"/>
        <v>#N/A</v>
      </c>
      <c r="T400" s="76"/>
      <c r="U400" s="112"/>
    </row>
    <row r="401" spans="1:21" x14ac:dyDescent="0.25">
      <c r="A401" s="95">
        <v>45656</v>
      </c>
      <c r="B401" s="72" t="s">
        <v>981</v>
      </c>
      <c r="C401" s="72" t="s">
        <v>8</v>
      </c>
      <c r="D401" s="72" t="s">
        <v>18</v>
      </c>
      <c r="E401" s="72" t="s">
        <v>82</v>
      </c>
      <c r="F401" s="72">
        <v>1</v>
      </c>
      <c r="G401" s="73">
        <f t="shared" si="68"/>
        <v>40</v>
      </c>
      <c r="H401" s="73">
        <f t="shared" si="63"/>
        <v>40</v>
      </c>
      <c r="I401" s="73">
        <f t="shared" si="67"/>
        <v>39.159999999999997</v>
      </c>
      <c r="J401" s="72" t="s">
        <v>866</v>
      </c>
      <c r="K401" s="74"/>
      <c r="M401" s="79"/>
      <c r="N401" s="76" t="e">
        <f t="shared" si="69"/>
        <v>#N/A</v>
      </c>
      <c r="O401" s="76"/>
      <c r="P401" s="112"/>
      <c r="R401" s="79"/>
      <c r="S401" s="76" t="e">
        <f t="shared" si="66"/>
        <v>#N/A</v>
      </c>
      <c r="T401" s="76"/>
      <c r="U401" s="112"/>
    </row>
    <row r="402" spans="1:21" x14ac:dyDescent="0.25">
      <c r="A402" s="95">
        <v>45656</v>
      </c>
      <c r="B402" s="72" t="s">
        <v>614</v>
      </c>
      <c r="C402" s="72" t="s">
        <v>8</v>
      </c>
      <c r="D402" s="72" t="s">
        <v>21</v>
      </c>
      <c r="E402" s="72" t="s">
        <v>82</v>
      </c>
      <c r="F402" s="72">
        <v>1</v>
      </c>
      <c r="G402" s="73">
        <f t="shared" si="68"/>
        <v>10</v>
      </c>
      <c r="H402" s="73">
        <f t="shared" si="63"/>
        <v>10</v>
      </c>
      <c r="I402" s="73">
        <f t="shared" si="67"/>
        <v>9.5</v>
      </c>
      <c r="J402" s="72" t="s">
        <v>867</v>
      </c>
      <c r="K402" s="74"/>
      <c r="M402" s="79"/>
      <c r="N402" s="76" t="e">
        <f t="shared" si="69"/>
        <v>#N/A</v>
      </c>
      <c r="O402" s="76"/>
      <c r="P402" s="112"/>
      <c r="R402" s="79"/>
      <c r="S402" s="76" t="e">
        <f t="shared" si="66"/>
        <v>#N/A</v>
      </c>
      <c r="T402" s="76"/>
      <c r="U402" s="112"/>
    </row>
    <row r="403" spans="1:21" x14ac:dyDescent="0.25">
      <c r="A403" s="95">
        <v>45656</v>
      </c>
      <c r="B403" s="72" t="s">
        <v>614</v>
      </c>
      <c r="C403" s="72" t="s">
        <v>8</v>
      </c>
      <c r="D403" s="72" t="s">
        <v>914</v>
      </c>
      <c r="E403" s="72" t="s">
        <v>82</v>
      </c>
      <c r="F403" s="72">
        <v>1</v>
      </c>
      <c r="G403" s="73">
        <f t="shared" si="68"/>
        <v>10</v>
      </c>
      <c r="H403" s="73">
        <f t="shared" si="63"/>
        <v>10</v>
      </c>
      <c r="I403" s="73">
        <f t="shared" si="67"/>
        <v>9.5</v>
      </c>
      <c r="J403" s="72" t="s">
        <v>867</v>
      </c>
      <c r="K403" s="74"/>
      <c r="M403" s="79"/>
      <c r="N403" s="76" t="e">
        <f t="shared" si="69"/>
        <v>#N/A</v>
      </c>
      <c r="O403" s="76"/>
      <c r="P403" s="112"/>
      <c r="R403" s="79"/>
      <c r="S403" s="76" t="e">
        <f t="shared" si="66"/>
        <v>#N/A</v>
      </c>
      <c r="T403" s="76"/>
      <c r="U403" s="112"/>
    </row>
    <row r="404" spans="1:21" x14ac:dyDescent="0.25">
      <c r="A404" s="95">
        <v>45656</v>
      </c>
      <c r="B404" s="72" t="s">
        <v>614</v>
      </c>
      <c r="C404" s="72" t="s">
        <v>8</v>
      </c>
      <c r="D404" s="72" t="s">
        <v>45</v>
      </c>
      <c r="E404" s="72" t="s">
        <v>82</v>
      </c>
      <c r="F404" s="72">
        <v>1</v>
      </c>
      <c r="G404" s="73">
        <f t="shared" si="68"/>
        <v>3.5</v>
      </c>
      <c r="H404" s="73">
        <f t="shared" si="63"/>
        <v>3.5</v>
      </c>
      <c r="I404" s="73">
        <f t="shared" si="67"/>
        <v>3.3250000000000002</v>
      </c>
      <c r="J404" s="72" t="s">
        <v>867</v>
      </c>
      <c r="K404" s="74"/>
      <c r="M404" s="79"/>
      <c r="N404" s="76" t="e">
        <f t="shared" si="69"/>
        <v>#N/A</v>
      </c>
      <c r="O404" s="76"/>
      <c r="P404" s="112"/>
      <c r="R404" s="79"/>
      <c r="S404" s="76" t="e">
        <f t="shared" si="66"/>
        <v>#N/A</v>
      </c>
      <c r="T404" s="76"/>
      <c r="U404" s="112"/>
    </row>
    <row r="405" spans="1:21" x14ac:dyDescent="0.25">
      <c r="A405" s="95">
        <v>45656</v>
      </c>
      <c r="B405" s="72" t="s">
        <v>196</v>
      </c>
      <c r="C405" s="72" t="s">
        <v>8</v>
      </c>
      <c r="D405" s="72" t="s">
        <v>18</v>
      </c>
      <c r="E405" s="72" t="s">
        <v>82</v>
      </c>
      <c r="F405" s="72">
        <v>4</v>
      </c>
      <c r="G405" s="73">
        <f t="shared" si="68"/>
        <v>40</v>
      </c>
      <c r="H405" s="73">
        <v>140</v>
      </c>
      <c r="I405" s="73">
        <f t="shared" si="67"/>
        <v>140</v>
      </c>
      <c r="J405" s="72" t="s">
        <v>83</v>
      </c>
      <c r="K405" s="74"/>
      <c r="M405" s="79"/>
      <c r="N405" s="76" t="e">
        <f t="shared" si="69"/>
        <v>#N/A</v>
      </c>
      <c r="O405" s="76"/>
      <c r="P405" s="112"/>
      <c r="R405" s="79"/>
      <c r="S405" s="76" t="e">
        <f t="shared" si="66"/>
        <v>#N/A</v>
      </c>
      <c r="T405" s="76"/>
      <c r="U405" s="112"/>
    </row>
    <row r="406" spans="1:21" x14ac:dyDescent="0.25">
      <c r="A406" s="95">
        <v>45656</v>
      </c>
      <c r="B406" s="72" t="s">
        <v>739</v>
      </c>
      <c r="C406" s="72" t="s">
        <v>8</v>
      </c>
      <c r="D406" s="72" t="s">
        <v>19</v>
      </c>
      <c r="E406" s="72" t="s">
        <v>56</v>
      </c>
      <c r="F406" s="72">
        <v>1</v>
      </c>
      <c r="G406" s="73">
        <f t="shared" si="68"/>
        <v>40</v>
      </c>
      <c r="H406" s="73">
        <f t="shared" ref="H406:H432" si="70">F406*G406</f>
        <v>40</v>
      </c>
      <c r="I406" s="73">
        <f t="shared" si="67"/>
        <v>40</v>
      </c>
      <c r="J406" s="72" t="s">
        <v>83</v>
      </c>
      <c r="K406" s="74"/>
      <c r="M406" s="79" t="s">
        <v>19</v>
      </c>
      <c r="N406" s="76">
        <f t="shared" si="69"/>
        <v>16</v>
      </c>
      <c r="O406" s="76">
        <f>N406*F406</f>
        <v>16</v>
      </c>
      <c r="P406" s="112"/>
      <c r="R406" s="79"/>
      <c r="S406" s="76" t="e">
        <f t="shared" si="66"/>
        <v>#N/A</v>
      </c>
      <c r="T406" s="76"/>
      <c r="U406" s="112"/>
    </row>
    <row r="407" spans="1:21" x14ac:dyDescent="0.25">
      <c r="A407" s="95">
        <v>45656</v>
      </c>
      <c r="B407" s="72" t="s">
        <v>238</v>
      </c>
      <c r="C407" s="72" t="s">
        <v>10</v>
      </c>
      <c r="D407" s="72" t="s">
        <v>18</v>
      </c>
      <c r="E407" s="72" t="s">
        <v>913</v>
      </c>
      <c r="F407" s="72">
        <v>1</v>
      </c>
      <c r="G407" s="73">
        <f t="shared" si="68"/>
        <v>40</v>
      </c>
      <c r="H407" s="73">
        <f t="shared" si="70"/>
        <v>40</v>
      </c>
      <c r="I407" s="73">
        <f t="shared" si="67"/>
        <v>39.159999999999997</v>
      </c>
      <c r="J407" s="72" t="s">
        <v>866</v>
      </c>
      <c r="K407" s="74"/>
      <c r="M407" s="79"/>
      <c r="N407" s="76" t="e">
        <f t="shared" si="69"/>
        <v>#N/A</v>
      </c>
      <c r="O407" s="76"/>
      <c r="P407" s="112"/>
      <c r="R407" s="79" t="s">
        <v>18</v>
      </c>
      <c r="S407" s="76">
        <f t="shared" si="66"/>
        <v>16</v>
      </c>
      <c r="T407" s="76">
        <f>S407*F407</f>
        <v>16</v>
      </c>
      <c r="U407" s="112"/>
    </row>
    <row r="408" spans="1:21" x14ac:dyDescent="0.25">
      <c r="A408" s="95">
        <v>45656</v>
      </c>
      <c r="B408" s="72" t="s">
        <v>809</v>
      </c>
      <c r="C408" s="72" t="s">
        <v>8</v>
      </c>
      <c r="D408" s="72" t="s">
        <v>18</v>
      </c>
      <c r="E408" s="72" t="s">
        <v>82</v>
      </c>
      <c r="F408" s="72">
        <v>1</v>
      </c>
      <c r="G408" s="73">
        <f t="shared" si="68"/>
        <v>40</v>
      </c>
      <c r="H408" s="73">
        <f t="shared" si="70"/>
        <v>40</v>
      </c>
      <c r="I408" s="73">
        <f t="shared" si="67"/>
        <v>40</v>
      </c>
      <c r="J408" s="72" t="s">
        <v>83</v>
      </c>
      <c r="K408" s="74"/>
      <c r="M408" s="79"/>
      <c r="N408" s="76" t="e">
        <f t="shared" si="69"/>
        <v>#N/A</v>
      </c>
      <c r="O408" s="76"/>
      <c r="P408" s="112"/>
      <c r="R408" s="79"/>
      <c r="S408" s="76" t="e">
        <f t="shared" si="66"/>
        <v>#N/A</v>
      </c>
      <c r="T408" s="76"/>
      <c r="U408" s="112"/>
    </row>
    <row r="409" spans="1:21" x14ac:dyDescent="0.25">
      <c r="A409" s="95">
        <v>45656</v>
      </c>
      <c r="B409" s="72" t="s">
        <v>982</v>
      </c>
      <c r="C409" s="72" t="s">
        <v>10</v>
      </c>
      <c r="D409" s="72" t="s">
        <v>18</v>
      </c>
      <c r="E409" s="72" t="s">
        <v>913</v>
      </c>
      <c r="F409" s="72">
        <v>1</v>
      </c>
      <c r="G409" s="73">
        <f t="shared" si="68"/>
        <v>40</v>
      </c>
      <c r="H409" s="73">
        <f t="shared" si="70"/>
        <v>40</v>
      </c>
      <c r="I409" s="73">
        <f t="shared" si="67"/>
        <v>38</v>
      </c>
      <c r="J409" s="72" t="s">
        <v>867</v>
      </c>
      <c r="K409" s="74"/>
      <c r="M409" s="79"/>
      <c r="N409" s="76" t="e">
        <f t="shared" si="69"/>
        <v>#N/A</v>
      </c>
      <c r="O409" s="76"/>
      <c r="P409" s="112"/>
      <c r="R409" s="79" t="s">
        <v>18</v>
      </c>
      <c r="S409" s="76">
        <f t="shared" si="66"/>
        <v>16</v>
      </c>
      <c r="T409" s="76">
        <f t="shared" ref="T409:T431" si="71">S409*F409</f>
        <v>16</v>
      </c>
      <c r="U409" s="112"/>
    </row>
    <row r="410" spans="1:21" x14ac:dyDescent="0.25">
      <c r="A410" s="95">
        <v>45656</v>
      </c>
      <c r="B410" s="72" t="s">
        <v>727</v>
      </c>
      <c r="C410" s="72" t="s">
        <v>8</v>
      </c>
      <c r="D410" s="72" t="s">
        <v>917</v>
      </c>
      <c r="E410" s="72" t="s">
        <v>56</v>
      </c>
      <c r="F410" s="72">
        <v>1</v>
      </c>
      <c r="G410" s="73">
        <f t="shared" si="68"/>
        <v>140</v>
      </c>
      <c r="H410" s="73">
        <f t="shared" si="70"/>
        <v>140</v>
      </c>
      <c r="I410" s="73">
        <f t="shared" si="67"/>
        <v>133.49</v>
      </c>
      <c r="J410" s="72" t="s">
        <v>865</v>
      </c>
      <c r="K410" s="74"/>
      <c r="M410" s="79" t="s">
        <v>917</v>
      </c>
      <c r="N410" s="76">
        <f t="shared" si="69"/>
        <v>56</v>
      </c>
      <c r="O410" s="76">
        <f t="shared" ref="O410:O431" si="72">N410*F410</f>
        <v>56</v>
      </c>
      <c r="P410" s="112"/>
      <c r="Q410" s="113">
        <f>SUM(O202:O410)</f>
        <v>1324.55</v>
      </c>
      <c r="R410" s="79"/>
      <c r="S410" s="76" t="e">
        <f t="shared" si="66"/>
        <v>#N/A</v>
      </c>
      <c r="T410" s="76" t="e">
        <f t="shared" si="71"/>
        <v>#N/A</v>
      </c>
      <c r="U410" s="112"/>
    </row>
    <row r="411" spans="1:21" x14ac:dyDescent="0.25">
      <c r="A411" s="95">
        <v>45656</v>
      </c>
      <c r="B411" s="72" t="s">
        <v>504</v>
      </c>
      <c r="C411" s="72" t="s">
        <v>8</v>
      </c>
      <c r="D411" s="72" t="s">
        <v>15</v>
      </c>
      <c r="E411" s="72" t="s">
        <v>82</v>
      </c>
      <c r="F411" s="72">
        <v>1</v>
      </c>
      <c r="G411" s="73">
        <f t="shared" si="68"/>
        <v>70</v>
      </c>
      <c r="H411" s="73">
        <f t="shared" si="70"/>
        <v>70</v>
      </c>
      <c r="I411" s="73">
        <f t="shared" si="67"/>
        <v>70</v>
      </c>
      <c r="J411" s="72" t="s">
        <v>79</v>
      </c>
      <c r="K411" s="74"/>
      <c r="M411" s="79"/>
      <c r="N411" s="76" t="e">
        <f t="shared" si="69"/>
        <v>#N/A</v>
      </c>
      <c r="O411" s="76" t="e">
        <f t="shared" si="72"/>
        <v>#N/A</v>
      </c>
      <c r="P411" s="112"/>
      <c r="R411" s="79"/>
      <c r="S411" s="76" t="e">
        <f t="shared" si="66"/>
        <v>#N/A</v>
      </c>
      <c r="T411" s="76" t="e">
        <f t="shared" si="71"/>
        <v>#N/A</v>
      </c>
      <c r="U411" s="112"/>
    </row>
    <row r="412" spans="1:21" x14ac:dyDescent="0.25">
      <c r="A412" s="95">
        <v>45656</v>
      </c>
      <c r="B412" s="72" t="s">
        <v>574</v>
      </c>
      <c r="C412" s="72" t="s">
        <v>8</v>
      </c>
      <c r="D412" s="72" t="s">
        <v>40</v>
      </c>
      <c r="E412" s="72" t="s">
        <v>82</v>
      </c>
      <c r="F412" s="72">
        <v>1</v>
      </c>
      <c r="G412" s="73">
        <f t="shared" si="68"/>
        <v>45</v>
      </c>
      <c r="H412" s="73">
        <f t="shared" si="70"/>
        <v>45</v>
      </c>
      <c r="I412" s="73">
        <f t="shared" si="67"/>
        <v>45</v>
      </c>
      <c r="J412" s="72" t="s">
        <v>83</v>
      </c>
      <c r="K412" s="74"/>
      <c r="M412" s="79"/>
      <c r="N412" s="76" t="e">
        <f t="shared" si="69"/>
        <v>#N/A</v>
      </c>
      <c r="O412" s="76" t="e">
        <f t="shared" si="72"/>
        <v>#N/A</v>
      </c>
      <c r="P412" s="112"/>
      <c r="R412" s="79"/>
      <c r="S412" s="76" t="e">
        <f t="shared" si="66"/>
        <v>#N/A</v>
      </c>
      <c r="T412" s="76" t="e">
        <f t="shared" si="71"/>
        <v>#N/A</v>
      </c>
      <c r="U412" s="112"/>
    </row>
    <row r="413" spans="1:21" x14ac:dyDescent="0.25">
      <c r="A413" s="95">
        <v>45656</v>
      </c>
      <c r="B413" s="72" t="s">
        <v>809</v>
      </c>
      <c r="C413" s="72" t="s">
        <v>8</v>
      </c>
      <c r="D413" s="72" t="s">
        <v>18</v>
      </c>
      <c r="E413" s="72" t="s">
        <v>82</v>
      </c>
      <c r="F413" s="72">
        <v>1</v>
      </c>
      <c r="G413" s="73">
        <f t="shared" si="68"/>
        <v>40</v>
      </c>
      <c r="H413" s="73">
        <f t="shared" si="70"/>
        <v>40</v>
      </c>
      <c r="I413" s="73">
        <f t="shared" si="67"/>
        <v>40</v>
      </c>
      <c r="J413" s="72" t="s">
        <v>83</v>
      </c>
      <c r="K413" s="74"/>
      <c r="M413" s="79"/>
      <c r="N413" s="76" t="e">
        <f t="shared" si="69"/>
        <v>#N/A</v>
      </c>
      <c r="O413" s="76" t="e">
        <f t="shared" si="72"/>
        <v>#N/A</v>
      </c>
      <c r="P413" s="112"/>
      <c r="R413" s="79"/>
      <c r="S413" s="76" t="e">
        <f t="shared" si="66"/>
        <v>#N/A</v>
      </c>
      <c r="T413" s="76" t="e">
        <f t="shared" si="71"/>
        <v>#N/A</v>
      </c>
      <c r="U413" s="112"/>
    </row>
    <row r="414" spans="1:21" x14ac:dyDescent="0.25">
      <c r="A414" s="95">
        <v>45656</v>
      </c>
      <c r="B414" s="72" t="s">
        <v>562</v>
      </c>
      <c r="C414" s="72" t="s">
        <v>8</v>
      </c>
      <c r="D414" s="72" t="s">
        <v>21</v>
      </c>
      <c r="E414" s="72" t="s">
        <v>82</v>
      </c>
      <c r="F414" s="72">
        <v>1</v>
      </c>
      <c r="G414" s="73">
        <f t="shared" si="68"/>
        <v>10</v>
      </c>
      <c r="H414" s="73">
        <f t="shared" si="70"/>
        <v>10</v>
      </c>
      <c r="I414" s="73">
        <f t="shared" si="67"/>
        <v>9.5</v>
      </c>
      <c r="J414" s="72" t="s">
        <v>867</v>
      </c>
      <c r="K414" s="74"/>
      <c r="M414" s="79"/>
      <c r="N414" s="76" t="e">
        <f t="shared" si="69"/>
        <v>#N/A</v>
      </c>
      <c r="O414" s="76" t="e">
        <f t="shared" si="72"/>
        <v>#N/A</v>
      </c>
      <c r="P414" s="112"/>
      <c r="R414" s="79"/>
      <c r="S414" s="76" t="e">
        <f t="shared" si="66"/>
        <v>#N/A</v>
      </c>
      <c r="T414" s="76" t="e">
        <f t="shared" si="71"/>
        <v>#N/A</v>
      </c>
      <c r="U414" s="112"/>
    </row>
    <row r="415" spans="1:21" x14ac:dyDescent="0.25">
      <c r="A415" s="95">
        <v>45656</v>
      </c>
      <c r="B415" s="72" t="s">
        <v>983</v>
      </c>
      <c r="C415" s="72" t="s">
        <v>8</v>
      </c>
      <c r="D415" s="72" t="s">
        <v>920</v>
      </c>
      <c r="E415" s="72" t="s">
        <v>82</v>
      </c>
      <c r="F415" s="72">
        <v>1</v>
      </c>
      <c r="G415" s="73">
        <f t="shared" si="68"/>
        <v>80</v>
      </c>
      <c r="H415" s="73">
        <f t="shared" si="70"/>
        <v>80</v>
      </c>
      <c r="I415" s="73">
        <f t="shared" si="67"/>
        <v>80</v>
      </c>
      <c r="J415" s="72" t="s">
        <v>83</v>
      </c>
      <c r="K415" s="74"/>
      <c r="M415" s="79"/>
      <c r="N415" s="76" t="e">
        <f t="shared" si="69"/>
        <v>#N/A</v>
      </c>
      <c r="O415" s="76" t="e">
        <f t="shared" si="72"/>
        <v>#N/A</v>
      </c>
      <c r="P415" s="112"/>
      <c r="R415" s="79"/>
      <c r="S415" s="76" t="e">
        <f t="shared" si="66"/>
        <v>#N/A</v>
      </c>
      <c r="T415" s="76" t="e">
        <f t="shared" si="71"/>
        <v>#N/A</v>
      </c>
      <c r="U415" s="112"/>
    </row>
    <row r="416" spans="1:21" x14ac:dyDescent="0.25">
      <c r="A416" s="95"/>
      <c r="B416" s="72"/>
      <c r="C416" s="72"/>
      <c r="D416" s="72"/>
      <c r="E416" s="72"/>
      <c r="F416" s="72"/>
      <c r="G416" s="73" t="e">
        <f t="shared" si="68"/>
        <v>#N/A</v>
      </c>
      <c r="H416" s="73" t="e">
        <f t="shared" si="70"/>
        <v>#N/A</v>
      </c>
      <c r="I416" s="73" t="b">
        <f t="shared" si="67"/>
        <v>0</v>
      </c>
      <c r="J416" s="72"/>
      <c r="K416" s="74"/>
      <c r="M416" s="79"/>
      <c r="N416" s="76" t="e">
        <f t="shared" si="69"/>
        <v>#N/A</v>
      </c>
      <c r="O416" s="76" t="e">
        <f t="shared" si="72"/>
        <v>#N/A</v>
      </c>
      <c r="P416" s="112"/>
      <c r="R416" s="79"/>
      <c r="S416" s="76" t="e">
        <f t="shared" si="66"/>
        <v>#N/A</v>
      </c>
      <c r="T416" s="76" t="e">
        <f t="shared" si="71"/>
        <v>#N/A</v>
      </c>
      <c r="U416" s="112"/>
    </row>
    <row r="417" spans="1:21" x14ac:dyDescent="0.25">
      <c r="A417" s="95"/>
      <c r="B417" s="72" t="s">
        <v>839</v>
      </c>
      <c r="C417" s="72" t="s">
        <v>8</v>
      </c>
      <c r="D417" s="72" t="s">
        <v>15</v>
      </c>
      <c r="E417" s="72" t="s">
        <v>82</v>
      </c>
      <c r="F417" s="72">
        <v>1</v>
      </c>
      <c r="G417" s="73">
        <f t="shared" si="68"/>
        <v>70</v>
      </c>
      <c r="H417" s="73">
        <f t="shared" si="70"/>
        <v>70</v>
      </c>
      <c r="I417" s="73">
        <f t="shared" si="67"/>
        <v>68.319999999999993</v>
      </c>
      <c r="J417" s="72" t="s">
        <v>869</v>
      </c>
      <c r="K417" s="74"/>
      <c r="M417" s="79"/>
      <c r="N417" s="76" t="e">
        <f t="shared" si="69"/>
        <v>#N/A</v>
      </c>
      <c r="O417" s="76" t="e">
        <f t="shared" si="72"/>
        <v>#N/A</v>
      </c>
      <c r="P417" s="112"/>
      <c r="R417" s="79"/>
      <c r="S417" s="76" t="e">
        <f t="shared" si="66"/>
        <v>#N/A</v>
      </c>
      <c r="T417" s="76" t="e">
        <f t="shared" si="71"/>
        <v>#N/A</v>
      </c>
      <c r="U417" s="112"/>
    </row>
    <row r="418" spans="1:21" x14ac:dyDescent="0.25">
      <c r="A418" s="95"/>
      <c r="B418" s="72"/>
      <c r="C418" s="72"/>
      <c r="D418" s="72"/>
      <c r="E418" s="72"/>
      <c r="F418" s="72"/>
      <c r="G418" s="73" t="e">
        <f t="shared" si="68"/>
        <v>#N/A</v>
      </c>
      <c r="H418" s="73" t="e">
        <f t="shared" si="70"/>
        <v>#N/A</v>
      </c>
      <c r="I418" s="73" t="b">
        <f t="shared" si="67"/>
        <v>0</v>
      </c>
      <c r="J418" s="72"/>
      <c r="K418" s="74"/>
      <c r="M418" s="79"/>
      <c r="N418" s="76" t="e">
        <f t="shared" si="69"/>
        <v>#N/A</v>
      </c>
      <c r="O418" s="76" t="e">
        <f t="shared" si="72"/>
        <v>#N/A</v>
      </c>
      <c r="P418" s="112"/>
      <c r="R418" s="79"/>
      <c r="S418" s="76" t="e">
        <f t="shared" si="66"/>
        <v>#N/A</v>
      </c>
      <c r="T418" s="76" t="e">
        <f t="shared" si="71"/>
        <v>#N/A</v>
      </c>
      <c r="U418" s="112"/>
    </row>
    <row r="419" spans="1:21" x14ac:dyDescent="0.25">
      <c r="A419" s="95"/>
      <c r="B419" s="72"/>
      <c r="C419" s="72"/>
      <c r="D419" s="72"/>
      <c r="E419" s="72"/>
      <c r="F419" s="72"/>
      <c r="G419" s="73" t="e">
        <f t="shared" si="68"/>
        <v>#N/A</v>
      </c>
      <c r="H419" s="73" t="e">
        <f t="shared" si="70"/>
        <v>#N/A</v>
      </c>
      <c r="I419" s="73" t="b">
        <f t="shared" si="67"/>
        <v>0</v>
      </c>
      <c r="J419" s="72"/>
      <c r="K419" s="74"/>
      <c r="M419" s="79"/>
      <c r="N419" s="76" t="e">
        <f t="shared" si="69"/>
        <v>#N/A</v>
      </c>
      <c r="O419" s="76" t="e">
        <f t="shared" si="72"/>
        <v>#N/A</v>
      </c>
      <c r="P419" s="112"/>
      <c r="R419" s="79"/>
      <c r="S419" s="76" t="e">
        <f t="shared" si="66"/>
        <v>#N/A</v>
      </c>
      <c r="T419" s="76" t="e">
        <f t="shared" si="71"/>
        <v>#N/A</v>
      </c>
      <c r="U419" s="112"/>
    </row>
    <row r="420" spans="1:21" x14ac:dyDescent="0.25">
      <c r="A420" s="95"/>
      <c r="B420" s="72"/>
      <c r="C420" s="72"/>
      <c r="D420" s="72"/>
      <c r="E420" s="72"/>
      <c r="F420" s="72"/>
      <c r="G420" s="73" t="e">
        <f t="shared" si="68"/>
        <v>#N/A</v>
      </c>
      <c r="H420" s="73" t="e">
        <f t="shared" si="70"/>
        <v>#N/A</v>
      </c>
      <c r="I420" s="73" t="b">
        <f t="shared" si="67"/>
        <v>0</v>
      </c>
      <c r="J420" s="72"/>
      <c r="K420" s="74"/>
      <c r="M420" s="79"/>
      <c r="N420" s="76" t="e">
        <f t="shared" si="69"/>
        <v>#N/A</v>
      </c>
      <c r="O420" s="76" t="e">
        <f t="shared" si="72"/>
        <v>#N/A</v>
      </c>
      <c r="P420" s="112"/>
      <c r="R420" s="79"/>
      <c r="S420" s="76" t="e">
        <f t="shared" si="66"/>
        <v>#N/A</v>
      </c>
      <c r="T420" s="76" t="e">
        <f t="shared" si="71"/>
        <v>#N/A</v>
      </c>
      <c r="U420" s="112"/>
    </row>
    <row r="421" spans="1:21" x14ac:dyDescent="0.25">
      <c r="A421" s="95"/>
      <c r="B421" s="72"/>
      <c r="C421" s="72"/>
      <c r="D421" s="72"/>
      <c r="E421" s="72"/>
      <c r="F421" s="72"/>
      <c r="G421" s="73" t="e">
        <f t="shared" si="68"/>
        <v>#N/A</v>
      </c>
      <c r="H421" s="73" t="e">
        <f t="shared" si="70"/>
        <v>#N/A</v>
      </c>
      <c r="I421" s="73" t="b">
        <f t="shared" si="67"/>
        <v>0</v>
      </c>
      <c r="J421" s="72"/>
      <c r="K421" s="74"/>
      <c r="M421" s="79"/>
      <c r="N421" s="76" t="e">
        <f t="shared" si="69"/>
        <v>#N/A</v>
      </c>
      <c r="O421" s="76" t="e">
        <f t="shared" si="72"/>
        <v>#N/A</v>
      </c>
      <c r="P421" s="112"/>
      <c r="R421" s="79"/>
      <c r="S421" s="76" t="e">
        <f t="shared" si="66"/>
        <v>#N/A</v>
      </c>
      <c r="T421" s="76" t="e">
        <f t="shared" si="71"/>
        <v>#N/A</v>
      </c>
      <c r="U421" s="112"/>
    </row>
    <row r="422" spans="1:21" x14ac:dyDescent="0.25">
      <c r="A422" s="95"/>
      <c r="B422" s="72"/>
      <c r="C422" s="72"/>
      <c r="D422" s="72"/>
      <c r="E422" s="72"/>
      <c r="F422" s="72"/>
      <c r="G422" s="73" t="e">
        <f t="shared" si="68"/>
        <v>#N/A</v>
      </c>
      <c r="H422" s="73" t="e">
        <f t="shared" si="70"/>
        <v>#N/A</v>
      </c>
      <c r="I422" s="73" t="b">
        <f t="shared" si="67"/>
        <v>0</v>
      </c>
      <c r="J422" s="72"/>
      <c r="K422" s="74"/>
      <c r="M422" s="79"/>
      <c r="N422" s="76" t="e">
        <f t="shared" si="69"/>
        <v>#N/A</v>
      </c>
      <c r="O422" s="76" t="e">
        <f t="shared" si="72"/>
        <v>#N/A</v>
      </c>
      <c r="P422" s="112"/>
      <c r="R422" s="79"/>
      <c r="S422" s="76" t="e">
        <f t="shared" si="66"/>
        <v>#N/A</v>
      </c>
      <c r="T422" s="76" t="e">
        <f t="shared" si="71"/>
        <v>#N/A</v>
      </c>
      <c r="U422" s="112"/>
    </row>
    <row r="423" spans="1:21" x14ac:dyDescent="0.25">
      <c r="A423" s="95"/>
      <c r="B423" s="72"/>
      <c r="C423" s="72"/>
      <c r="D423" s="72"/>
      <c r="E423" s="72"/>
      <c r="F423" s="72"/>
      <c r="G423" s="73" t="e">
        <f t="shared" si="68"/>
        <v>#N/A</v>
      </c>
      <c r="H423" s="73" t="e">
        <f t="shared" si="70"/>
        <v>#N/A</v>
      </c>
      <c r="I423" s="73" t="b">
        <f t="shared" si="67"/>
        <v>0</v>
      </c>
      <c r="J423" s="72"/>
      <c r="K423" s="74"/>
      <c r="M423" s="79"/>
      <c r="N423" s="76" t="e">
        <f t="shared" si="69"/>
        <v>#N/A</v>
      </c>
      <c r="O423" s="76" t="e">
        <f t="shared" si="72"/>
        <v>#N/A</v>
      </c>
      <c r="P423" s="112"/>
      <c r="R423" s="79"/>
      <c r="S423" s="76" t="e">
        <f t="shared" si="66"/>
        <v>#N/A</v>
      </c>
      <c r="T423" s="76" t="e">
        <f t="shared" si="71"/>
        <v>#N/A</v>
      </c>
      <c r="U423" s="112"/>
    </row>
    <row r="424" spans="1:21" x14ac:dyDescent="0.25">
      <c r="A424" s="95"/>
      <c r="B424" s="72"/>
      <c r="C424" s="72"/>
      <c r="D424" s="72"/>
      <c r="E424" s="72"/>
      <c r="F424" s="72"/>
      <c r="G424" s="73" t="e">
        <f t="shared" si="68"/>
        <v>#N/A</v>
      </c>
      <c r="H424" s="73" t="e">
        <f t="shared" si="70"/>
        <v>#N/A</v>
      </c>
      <c r="I424" s="73" t="b">
        <f t="shared" si="67"/>
        <v>0</v>
      </c>
      <c r="J424" s="72"/>
      <c r="K424" s="74"/>
      <c r="M424" s="79"/>
      <c r="N424" s="76" t="e">
        <f t="shared" si="69"/>
        <v>#N/A</v>
      </c>
      <c r="O424" s="76" t="e">
        <f t="shared" si="72"/>
        <v>#N/A</v>
      </c>
      <c r="P424" s="112"/>
      <c r="R424" s="79"/>
      <c r="S424" s="76" t="e">
        <f t="shared" si="66"/>
        <v>#N/A</v>
      </c>
      <c r="T424" s="76" t="e">
        <f t="shared" si="71"/>
        <v>#N/A</v>
      </c>
      <c r="U424" s="112"/>
    </row>
    <row r="425" spans="1:21" x14ac:dyDescent="0.25">
      <c r="A425" s="95"/>
      <c r="B425" s="72"/>
      <c r="C425" s="72"/>
      <c r="D425" s="72"/>
      <c r="E425" s="72"/>
      <c r="F425" s="72"/>
      <c r="G425" s="73" t="e">
        <f t="shared" si="68"/>
        <v>#N/A</v>
      </c>
      <c r="H425" s="73" t="e">
        <f t="shared" si="70"/>
        <v>#N/A</v>
      </c>
      <c r="I425" s="73" t="b">
        <f t="shared" si="67"/>
        <v>0</v>
      </c>
      <c r="J425" s="72"/>
      <c r="K425" s="74"/>
      <c r="M425" s="79"/>
      <c r="N425" s="76" t="e">
        <f t="shared" si="69"/>
        <v>#N/A</v>
      </c>
      <c r="O425" s="76" t="e">
        <f t="shared" si="72"/>
        <v>#N/A</v>
      </c>
      <c r="P425" s="112"/>
      <c r="R425" s="79"/>
      <c r="S425" s="76" t="e">
        <f t="shared" si="66"/>
        <v>#N/A</v>
      </c>
      <c r="T425" s="76" t="e">
        <f t="shared" si="71"/>
        <v>#N/A</v>
      </c>
      <c r="U425" s="112"/>
    </row>
    <row r="426" spans="1:21" x14ac:dyDescent="0.25">
      <c r="A426" s="95"/>
      <c r="B426" s="72"/>
      <c r="C426" s="72"/>
      <c r="D426" s="72"/>
      <c r="E426" s="72"/>
      <c r="F426" s="72"/>
      <c r="G426" s="73" t="e">
        <f t="shared" si="68"/>
        <v>#N/A</v>
      </c>
      <c r="H426" s="73" t="e">
        <f t="shared" si="70"/>
        <v>#N/A</v>
      </c>
      <c r="I426" s="73" t="b">
        <f t="shared" si="67"/>
        <v>0</v>
      </c>
      <c r="J426" s="72"/>
      <c r="K426" s="74"/>
      <c r="M426" s="79"/>
      <c r="N426" s="76" t="e">
        <f t="shared" si="69"/>
        <v>#N/A</v>
      </c>
      <c r="O426" s="76" t="e">
        <f t="shared" si="72"/>
        <v>#N/A</v>
      </c>
      <c r="P426" s="112"/>
      <c r="R426" s="79"/>
      <c r="S426" s="76" t="e">
        <f t="shared" si="66"/>
        <v>#N/A</v>
      </c>
      <c r="T426" s="76" t="e">
        <f t="shared" si="71"/>
        <v>#N/A</v>
      </c>
      <c r="U426" s="112"/>
    </row>
    <row r="427" spans="1:21" x14ac:dyDescent="0.25">
      <c r="A427" s="95"/>
      <c r="B427" s="72"/>
      <c r="C427" s="72"/>
      <c r="D427" s="72"/>
      <c r="E427" s="72"/>
      <c r="F427" s="72"/>
      <c r="G427" s="73" t="e">
        <f t="shared" si="68"/>
        <v>#N/A</v>
      </c>
      <c r="H427" s="73" t="e">
        <f t="shared" si="70"/>
        <v>#N/A</v>
      </c>
      <c r="I427" s="73" t="b">
        <f t="shared" si="67"/>
        <v>0</v>
      </c>
      <c r="J427" s="72"/>
      <c r="K427" s="74"/>
      <c r="M427" s="79"/>
      <c r="N427" s="76" t="e">
        <f t="shared" si="69"/>
        <v>#N/A</v>
      </c>
      <c r="O427" s="76" t="e">
        <f t="shared" si="72"/>
        <v>#N/A</v>
      </c>
      <c r="P427" s="112"/>
      <c r="R427" s="79"/>
      <c r="S427" s="76" t="e">
        <f t="shared" si="66"/>
        <v>#N/A</v>
      </c>
      <c r="T427" s="76" t="e">
        <f t="shared" si="71"/>
        <v>#N/A</v>
      </c>
      <c r="U427" s="112"/>
    </row>
    <row r="428" spans="1:21" x14ac:dyDescent="0.25">
      <c r="A428" s="95"/>
      <c r="B428" s="72"/>
      <c r="C428" s="72"/>
      <c r="D428" s="72"/>
      <c r="E428" s="72"/>
      <c r="F428" s="72"/>
      <c r="G428" s="73" t="e">
        <f t="shared" si="68"/>
        <v>#N/A</v>
      </c>
      <c r="H428" s="73" t="e">
        <f t="shared" si="70"/>
        <v>#N/A</v>
      </c>
      <c r="I428" s="73" t="b">
        <f t="shared" si="67"/>
        <v>0</v>
      </c>
      <c r="J428" s="72"/>
      <c r="K428" s="74"/>
      <c r="M428" s="79"/>
      <c r="N428" s="76" t="e">
        <f t="shared" si="69"/>
        <v>#N/A</v>
      </c>
      <c r="O428" s="76" t="e">
        <f t="shared" si="72"/>
        <v>#N/A</v>
      </c>
      <c r="P428" s="112"/>
      <c r="R428" s="79"/>
      <c r="S428" s="76" t="e">
        <f t="shared" si="66"/>
        <v>#N/A</v>
      </c>
      <c r="T428" s="76" t="e">
        <f t="shared" si="71"/>
        <v>#N/A</v>
      </c>
      <c r="U428" s="112"/>
    </row>
    <row r="429" spans="1:21" x14ac:dyDescent="0.25">
      <c r="A429" s="95"/>
      <c r="B429" s="72"/>
      <c r="C429" s="72"/>
      <c r="D429" s="72"/>
      <c r="E429" s="72"/>
      <c r="F429" s="72"/>
      <c r="G429" s="73" t="e">
        <f t="shared" si="68"/>
        <v>#N/A</v>
      </c>
      <c r="H429" s="73" t="e">
        <f t="shared" si="70"/>
        <v>#N/A</v>
      </c>
      <c r="I429" s="73" t="b">
        <f t="shared" si="67"/>
        <v>0</v>
      </c>
      <c r="J429" s="72"/>
      <c r="K429" s="74"/>
      <c r="M429" s="79"/>
      <c r="N429" s="76" t="e">
        <f t="shared" si="69"/>
        <v>#N/A</v>
      </c>
      <c r="O429" s="76" t="e">
        <f t="shared" si="72"/>
        <v>#N/A</v>
      </c>
      <c r="P429" s="112"/>
      <c r="R429" s="79"/>
      <c r="S429" s="76" t="e">
        <f t="shared" si="66"/>
        <v>#N/A</v>
      </c>
      <c r="T429" s="76" t="e">
        <f t="shared" si="71"/>
        <v>#N/A</v>
      </c>
      <c r="U429" s="112"/>
    </row>
    <row r="430" spans="1:21" x14ac:dyDescent="0.25">
      <c r="A430" s="95"/>
      <c r="B430" s="72"/>
      <c r="C430" s="72"/>
      <c r="D430" s="72"/>
      <c r="E430" s="72"/>
      <c r="F430" s="72"/>
      <c r="G430" s="73" t="e">
        <f t="shared" si="68"/>
        <v>#N/A</v>
      </c>
      <c r="H430" s="73" t="e">
        <f t="shared" si="70"/>
        <v>#N/A</v>
      </c>
      <c r="I430" s="73" t="b">
        <f t="shared" si="67"/>
        <v>0</v>
      </c>
      <c r="J430" s="72"/>
      <c r="K430" s="74"/>
      <c r="M430" s="79"/>
      <c r="N430" s="76" t="e">
        <f t="shared" si="69"/>
        <v>#N/A</v>
      </c>
      <c r="O430" s="76" t="e">
        <f t="shared" si="72"/>
        <v>#N/A</v>
      </c>
      <c r="P430" s="112"/>
      <c r="R430" s="79"/>
      <c r="S430" s="76" t="e">
        <f t="shared" si="66"/>
        <v>#N/A</v>
      </c>
      <c r="T430" s="76" t="e">
        <f t="shared" si="71"/>
        <v>#N/A</v>
      </c>
      <c r="U430" s="112"/>
    </row>
    <row r="431" spans="1:21" x14ac:dyDescent="0.25">
      <c r="A431" s="95"/>
      <c r="B431" s="72"/>
      <c r="C431" s="72"/>
      <c r="D431" s="72"/>
      <c r="E431" s="72"/>
      <c r="F431" s="72"/>
      <c r="G431" s="73" t="e">
        <f t="shared" si="68"/>
        <v>#N/A</v>
      </c>
      <c r="H431" s="73" t="e">
        <f t="shared" si="70"/>
        <v>#N/A</v>
      </c>
      <c r="I431" s="73" t="b">
        <f t="shared" si="67"/>
        <v>0</v>
      </c>
      <c r="J431" s="72"/>
      <c r="K431" s="74"/>
      <c r="M431" s="85"/>
      <c r="N431" s="86" t="e">
        <f t="shared" si="69"/>
        <v>#N/A</v>
      </c>
      <c r="O431" s="86" t="e">
        <f t="shared" si="72"/>
        <v>#N/A</v>
      </c>
      <c r="P431" s="104"/>
      <c r="R431" s="85"/>
      <c r="S431" s="86" t="e">
        <f t="shared" si="66"/>
        <v>#N/A</v>
      </c>
      <c r="T431" s="76" t="e">
        <f t="shared" si="71"/>
        <v>#N/A</v>
      </c>
      <c r="U431" s="104"/>
    </row>
    <row r="432" spans="1:21" ht="15.75" x14ac:dyDescent="0.25">
      <c r="H432" s="73">
        <f t="shared" si="70"/>
        <v>0</v>
      </c>
      <c r="I432" s="88"/>
      <c r="O432" s="89" t="e">
        <f>SUM(O3:O431)</f>
        <v>#N/A</v>
      </c>
      <c r="P432" s="2"/>
      <c r="T432" s="89" t="e">
        <f>SUM(T3:T431)</f>
        <v>#N/A</v>
      </c>
      <c r="U432" s="2"/>
    </row>
    <row r="433" spans="16:21" x14ac:dyDescent="0.25">
      <c r="P433" s="2"/>
      <c r="U433" s="2"/>
    </row>
    <row r="434" spans="16:21" x14ac:dyDescent="0.25">
      <c r="P434" s="2"/>
      <c r="U434" s="2"/>
    </row>
    <row r="435" spans="16:21" x14ac:dyDescent="0.25">
      <c r="P435" s="2"/>
      <c r="U435" s="2"/>
    </row>
    <row r="436" spans="16:21" x14ac:dyDescent="0.25">
      <c r="P436" s="2"/>
      <c r="U436" s="2"/>
    </row>
    <row r="437" spans="16:21" x14ac:dyDescent="0.25">
      <c r="P437" s="2"/>
      <c r="U437" s="2"/>
    </row>
    <row r="438" spans="16:21" x14ac:dyDescent="0.25">
      <c r="P438" s="2"/>
      <c r="U438" s="2"/>
    </row>
    <row r="439" spans="16:21" x14ac:dyDescent="0.25">
      <c r="P439" s="2"/>
      <c r="U439" s="2"/>
    </row>
    <row r="440" spans="16:21" x14ac:dyDescent="0.25">
      <c r="P440" s="2"/>
      <c r="U440" s="2"/>
    </row>
    <row r="441" spans="16:21" x14ac:dyDescent="0.25">
      <c r="P441" s="2"/>
      <c r="U441" s="2"/>
    </row>
    <row r="442" spans="16:21" x14ac:dyDescent="0.25">
      <c r="P442" s="2"/>
      <c r="U442" s="2"/>
    </row>
    <row r="443" spans="16:21" x14ac:dyDescent="0.25">
      <c r="P443" s="2"/>
      <c r="U443" s="2"/>
    </row>
    <row r="444" spans="16:21" x14ac:dyDescent="0.25">
      <c r="P444" s="2"/>
      <c r="U444" s="2"/>
    </row>
    <row r="445" spans="16:21" x14ac:dyDescent="0.25">
      <c r="P445" s="2"/>
      <c r="U445" s="2"/>
    </row>
    <row r="446" spans="16:21" x14ac:dyDescent="0.25">
      <c r="P446" s="2"/>
      <c r="U446" s="2"/>
    </row>
    <row r="447" spans="16:21" x14ac:dyDescent="0.25">
      <c r="P447" s="2"/>
      <c r="U447" s="2"/>
    </row>
    <row r="448" spans="16:21" x14ac:dyDescent="0.25">
      <c r="P448" s="2"/>
      <c r="U448" s="2"/>
    </row>
    <row r="449" spans="16:21" x14ac:dyDescent="0.25">
      <c r="P449" s="2"/>
      <c r="U449" s="2"/>
    </row>
    <row r="450" spans="16:21" x14ac:dyDescent="0.25">
      <c r="P450" s="2"/>
      <c r="U450" s="2"/>
    </row>
    <row r="451" spans="16:21" x14ac:dyDescent="0.25">
      <c r="P451" s="2"/>
      <c r="U451" s="2"/>
    </row>
    <row r="452" spans="16:21" x14ac:dyDescent="0.25">
      <c r="P452" s="2"/>
      <c r="U452" s="2"/>
    </row>
    <row r="453" spans="16:21" x14ac:dyDescent="0.25">
      <c r="P453" s="2"/>
      <c r="U45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L15" sqref="L15"/>
    </sheetView>
  </sheetViews>
  <sheetFormatPr defaultRowHeight="15" x14ac:dyDescent="0.25"/>
  <cols>
    <col min="1" max="1" width="21.42578125" bestFit="1" customWidth="1"/>
    <col min="2" max="2" width="19.140625" bestFit="1" customWidth="1"/>
    <col min="3" max="3" width="6.5703125" bestFit="1" customWidth="1"/>
    <col min="5" max="5" width="15.42578125" bestFit="1" customWidth="1"/>
    <col min="6" max="6" width="27.140625" bestFit="1" customWidth="1"/>
  </cols>
  <sheetData>
    <row r="1" spans="1:6" x14ac:dyDescent="0.25">
      <c r="A1" s="114" t="s">
        <v>984</v>
      </c>
      <c r="B1" s="114"/>
      <c r="C1" s="115"/>
    </row>
    <row r="2" spans="1:6" x14ac:dyDescent="0.25">
      <c r="A2" s="114" t="s">
        <v>985</v>
      </c>
      <c r="B2" s="116" t="s">
        <v>986</v>
      </c>
      <c r="C2" s="117" t="s">
        <v>987</v>
      </c>
      <c r="E2" s="6" t="s">
        <v>53</v>
      </c>
      <c r="F2" s="118" t="s">
        <v>988</v>
      </c>
    </row>
    <row r="3" spans="1:6" x14ac:dyDescent="0.25">
      <c r="A3" s="119">
        <v>43101</v>
      </c>
      <c r="B3" s="120">
        <v>1437.95</v>
      </c>
      <c r="C3" s="121">
        <f>B3/$B$3-1</f>
        <v>0</v>
      </c>
      <c r="E3" s="122">
        <v>43221</v>
      </c>
      <c r="F3" s="123">
        <v>2164.5</v>
      </c>
    </row>
    <row r="4" spans="1:6" x14ac:dyDescent="0.25">
      <c r="A4" s="119">
        <v>43132</v>
      </c>
      <c r="B4" s="120">
        <v>2127.19</v>
      </c>
      <c r="C4" s="121">
        <f>B4/$B$4-1</f>
        <v>0</v>
      </c>
      <c r="E4" s="124">
        <v>0</v>
      </c>
      <c r="F4" s="125">
        <v>2164.5</v>
      </c>
    </row>
    <row r="5" spans="1:6" x14ac:dyDescent="0.25">
      <c r="A5" s="119">
        <v>43160</v>
      </c>
      <c r="B5" s="120">
        <v>2306.9499999999998</v>
      </c>
      <c r="C5" s="121">
        <f>B5/$B$5-1</f>
        <v>0</v>
      </c>
      <c r="E5" s="122">
        <v>43586</v>
      </c>
      <c r="F5" s="123">
        <v>3031</v>
      </c>
    </row>
    <row r="6" spans="1:6" x14ac:dyDescent="0.25">
      <c r="A6" s="119">
        <v>43191</v>
      </c>
      <c r="B6" s="120">
        <v>2123.5</v>
      </c>
      <c r="C6" s="121">
        <f>B6/$B$6-1</f>
        <v>0</v>
      </c>
      <c r="E6" s="124">
        <v>0.40032340032340002</v>
      </c>
      <c r="F6" s="125">
        <v>3031</v>
      </c>
    </row>
    <row r="7" spans="1:6" x14ac:dyDescent="0.25">
      <c r="A7" s="119">
        <v>43221</v>
      </c>
      <c r="B7" s="120">
        <v>2164.5</v>
      </c>
      <c r="C7" s="121">
        <f>B7/$B$7-1</f>
        <v>0</v>
      </c>
      <c r="E7" s="122">
        <v>43952</v>
      </c>
      <c r="F7" s="123">
        <v>2080.4899999999998</v>
      </c>
    </row>
    <row r="8" spans="1:6" x14ac:dyDescent="0.25">
      <c r="A8" s="119">
        <v>43252</v>
      </c>
      <c r="B8" s="120">
        <v>238.95</v>
      </c>
      <c r="C8" s="121">
        <f>B8/$B$8-1</f>
        <v>0</v>
      </c>
      <c r="E8" s="124">
        <v>-3.8812658812658898E-2</v>
      </c>
      <c r="F8" s="125">
        <v>2080.4899999999998</v>
      </c>
    </row>
    <row r="9" spans="1:6" x14ac:dyDescent="0.25">
      <c r="A9" s="119">
        <v>43282</v>
      </c>
      <c r="B9" s="120">
        <v>2536</v>
      </c>
      <c r="C9" s="121">
        <f>B9/$B$9-1</f>
        <v>0</v>
      </c>
      <c r="E9" s="122">
        <v>44317</v>
      </c>
      <c r="F9" s="123">
        <v>3713.06</v>
      </c>
    </row>
    <row r="10" spans="1:6" x14ac:dyDescent="0.25">
      <c r="A10" s="119">
        <v>43313</v>
      </c>
      <c r="B10" s="120">
        <v>3027.5</v>
      </c>
      <c r="C10" s="121">
        <f>B10/$B$10-1</f>
        <v>0</v>
      </c>
      <c r="E10" s="124">
        <v>0.71543543543543497</v>
      </c>
      <c r="F10" s="125">
        <v>3713.06</v>
      </c>
    </row>
    <row r="11" spans="1:6" x14ac:dyDescent="0.25">
      <c r="A11" s="119">
        <v>43344</v>
      </c>
      <c r="B11" s="120">
        <v>2922</v>
      </c>
      <c r="C11" s="121">
        <f>B11/$B$11-1</f>
        <v>0</v>
      </c>
      <c r="E11" s="122">
        <v>44682</v>
      </c>
      <c r="F11" s="123">
        <v>1267.1099999999999</v>
      </c>
    </row>
    <row r="12" spans="1:6" x14ac:dyDescent="0.25">
      <c r="A12" s="119">
        <v>43374</v>
      </c>
      <c r="B12" s="120">
        <v>3068</v>
      </c>
      <c r="C12" s="121">
        <f>B12/$B$12-1</f>
        <v>0</v>
      </c>
      <c r="E12" s="124">
        <v>-0.41459459459459502</v>
      </c>
      <c r="F12" s="125">
        <v>1267.1099999999999</v>
      </c>
    </row>
    <row r="13" spans="1:6" x14ac:dyDescent="0.25">
      <c r="A13" s="119">
        <v>43405</v>
      </c>
      <c r="B13" s="120">
        <v>2853.7</v>
      </c>
      <c r="C13" s="121">
        <f>B13/$B$13-1</f>
        <v>0</v>
      </c>
      <c r="E13" s="122">
        <v>45047</v>
      </c>
      <c r="F13" s="123">
        <v>6214.17</v>
      </c>
    </row>
    <row r="14" spans="1:6" x14ac:dyDescent="0.25">
      <c r="A14" s="119">
        <v>43435</v>
      </c>
      <c r="B14" s="120">
        <v>3935</v>
      </c>
      <c r="C14" s="121">
        <f>B14/$B$14-1</f>
        <v>0</v>
      </c>
      <c r="E14" s="124">
        <v>1.87094941094941</v>
      </c>
      <c r="F14" s="125">
        <v>6214.17</v>
      </c>
    </row>
    <row r="15" spans="1:6" x14ac:dyDescent="0.25">
      <c r="A15" s="119">
        <v>43466</v>
      </c>
      <c r="B15" s="120">
        <v>1806</v>
      </c>
      <c r="C15" s="121">
        <f>B15/$B$3-1</f>
        <v>0.25595465767238079</v>
      </c>
      <c r="E15" s="122">
        <v>45413</v>
      </c>
      <c r="F15" s="123">
        <v>10929.754300000001</v>
      </c>
    </row>
    <row r="16" spans="1:6" x14ac:dyDescent="0.25">
      <c r="A16" s="119">
        <v>43497</v>
      </c>
      <c r="B16" s="120">
        <v>2675</v>
      </c>
      <c r="C16" s="121">
        <f>B16/$B$4-1</f>
        <v>0.25752753632726733</v>
      </c>
      <c r="E16" s="124">
        <v>4.0495515361515402</v>
      </c>
      <c r="F16" s="125">
        <v>10929.754300000001</v>
      </c>
    </row>
    <row r="17" spans="1:6" x14ac:dyDescent="0.25">
      <c r="A17" s="119">
        <v>43525</v>
      </c>
      <c r="B17" s="120">
        <v>3205</v>
      </c>
      <c r="C17" s="121">
        <f>B17/$B$5-1</f>
        <v>0.38928021847027461</v>
      </c>
      <c r="E17" s="126" t="s">
        <v>11</v>
      </c>
      <c r="F17" s="127">
        <v>29400.084299999999</v>
      </c>
    </row>
    <row r="18" spans="1:6" x14ac:dyDescent="0.25">
      <c r="A18" s="119">
        <v>43556</v>
      </c>
      <c r="B18" s="120">
        <v>2616</v>
      </c>
      <c r="C18" s="121">
        <f>B18/$B$6-1</f>
        <v>0.23192842006121972</v>
      </c>
    </row>
    <row r="19" spans="1:6" x14ac:dyDescent="0.25">
      <c r="A19" s="119">
        <v>43586</v>
      </c>
      <c r="B19" s="120">
        <v>3031</v>
      </c>
      <c r="C19" s="121">
        <f>B19/$B$7-1</f>
        <v>0.40032340032340041</v>
      </c>
    </row>
    <row r="20" spans="1:6" x14ac:dyDescent="0.25">
      <c r="A20" s="119">
        <v>43617</v>
      </c>
      <c r="B20" s="120">
        <v>3142.88</v>
      </c>
      <c r="C20" s="121">
        <f>B20/$B$8-1</f>
        <v>12.152877170956268</v>
      </c>
    </row>
    <row r="21" spans="1:6" x14ac:dyDescent="0.25">
      <c r="A21" s="119">
        <v>43647</v>
      </c>
      <c r="B21" s="120">
        <v>3631.69</v>
      </c>
      <c r="C21" s="121">
        <f>B21/$B$9-1</f>
        <v>0.43205441640378561</v>
      </c>
    </row>
    <row r="22" spans="1:6" x14ac:dyDescent="0.25">
      <c r="A22" s="119">
        <v>43678</v>
      </c>
      <c r="B22" s="120">
        <v>4430.28</v>
      </c>
      <c r="C22" s="121">
        <f>B22/$B$10-1</f>
        <v>0.46334599504541685</v>
      </c>
    </row>
    <row r="23" spans="1:6" x14ac:dyDescent="0.25">
      <c r="A23" s="119">
        <v>43709</v>
      </c>
      <c r="B23" s="120">
        <v>3612.83</v>
      </c>
      <c r="C23" s="121">
        <f>B23/$B$11-1</f>
        <v>0.23642368240930867</v>
      </c>
    </row>
    <row r="24" spans="1:6" x14ac:dyDescent="0.25">
      <c r="A24" s="119">
        <v>43739</v>
      </c>
      <c r="B24" s="120">
        <v>3644.6</v>
      </c>
      <c r="C24" s="121">
        <f>B24/$B$12-1</f>
        <v>0.18794002607561922</v>
      </c>
    </row>
    <row r="25" spans="1:6" x14ac:dyDescent="0.25">
      <c r="A25" s="119">
        <v>43770</v>
      </c>
      <c r="B25" s="120">
        <v>4895.75</v>
      </c>
      <c r="C25" s="121">
        <f>B25/$B$13-1</f>
        <v>0.71557977362722092</v>
      </c>
    </row>
    <row r="26" spans="1:6" x14ac:dyDescent="0.25">
      <c r="A26" s="119">
        <v>43800</v>
      </c>
      <c r="B26" s="120">
        <v>5318.8</v>
      </c>
      <c r="C26" s="121">
        <f>B26/$B$14-1</f>
        <v>0.35166454891994925</v>
      </c>
    </row>
    <row r="27" spans="1:6" x14ac:dyDescent="0.25">
      <c r="A27" s="119">
        <v>43831</v>
      </c>
      <c r="B27" s="120">
        <v>2896.43</v>
      </c>
      <c r="C27" s="121">
        <f>B27/$B$3-1</f>
        <v>1.0142772697242601</v>
      </c>
    </row>
    <row r="28" spans="1:6" x14ac:dyDescent="0.25">
      <c r="A28" s="119">
        <v>43862</v>
      </c>
      <c r="B28" s="120">
        <v>3923.22</v>
      </c>
      <c r="C28" s="121">
        <f>B28/$B$4-1</f>
        <v>0.84432044152144359</v>
      </c>
    </row>
    <row r="29" spans="1:6" x14ac:dyDescent="0.25">
      <c r="A29" s="119">
        <v>43891</v>
      </c>
      <c r="B29" s="120">
        <v>3337</v>
      </c>
      <c r="C29" s="121">
        <f>B29/$B$5-1</f>
        <v>0.44649862372396476</v>
      </c>
    </row>
    <row r="30" spans="1:6" x14ac:dyDescent="0.25">
      <c r="A30" s="119">
        <v>43922</v>
      </c>
      <c r="B30" s="120">
        <v>2435.58</v>
      </c>
      <c r="C30" s="121">
        <f>B30/$B$6-1</f>
        <v>0.14696491641158471</v>
      </c>
    </row>
    <row r="31" spans="1:6" x14ac:dyDescent="0.25">
      <c r="A31" s="119">
        <v>43952</v>
      </c>
      <c r="B31" s="120">
        <v>2080.4899999999998</v>
      </c>
      <c r="C31" s="121">
        <f>B31/$B$7-1</f>
        <v>-3.881265881265894E-2</v>
      </c>
    </row>
    <row r="32" spans="1:6" x14ac:dyDescent="0.25">
      <c r="A32" s="119">
        <v>43983</v>
      </c>
      <c r="B32" s="120">
        <v>1924.9</v>
      </c>
      <c r="C32" s="121">
        <f>B32/$B$8-1</f>
        <v>7.055660179953966</v>
      </c>
    </row>
    <row r="33" spans="1:3" x14ac:dyDescent="0.25">
      <c r="A33" s="119">
        <v>44013</v>
      </c>
      <c r="B33" s="120">
        <v>3661.63</v>
      </c>
      <c r="C33" s="121">
        <f>B33/$B$9-1</f>
        <v>0.44386041009463728</v>
      </c>
    </row>
    <row r="34" spans="1:3" x14ac:dyDescent="0.25">
      <c r="A34" s="119">
        <v>44044</v>
      </c>
      <c r="B34" s="120">
        <v>3310.31</v>
      </c>
      <c r="C34" s="121">
        <f>B34/$B$10-1</f>
        <v>9.3413707679603553E-2</v>
      </c>
    </row>
    <row r="35" spans="1:3" x14ac:dyDescent="0.25">
      <c r="A35" s="119">
        <v>44075</v>
      </c>
      <c r="B35" s="120">
        <v>3999.39</v>
      </c>
      <c r="C35" s="121">
        <f>B35/$B$11-1</f>
        <v>0.36871663244353181</v>
      </c>
    </row>
    <row r="36" spans="1:3" x14ac:dyDescent="0.25">
      <c r="A36" s="119">
        <v>44105</v>
      </c>
      <c r="B36" s="120">
        <v>3653.6</v>
      </c>
      <c r="C36" s="121">
        <f>B36/$B$12-1</f>
        <v>0.19087353324641465</v>
      </c>
    </row>
    <row r="37" spans="1:3" x14ac:dyDescent="0.25">
      <c r="A37" s="119">
        <v>44136</v>
      </c>
      <c r="B37" s="120">
        <v>3250.28</v>
      </c>
      <c r="C37" s="121">
        <f>B37/$B$13-1</f>
        <v>0.13897045940358144</v>
      </c>
    </row>
    <row r="38" spans="1:3" x14ac:dyDescent="0.25">
      <c r="A38" s="119">
        <v>44166</v>
      </c>
      <c r="B38" s="120">
        <v>5000</v>
      </c>
      <c r="C38" s="121">
        <f>B38/$B$14-1</f>
        <v>0.27064803049555275</v>
      </c>
    </row>
    <row r="39" spans="1:3" x14ac:dyDescent="0.25">
      <c r="A39" s="119">
        <v>44197</v>
      </c>
      <c r="B39" s="120">
        <v>2118.41</v>
      </c>
      <c r="C39" s="121">
        <f>B39/$B$3-1</f>
        <v>0.47321534128446729</v>
      </c>
    </row>
    <row r="40" spans="1:3" x14ac:dyDescent="0.25">
      <c r="A40" s="119">
        <v>44228</v>
      </c>
      <c r="B40" s="120">
        <v>3426.26</v>
      </c>
      <c r="C40" s="121">
        <f>B40/$B$4-1</f>
        <v>0.61069768097819188</v>
      </c>
    </row>
    <row r="41" spans="1:3" x14ac:dyDescent="0.25">
      <c r="A41" s="119">
        <v>44256</v>
      </c>
      <c r="B41" s="120">
        <v>2842.89</v>
      </c>
      <c r="C41" s="121">
        <f>B41/$B$5-1</f>
        <v>0.2323153947853227</v>
      </c>
    </row>
    <row r="42" spans="1:3" x14ac:dyDescent="0.25">
      <c r="A42" s="119">
        <v>44287</v>
      </c>
      <c r="B42" s="120">
        <v>3104.97</v>
      </c>
      <c r="C42" s="121">
        <f>B42/$B$6-1</f>
        <v>0.46219449022839632</v>
      </c>
    </row>
    <row r="43" spans="1:3" x14ac:dyDescent="0.25">
      <c r="A43" s="119">
        <v>44317</v>
      </c>
      <c r="B43" s="120">
        <f>1856.57+105.13+95.4+190.58+241.33+218.68+171.2+172.59+188.28+278.25+195.05</f>
        <v>3713.06</v>
      </c>
      <c r="C43" s="121">
        <f>B43/$B$7-1</f>
        <v>0.71543543543543531</v>
      </c>
    </row>
    <row r="44" spans="1:3" x14ac:dyDescent="0.25">
      <c r="A44" s="119">
        <v>44348</v>
      </c>
      <c r="B44" s="120">
        <f>257.93+143.85+297.75+328.94+393.15+236.98+183.68+130+141.18+156.05+100+85+141.99+172.4+210.9+136+135.39+169.33+238.11+180.9+80.5+83.85</f>
        <v>4003.88</v>
      </c>
      <c r="C44" s="121">
        <f>B44/$B$8-1</f>
        <v>15.75614145218665</v>
      </c>
    </row>
    <row r="45" spans="1:3" x14ac:dyDescent="0.25">
      <c r="A45" s="119">
        <v>44378</v>
      </c>
      <c r="B45" s="120">
        <v>3916.65</v>
      </c>
      <c r="C45" s="121">
        <f>B45/$B$9-1</f>
        <v>0.54442034700315456</v>
      </c>
    </row>
    <row r="46" spans="1:3" x14ac:dyDescent="0.25">
      <c r="A46" s="119">
        <v>44409</v>
      </c>
      <c r="B46" s="120">
        <f>143.39+222.08+167.96+78.68+193.75+54.28+386.93+149.21+123.44+65+139.56+158.75+291.28+239.4+256.28</f>
        <v>2669.9900000000007</v>
      </c>
      <c r="C46" s="121">
        <f>B46/$B$10-1</f>
        <v>-0.11808753096614344</v>
      </c>
    </row>
    <row r="47" spans="1:3" x14ac:dyDescent="0.25">
      <c r="A47" s="119">
        <v>44440</v>
      </c>
      <c r="B47" s="120">
        <f>30+15+15+227.28+225.27+158.32+238.4419895+197.66+107.28+237.72+417.28+153.15+178</f>
        <v>2200.4019895000001</v>
      </c>
      <c r="C47" s="121">
        <f>B47/$B$11-1</f>
        <v>-0.24695346013004782</v>
      </c>
    </row>
    <row r="48" spans="1:3" x14ac:dyDescent="0.25">
      <c r="A48" s="119">
        <v>44470</v>
      </c>
      <c r="B48" s="120">
        <f>10+18+43+18+50+15+28+15+14.64+10+20+15+15+22+34.16+10+14.64+39.04+27.33+46.85+32.64+14.64+15+15+14.64+30+14.64+10+30+35+319.19+248.2+135.44+287.8+164.25+122.55+346.81+147.15+59.28+138.68+231.8+30+44.4+15+34+15</f>
        <v>3016.7700000000004</v>
      </c>
      <c r="C48" s="121">
        <f>B48/$B$12-1</f>
        <v>-1.6698174706649138E-2</v>
      </c>
    </row>
    <row r="49" spans="1:3" x14ac:dyDescent="0.25">
      <c r="A49" s="119">
        <v>44501</v>
      </c>
      <c r="B49" s="120">
        <f>151.81+120+47+20+20+15+240.42+333.8+228.16+20+23+20+20+19+22.94+19.52+40+421.39</f>
        <v>1782.04</v>
      </c>
      <c r="C49" s="121">
        <f>B49/$B$13-1</f>
        <v>-0.37553351788905631</v>
      </c>
    </row>
    <row r="50" spans="1:3" x14ac:dyDescent="0.25">
      <c r="A50" s="119">
        <v>44531</v>
      </c>
      <c r="B50" s="120">
        <f>39.53+15+20+20+22+37.53+66.37+40+102.61+20+15+19.54+19.52+20+20+37.09+30+10+23+23+23+20+20+38+19+34.16+35.15+31.35+20+23+46.85+37.09+35+20+29+31+35+20+81+15+35+45+20+35+10+20+26+23+34.15+20+40+24.4+19.52+20+20+20+20+20+20+20+40+38+20+25+28+20+30+23</f>
        <v>1929.8600000000001</v>
      </c>
      <c r="C50" s="121">
        <f>B50/$B$14-1</f>
        <v>-0.50956543837357049</v>
      </c>
    </row>
    <row r="51" spans="1:3" x14ac:dyDescent="0.25">
      <c r="A51" s="119">
        <v>44562</v>
      </c>
      <c r="B51" s="128">
        <f>89.51+19+20+15+15+34.16+20+20+33.25+34.9+39.04+27+20+34+20+15+15+35+19.64+20+19.52+35+20+20+35+457.43</f>
        <v>1132.45</v>
      </c>
      <c r="C51" s="121">
        <f>B51/$B$3-1</f>
        <v>-0.21245523140582079</v>
      </c>
    </row>
    <row r="52" spans="1:3" x14ac:dyDescent="0.25">
      <c r="A52" s="119">
        <v>44593</v>
      </c>
      <c r="B52" s="128">
        <f>254.44+92.62+295.96+320.3+542.46+352.31+273+392.52+335.91+497.43+309.41+143.02+309.63+307.21+452.53+161.54+99.16+178+232.74+243.37</f>
        <v>5793.5599999999986</v>
      </c>
      <c r="C52" s="121">
        <f>B52/$B$4-1</f>
        <v>1.7235742928464304</v>
      </c>
    </row>
    <row r="53" spans="1:3" x14ac:dyDescent="0.25">
      <c r="A53" s="119">
        <v>44621</v>
      </c>
      <c r="B53" s="128">
        <f>365.28+313.86+191+148+213.5+152.16+300.67+195+148.22+370.19+172+97+158.5+215.4+152.5+242.07+400.37+411.31+254.52+456.57+333.67+168.92+50+176.08</f>
        <v>5686.7900000000009</v>
      </c>
      <c r="C53" s="121">
        <f>B53/$B$5-1</f>
        <v>1.4650685970653901</v>
      </c>
    </row>
    <row r="54" spans="1:3" x14ac:dyDescent="0.25">
      <c r="A54" s="119">
        <v>44652</v>
      </c>
      <c r="B54" s="128">
        <f>447.68+289.48+275.2+40+300+502.17+237+30+20+26+21.85+36.1+10+20+19.64</f>
        <v>2275.12</v>
      </c>
      <c r="C54" s="121">
        <f>B54/$B$6-1</f>
        <v>7.1400988933364662E-2</v>
      </c>
    </row>
    <row r="55" spans="1:3" x14ac:dyDescent="0.25">
      <c r="A55" s="119">
        <v>44682</v>
      </c>
      <c r="B55" s="128">
        <f>20+45+145+20+20+30+61.76+38+20+34.16+20+19.02+37.09+19.02+19.52+22+19+20+19.52+35+20+19+19.52+53.69+20+20+19+40.85+36.1+20+20+31.35+20+21.85+26+20+58.57+20+22.45+22+15+14.64+20+23</f>
        <v>1267.1100000000001</v>
      </c>
      <c r="C55" s="121">
        <f>B55/$B$7-1</f>
        <v>-0.41459459459459458</v>
      </c>
    </row>
    <row r="56" spans="1:3" x14ac:dyDescent="0.25">
      <c r="A56" s="119">
        <v>44713</v>
      </c>
      <c r="B56" s="120">
        <f>35+20+23+20+27.33+20+38+20+20+19+20+23+20+20+22.4519+39.04+20+30+35+30+57.01+30+29.28+34.16+20+40+20+30+143.28+40+19+20+19.52+65+19.64+58+35+53.69+20+20+20+65+20+19.52+19.52+20+19.52+19.52+20+15+38+20+20+40+19.64+20</f>
        <v>1671.1219000000001</v>
      </c>
      <c r="C56" s="121">
        <f>B56/$B$8-1</f>
        <v>5.9936049382716057</v>
      </c>
    </row>
    <row r="57" spans="1:3" x14ac:dyDescent="0.25">
      <c r="A57" s="119">
        <v>44743</v>
      </c>
      <c r="B57" s="120"/>
      <c r="C57" s="121">
        <f>B57/$B$9-1</f>
        <v>-1</v>
      </c>
    </row>
    <row r="58" spans="1:3" x14ac:dyDescent="0.25">
      <c r="A58" s="119">
        <v>44774</v>
      </c>
      <c r="B58" s="120"/>
      <c r="C58" s="121">
        <f>B58/$B$10-1</f>
        <v>-1</v>
      </c>
    </row>
    <row r="59" spans="1:3" x14ac:dyDescent="0.25">
      <c r="A59" s="119">
        <v>44805</v>
      </c>
      <c r="B59" s="120"/>
      <c r="C59" s="121">
        <f>B59/$B$11-1</f>
        <v>-1</v>
      </c>
    </row>
    <row r="60" spans="1:3" x14ac:dyDescent="0.25">
      <c r="A60" s="119">
        <v>44835</v>
      </c>
      <c r="B60" s="120"/>
      <c r="C60" s="121">
        <f>B60/$B$12-1</f>
        <v>-1</v>
      </c>
    </row>
    <row r="61" spans="1:3" x14ac:dyDescent="0.25">
      <c r="A61" s="119">
        <v>44866</v>
      </c>
      <c r="B61" s="120"/>
      <c r="C61" s="121">
        <f>B61/$B$13-1</f>
        <v>-1</v>
      </c>
    </row>
    <row r="62" spans="1:3" x14ac:dyDescent="0.25">
      <c r="A62" s="119">
        <v>44896</v>
      </c>
      <c r="B62" s="120"/>
      <c r="C62" s="121">
        <f>B62/$B$14-1</f>
        <v>-1</v>
      </c>
    </row>
    <row r="63" spans="1:3" x14ac:dyDescent="0.25">
      <c r="A63" s="119">
        <v>44927</v>
      </c>
      <c r="B63" s="120"/>
      <c r="C63" s="121">
        <f>B63/$B$3-1</f>
        <v>-1</v>
      </c>
    </row>
    <row r="64" spans="1:3" x14ac:dyDescent="0.25">
      <c r="A64" s="119">
        <v>44958</v>
      </c>
      <c r="B64" s="120"/>
      <c r="C64" s="121">
        <f>B64/$B$4-1</f>
        <v>-1</v>
      </c>
    </row>
    <row r="65" spans="1:3" x14ac:dyDescent="0.25">
      <c r="A65" s="119">
        <v>44986</v>
      </c>
      <c r="B65" s="120">
        <v>7070.38</v>
      </c>
      <c r="C65" s="121">
        <f>B65/$B$5-1</f>
        <v>2.0648171828604869</v>
      </c>
    </row>
    <row r="66" spans="1:3" x14ac:dyDescent="0.25">
      <c r="A66" s="119">
        <v>45017</v>
      </c>
      <c r="B66" s="120">
        <v>5646.42</v>
      </c>
      <c r="C66" s="121">
        <f>B66/$B$6-1</f>
        <v>1.6590157758417705</v>
      </c>
    </row>
    <row r="67" spans="1:3" x14ac:dyDescent="0.25">
      <c r="A67" s="119">
        <v>45047</v>
      </c>
      <c r="B67" s="120">
        <v>6214.17</v>
      </c>
      <c r="C67" s="121">
        <f>B67/$B$7-1</f>
        <v>1.8709494109494109</v>
      </c>
    </row>
    <row r="68" spans="1:3" x14ac:dyDescent="0.25">
      <c r="A68" s="119">
        <v>45078</v>
      </c>
      <c r="B68" s="120">
        <v>6012.34</v>
      </c>
      <c r="C68" s="121">
        <f>B68/$B$8-1</f>
        <v>24.16149822138523</v>
      </c>
    </row>
    <row r="69" spans="1:3" x14ac:dyDescent="0.25">
      <c r="A69" s="119">
        <v>45108</v>
      </c>
      <c r="B69" s="120">
        <v>7443.99</v>
      </c>
      <c r="C69" s="121">
        <f>B69/$B$9-1</f>
        <v>1.9353272870662459</v>
      </c>
    </row>
    <row r="70" spans="1:3" x14ac:dyDescent="0.25">
      <c r="A70" s="119">
        <v>45139</v>
      </c>
      <c r="B70" s="120">
        <v>6682.22</v>
      </c>
      <c r="C70" s="121">
        <f>B70/$B$10-1</f>
        <v>1.2071742361684561</v>
      </c>
    </row>
    <row r="71" spans="1:3" x14ac:dyDescent="0.25">
      <c r="A71" s="119">
        <v>45170</v>
      </c>
      <c r="B71" s="120">
        <v>6828.36</v>
      </c>
      <c r="C71" s="121">
        <f>B71/$B$11-1</f>
        <v>1.3368788501026692</v>
      </c>
    </row>
    <row r="72" spans="1:3" x14ac:dyDescent="0.25">
      <c r="A72" s="119">
        <v>45200</v>
      </c>
      <c r="B72" s="120">
        <v>6428.43</v>
      </c>
      <c r="C72" s="121">
        <f>B72/$B$12-1</f>
        <v>1.0953161668839635</v>
      </c>
    </row>
    <row r="73" spans="1:3" x14ac:dyDescent="0.25">
      <c r="A73" s="119">
        <v>45231</v>
      </c>
      <c r="B73" s="120">
        <v>6922.53</v>
      </c>
      <c r="C73" s="121">
        <f>B73/$B$13-1</f>
        <v>1.4258085993622314</v>
      </c>
    </row>
    <row r="74" spans="1:3" x14ac:dyDescent="0.25">
      <c r="A74" s="119">
        <v>45261</v>
      </c>
      <c r="B74" s="120"/>
      <c r="C74" s="121">
        <f>B74/$B$14-1</f>
        <v>-1</v>
      </c>
    </row>
    <row r="75" spans="1:3" x14ac:dyDescent="0.25">
      <c r="A75" s="119">
        <v>45292</v>
      </c>
      <c r="B75" s="120">
        <v>6197.58</v>
      </c>
      <c r="C75" s="121">
        <f>B75/$B$3-1</f>
        <v>3.3100107792343261</v>
      </c>
    </row>
    <row r="76" spans="1:3" x14ac:dyDescent="0.25">
      <c r="A76" s="119">
        <v>45323</v>
      </c>
      <c r="B76" s="120">
        <v>9291.34</v>
      </c>
      <c r="C76" s="121">
        <f>B76/$B$4-1</f>
        <v>3.3678937941603708</v>
      </c>
    </row>
    <row r="77" spans="1:3" x14ac:dyDescent="0.25">
      <c r="A77" s="119">
        <v>45352</v>
      </c>
      <c r="B77" s="120">
        <v>10078.1</v>
      </c>
      <c r="C77" s="121">
        <f>B77/$B$5-1</f>
        <v>3.3685818938425198</v>
      </c>
    </row>
    <row r="78" spans="1:3" x14ac:dyDescent="0.25">
      <c r="A78" s="119">
        <v>45383</v>
      </c>
      <c r="B78" s="120">
        <v>10203.89</v>
      </c>
      <c r="C78" s="121">
        <f>B78/$B$6-1</f>
        <v>3.8052225100070638</v>
      </c>
    </row>
    <row r="79" spans="1:3" x14ac:dyDescent="0.25">
      <c r="A79" s="119">
        <v>45413</v>
      </c>
      <c r="B79" s="120">
        <v>10929.754300000001</v>
      </c>
      <c r="C79" s="121">
        <f>B79/$B$7-1</f>
        <v>4.0495515361515366</v>
      </c>
    </row>
    <row r="80" spans="1:3" x14ac:dyDescent="0.25">
      <c r="A80" s="119">
        <v>45444</v>
      </c>
      <c r="B80" s="120"/>
      <c r="C80" s="121">
        <f>B80/$B$8-1</f>
        <v>-1</v>
      </c>
    </row>
    <row r="81" spans="1:3" x14ac:dyDescent="0.25">
      <c r="A81" s="119">
        <v>45474</v>
      </c>
      <c r="B81" s="120"/>
      <c r="C81" s="121">
        <f>B81/$B$9-1</f>
        <v>-1</v>
      </c>
    </row>
    <row r="82" spans="1:3" x14ac:dyDescent="0.25">
      <c r="A82" s="119">
        <v>45505</v>
      </c>
      <c r="B82" s="120"/>
      <c r="C82" s="121">
        <f>B82/$B$10-1</f>
        <v>-1</v>
      </c>
    </row>
    <row r="83" spans="1:3" x14ac:dyDescent="0.25">
      <c r="A83" s="119">
        <v>45536</v>
      </c>
      <c r="B83" s="120"/>
      <c r="C83" s="121">
        <f>B83/$B$11-1</f>
        <v>-1</v>
      </c>
    </row>
    <row r="84" spans="1:3" x14ac:dyDescent="0.25">
      <c r="A84" s="119">
        <v>45566</v>
      </c>
      <c r="B84" s="120"/>
      <c r="C84" s="121">
        <f>B84/$B$12-1</f>
        <v>-1</v>
      </c>
    </row>
    <row r="85" spans="1:3" x14ac:dyDescent="0.25">
      <c r="A85" s="119">
        <v>45597</v>
      </c>
      <c r="B85" s="120"/>
      <c r="C85" s="121">
        <f>B85/$B$13-1</f>
        <v>-1</v>
      </c>
    </row>
    <row r="86" spans="1:3" x14ac:dyDescent="0.25">
      <c r="A86" s="119">
        <v>45627</v>
      </c>
      <c r="B86" s="120"/>
      <c r="C86" s="121">
        <f>B86/$B$14-1</f>
        <v>-1</v>
      </c>
    </row>
    <row r="87" spans="1:3" x14ac:dyDescent="0.25">
      <c r="A87" s="129"/>
    </row>
    <row r="88" spans="1:3" x14ac:dyDescent="0.25">
      <c r="A88" s="129"/>
    </row>
    <row r="89" spans="1:3" x14ac:dyDescent="0.25">
      <c r="A89" s="129"/>
    </row>
    <row r="90" spans="1:3" x14ac:dyDescent="0.25">
      <c r="A90" s="129"/>
    </row>
    <row r="91" spans="1:3" x14ac:dyDescent="0.25">
      <c r="A91" s="129"/>
    </row>
    <row r="92" spans="1:3" x14ac:dyDescent="0.25">
      <c r="A92" s="129"/>
    </row>
    <row r="93" spans="1:3" x14ac:dyDescent="0.25">
      <c r="A93" s="129"/>
    </row>
    <row r="94" spans="1:3" x14ac:dyDescent="0.25">
      <c r="A94" s="129"/>
    </row>
    <row r="95" spans="1:3" x14ac:dyDescent="0.25">
      <c r="A95" s="129"/>
    </row>
    <row r="96" spans="1:3" x14ac:dyDescent="0.25">
      <c r="A96" s="129"/>
    </row>
    <row r="97" spans="1:1" x14ac:dyDescent="0.25">
      <c r="A97" s="129"/>
    </row>
    <row r="98" spans="1:1" x14ac:dyDescent="0.25">
      <c r="A98" s="1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RELATORIO DE VENDA</vt:lpstr>
      <vt:lpstr>RELATORIO - MARÇO</vt:lpstr>
      <vt:lpstr>RELATORIO - ABRIL</vt:lpstr>
      <vt:lpstr>RELATORIO - MAIO</vt:lpstr>
      <vt:lpstr>RELATORIO - JUNHO</vt:lpstr>
      <vt:lpstr>REALTORIO - SETEMBRO</vt:lpstr>
      <vt:lpstr>MARÇO -24</vt:lpstr>
      <vt:lpstr>ABRIL -24</vt:lpstr>
      <vt:lpstr>MAIO -24</vt:lpstr>
      <vt:lpstr>JUNHO -24</vt:lpstr>
      <vt:lpstr>JULHO -24</vt:lpstr>
      <vt:lpstr>AGOSTO -24</vt:lpstr>
      <vt:lpstr>SETEMBRO -24</vt:lpstr>
      <vt:lpstr>OUTUBRO -24</vt:lpstr>
      <vt:lpstr>NOVEMBRO -24</vt:lpstr>
      <vt:lpstr>DEZEMBRO -24</vt:lpstr>
      <vt:lpstr>FATURAMENTO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Jamille</dc:creator>
  <dc:description/>
  <cp:lastModifiedBy>Jamile</cp:lastModifiedBy>
  <cp:revision>97</cp:revision>
  <cp:lastPrinted>2024-06-28T14:43:03Z</cp:lastPrinted>
  <dcterms:created xsi:type="dcterms:W3CDTF">2024-03-02T18:05:14Z</dcterms:created>
  <dcterms:modified xsi:type="dcterms:W3CDTF">2025-10-01T15:39:43Z</dcterms:modified>
  <dc:language>pt-BR</dc:language>
</cp:coreProperties>
</file>